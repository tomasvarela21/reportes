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Alejandra\Alejandra Coronado\"/>
    </mc:Choice>
  </mc:AlternateContent>
  <bookViews>
    <workbookView xWindow="0" yWindow="0" windowWidth="21570" windowHeight="9660" activeTab="1"/>
  </bookViews>
  <sheets>
    <sheet name="PLAN DE CUENTAS NUEVO" sheetId="4" r:id="rId1"/>
    <sheet name="PLAN DE CUENTAS VIEJO" sheetId="3" r:id="rId2"/>
    <sheet name="Mov 2023 hasta ahora " sheetId="2" state="hidden" r:id="rId3"/>
  </sheets>
  <definedNames>
    <definedName name="_xlnm._FilterDatabase" localSheetId="0" hidden="1">'PLAN DE CUENTAS NUEVO'!$A$1:$I$474</definedName>
    <definedName name="_xlnm._FilterDatabase" localSheetId="1" hidden="1">'PLAN DE CUENTAS VIEJO'!$A$2:$V$4070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T8" i="3"/>
  <c r="I9" i="3"/>
  <c r="I10" i="3"/>
  <c r="I11" i="3"/>
  <c r="I12" i="3"/>
  <c r="I13" i="3"/>
  <c r="I14" i="3"/>
  <c r="I15" i="3"/>
  <c r="I16" i="3"/>
  <c r="I17" i="3"/>
  <c r="I18" i="3"/>
  <c r="I19" i="3"/>
  <c r="I20" i="3"/>
  <c r="T20" i="3"/>
  <c r="I21" i="3"/>
  <c r="I22" i="3"/>
  <c r="I23" i="3"/>
  <c r="I24" i="3"/>
  <c r="I25" i="3"/>
  <c r="I26" i="3"/>
  <c r="I27" i="3"/>
  <c r="I28" i="3"/>
  <c r="T28" i="3"/>
  <c r="I29" i="3"/>
  <c r="I30" i="3"/>
  <c r="I31" i="3"/>
  <c r="I32" i="3"/>
  <c r="I33" i="3"/>
  <c r="I34" i="3"/>
  <c r="I35" i="3"/>
  <c r="I36" i="3"/>
  <c r="I37" i="3"/>
  <c r="I38" i="3"/>
  <c r="I39" i="3"/>
  <c r="T39" i="3"/>
  <c r="I40" i="3"/>
  <c r="I41" i="3"/>
  <c r="S41" i="3"/>
  <c r="I42" i="3"/>
  <c r="S42" i="3"/>
  <c r="I43" i="3"/>
  <c r="S43" i="3"/>
  <c r="T43" i="3"/>
  <c r="I44" i="3"/>
  <c r="I45" i="3"/>
  <c r="I46" i="3"/>
  <c r="I47" i="3"/>
  <c r="I48" i="3"/>
  <c r="S48" i="3"/>
  <c r="I49" i="3"/>
  <c r="I50" i="3"/>
  <c r="S50" i="3"/>
  <c r="I51" i="3"/>
  <c r="I52" i="3"/>
  <c r="S52" i="3"/>
  <c r="T52" i="3"/>
  <c r="I53" i="3"/>
  <c r="I54" i="3"/>
  <c r="I55" i="3"/>
  <c r="I56" i="3"/>
  <c r="I57" i="3"/>
  <c r="I58" i="3"/>
  <c r="I59" i="3"/>
  <c r="I60" i="3"/>
  <c r="I61" i="3"/>
  <c r="I62" i="3"/>
  <c r="I63" i="3"/>
  <c r="S63" i="3"/>
  <c r="I64" i="3"/>
  <c r="S64" i="3"/>
  <c r="I65" i="3"/>
  <c r="S65" i="3"/>
  <c r="I66" i="3"/>
  <c r="S66" i="3"/>
  <c r="I67" i="3"/>
  <c r="S67" i="3"/>
  <c r="I68" i="3"/>
  <c r="S68" i="3"/>
  <c r="I69" i="3"/>
  <c r="S69" i="3"/>
  <c r="I70" i="3"/>
  <c r="S70" i="3"/>
  <c r="I71" i="3"/>
  <c r="S71" i="3"/>
  <c r="I72" i="3"/>
  <c r="S72" i="3"/>
  <c r="I73" i="3"/>
  <c r="S73" i="3"/>
  <c r="I74" i="3"/>
  <c r="S74" i="3"/>
  <c r="I75" i="3"/>
  <c r="S75" i="3"/>
  <c r="I76" i="3"/>
  <c r="S76" i="3"/>
  <c r="I77" i="3"/>
  <c r="S77" i="3"/>
  <c r="I78" i="3"/>
  <c r="S78" i="3"/>
  <c r="I79" i="3"/>
  <c r="S79" i="3"/>
  <c r="T79" i="3"/>
  <c r="I80" i="3"/>
  <c r="I81" i="3"/>
  <c r="S81" i="3"/>
  <c r="I82" i="3"/>
  <c r="I83" i="3"/>
  <c r="S83" i="3"/>
  <c r="I84" i="3"/>
  <c r="S84" i="3"/>
  <c r="I85" i="3"/>
  <c r="S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S111" i="3"/>
  <c r="I112" i="3"/>
  <c r="S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H132" i="3"/>
  <c r="I132" i="3"/>
  <c r="H133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S146" i="3"/>
  <c r="I147" i="3"/>
  <c r="I148" i="3"/>
  <c r="I149" i="3"/>
  <c r="I150" i="3"/>
  <c r="S150" i="3"/>
  <c r="I151" i="3"/>
  <c r="S151" i="3"/>
  <c r="I152" i="3"/>
  <c r="S152" i="3"/>
  <c r="I153" i="3"/>
  <c r="S153" i="3"/>
  <c r="I154" i="3"/>
  <c r="S154" i="3"/>
  <c r="I155" i="3"/>
  <c r="S155" i="3"/>
  <c r="I156" i="3"/>
  <c r="I157" i="3"/>
  <c r="I158" i="3"/>
  <c r="I159" i="3"/>
  <c r="I160" i="3"/>
  <c r="I161" i="3"/>
  <c r="I162" i="3"/>
  <c r="I163" i="3"/>
  <c r="I164" i="3"/>
  <c r="I165" i="3"/>
  <c r="S165" i="3"/>
  <c r="I166" i="3"/>
  <c r="S166" i="3"/>
  <c r="I167" i="3"/>
  <c r="I168" i="3"/>
  <c r="I169" i="3"/>
  <c r="S169" i="3"/>
  <c r="T169" i="3"/>
  <c r="I170" i="3"/>
  <c r="I171" i="3"/>
  <c r="I172" i="3"/>
  <c r="I173" i="3"/>
  <c r="I174" i="3"/>
  <c r="S174" i="3"/>
  <c r="I175" i="3"/>
  <c r="I176" i="3"/>
  <c r="I177" i="3"/>
  <c r="I178" i="3"/>
  <c r="I179" i="3"/>
  <c r="I180" i="3"/>
  <c r="S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S196" i="3"/>
  <c r="I197" i="3"/>
  <c r="I198" i="3"/>
  <c r="I199" i="3"/>
  <c r="I200" i="3"/>
  <c r="I201" i="3"/>
  <c r="S201" i="3"/>
  <c r="I202" i="3"/>
  <c r="S202" i="3"/>
  <c r="I203" i="3"/>
  <c r="I204" i="3"/>
  <c r="S204" i="3"/>
  <c r="I205" i="3"/>
  <c r="S205" i="3"/>
  <c r="I206" i="3"/>
  <c r="I207" i="3"/>
  <c r="S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S275" i="3"/>
  <c r="I276" i="3"/>
  <c r="I277" i="3"/>
  <c r="I278" i="3"/>
  <c r="I279" i="3"/>
  <c r="I280" i="3"/>
  <c r="S280" i="3"/>
  <c r="I281" i="3"/>
  <c r="I282" i="3"/>
  <c r="I283" i="3"/>
  <c r="I284" i="3"/>
  <c r="I285" i="3"/>
  <c r="I286" i="3"/>
  <c r="I287" i="3"/>
  <c r="I288" i="3"/>
  <c r="I289" i="3"/>
  <c r="S289" i="3"/>
  <c r="I290" i="3"/>
  <c r="S290" i="3"/>
  <c r="I291" i="3"/>
  <c r="S291" i="3"/>
  <c r="I292" i="3"/>
  <c r="I293" i="3"/>
  <c r="S293" i="3"/>
  <c r="I294" i="3"/>
  <c r="S294" i="3"/>
  <c r="I295" i="3"/>
  <c r="S295" i="3"/>
  <c r="I296" i="3"/>
  <c r="S296" i="3"/>
  <c r="I297" i="3"/>
  <c r="S297" i="3"/>
  <c r="I298" i="3"/>
  <c r="I299" i="3"/>
  <c r="I300" i="3"/>
  <c r="I301" i="3"/>
  <c r="S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S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S356" i="3"/>
  <c r="I357" i="3"/>
  <c r="I358" i="3"/>
  <c r="I359" i="3"/>
  <c r="S359" i="3"/>
  <c r="I360" i="3"/>
  <c r="I361" i="3"/>
  <c r="I362" i="3"/>
  <c r="S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S374" i="3"/>
  <c r="T374" i="3"/>
  <c r="I375" i="3"/>
  <c r="S375" i="3"/>
  <c r="I376" i="3"/>
  <c r="I377" i="3"/>
  <c r="S377" i="3"/>
  <c r="T377" i="3"/>
  <c r="I378" i="3"/>
  <c r="S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S397" i="3"/>
  <c r="I398" i="3"/>
  <c r="S398" i="3"/>
  <c r="I399" i="3"/>
  <c r="S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</calcChain>
</file>

<file path=xl/sharedStrings.xml><?xml version="1.0" encoding="utf-8"?>
<sst xmlns="http://schemas.openxmlformats.org/spreadsheetml/2006/main" count="23282" uniqueCount="9179">
  <si>
    <t xml:space="preserve">Codigo </t>
  </si>
  <si>
    <t>Nombre de cuenta</t>
  </si>
  <si>
    <t>Imput</t>
  </si>
  <si>
    <t>Resultado?</t>
  </si>
  <si>
    <t>Tipo Sub Cta</t>
  </si>
  <si>
    <t>Moneda</t>
  </si>
  <si>
    <t>Observacion</t>
  </si>
  <si>
    <t>Nivel</t>
  </si>
  <si>
    <t>TIPO</t>
  </si>
  <si>
    <t>Caracteres</t>
  </si>
  <si>
    <t>Codigo OK</t>
  </si>
  <si>
    <t>Nombre de cuenta OK</t>
  </si>
  <si>
    <t>Imput OK</t>
  </si>
  <si>
    <t>Resultado OK</t>
  </si>
  <si>
    <t>Tipo Sub Cta OK</t>
  </si>
  <si>
    <t>Moneda OK</t>
  </si>
  <si>
    <t>ACTIVO</t>
  </si>
  <si>
    <t>N</t>
  </si>
  <si>
    <t>ok</t>
  </si>
  <si>
    <t>PATRIMONIAL</t>
  </si>
  <si>
    <t>CASA CENTRAL</t>
  </si>
  <si>
    <t>Eliminar</t>
  </si>
  <si>
    <t xml:space="preserve">   1.01.01</t>
  </si>
  <si>
    <t>DISPONIBILIDADES</t>
  </si>
  <si>
    <t xml:space="preserve">    1.01.01.01</t>
  </si>
  <si>
    <t>CAJAS</t>
  </si>
  <si>
    <t xml:space="preserve">     1.01.01.01.01</t>
  </si>
  <si>
    <t>Caja</t>
  </si>
  <si>
    <t xml:space="preserve">     1.01.01.01.02</t>
  </si>
  <si>
    <t>Caja M. Extr. U$S</t>
  </si>
  <si>
    <t xml:space="preserve">     1.01.01.01.03</t>
  </si>
  <si>
    <t>Fondo Fijo</t>
  </si>
  <si>
    <t xml:space="preserve">     1.01.01.01.04</t>
  </si>
  <si>
    <t>Caja Mg</t>
  </si>
  <si>
    <t xml:space="preserve">     1.01.01.01.05</t>
  </si>
  <si>
    <t>Caja Central</t>
  </si>
  <si>
    <t xml:space="preserve">     1.01.01.01.06</t>
  </si>
  <si>
    <t>Mon Extranjera Maguitur</t>
  </si>
  <si>
    <t xml:space="preserve">     1.01.01.01.07</t>
  </si>
  <si>
    <t>Caja de Seg Efec-Citibank</t>
  </si>
  <si>
    <t xml:space="preserve">     1.01.01.01.08</t>
  </si>
  <si>
    <t>Caja de Seg M Extr.-U$S-Citibank</t>
  </si>
  <si>
    <t xml:space="preserve">     1.01.01.01.09</t>
  </si>
  <si>
    <t>Caja Maguitur (no Usar Todavia)</t>
  </si>
  <si>
    <t xml:space="preserve">     1.01.01.01.10</t>
  </si>
  <si>
    <t>Caja de seg.efect.-Bco.Rio MaipÃ¹</t>
  </si>
  <si>
    <t xml:space="preserve">     1.01.01.01.11</t>
  </si>
  <si>
    <t>Caja seguridad efectivo-Bco.Rio-Tribunales</t>
  </si>
  <si>
    <t xml:space="preserve">     1.01.01.01.12</t>
  </si>
  <si>
    <t>Caja M. Extranj.- Euros</t>
  </si>
  <si>
    <t xml:space="preserve">     1.01.01.01.13</t>
  </si>
  <si>
    <t>Caja Seg M.Extr.-U$S-Bco.Rio Tribunales</t>
  </si>
  <si>
    <t xml:space="preserve">     1.01.01.01.14</t>
  </si>
  <si>
    <t>Caja Seg-U$S-Nro 48-Bco Santander-WCL</t>
  </si>
  <si>
    <t xml:space="preserve">     1.01.01.01.15</t>
  </si>
  <si>
    <t>Caja M.Extr-Euros-Citibank</t>
  </si>
  <si>
    <t xml:space="preserve">     1.01.01.01.16</t>
  </si>
  <si>
    <t>Caja Seg M.Extr.-Euros-Tribunales-Bco.Rio</t>
  </si>
  <si>
    <t xml:space="preserve">     1.01.01.01.17</t>
  </si>
  <si>
    <t>Caja Seg.M.Extr.- Euros-Maipu-Bco.Rio</t>
  </si>
  <si>
    <t xml:space="preserve">     1.01.01.01.18</t>
  </si>
  <si>
    <t>Caja de seg.Efect.-Anta La Rinconada</t>
  </si>
  <si>
    <t xml:space="preserve">     1.01.01.01.19</t>
  </si>
  <si>
    <t>Caja de Segur.-Dolares-Anta La Rinconada</t>
  </si>
  <si>
    <t xml:space="preserve">     1.01.01.01.20</t>
  </si>
  <si>
    <t>Diferencia de Caja</t>
  </si>
  <si>
    <t xml:space="preserve">     1.01.01.01.21</t>
  </si>
  <si>
    <t>Diferencia Caja Maguitur</t>
  </si>
  <si>
    <t xml:space="preserve">     1.01.01.01.22</t>
  </si>
  <si>
    <t>Diferencia Moneda Extranjera</t>
  </si>
  <si>
    <t xml:space="preserve">     1.01.01.01.23</t>
  </si>
  <si>
    <t>Caja de seg.MaipÃ  Efect. PCIW-3/4</t>
  </si>
  <si>
    <t xml:space="preserve">     1.01.01.01.24</t>
  </si>
  <si>
    <t>Caja seg. Maipú U$S PCIW 3/4</t>
  </si>
  <si>
    <t xml:space="preserve">     1.01.01.01.25</t>
  </si>
  <si>
    <t>Caja seg. Maipú Euros PCIW 3/4</t>
  </si>
  <si>
    <t xml:space="preserve">     1.01.01.01.26</t>
  </si>
  <si>
    <t>Caja DroguerÃ­a</t>
  </si>
  <si>
    <t xml:space="preserve">     1.01.01.01.28</t>
  </si>
  <si>
    <t>Caja Buffo</t>
  </si>
  <si>
    <t xml:space="preserve">     1.01.01.01.29</t>
  </si>
  <si>
    <t>Caja Seg Solano Vera - Bco Rio Efect</t>
  </si>
  <si>
    <t xml:space="preserve">     1.01.01.01.30</t>
  </si>
  <si>
    <t>Caja Seg Efectivo Buffo - Bco Rio</t>
  </si>
  <si>
    <t xml:space="preserve">     1.01.01.01.31</t>
  </si>
  <si>
    <t>Caja Compensacion</t>
  </si>
  <si>
    <t xml:space="preserve">     1.01.01.01.32</t>
  </si>
  <si>
    <t>Caja Fiduciario Fid.San Pablo Este</t>
  </si>
  <si>
    <t xml:space="preserve">     1.01.01.01.33</t>
  </si>
  <si>
    <t>Caja Administración</t>
  </si>
  <si>
    <t xml:space="preserve">     1.01.01.01.34</t>
  </si>
  <si>
    <t>Caja Seg U$S-Nro 4-Bco Francés-Torres SP SRL</t>
  </si>
  <si>
    <t xml:space="preserve">    1.01.01.02</t>
  </si>
  <si>
    <t>BANCOS</t>
  </si>
  <si>
    <t xml:space="preserve">     1.01.01.02.01</t>
  </si>
  <si>
    <t>Bancos Cta Cte</t>
  </si>
  <si>
    <t xml:space="preserve">     1.01.01.02.02</t>
  </si>
  <si>
    <t>Bancos Cajas de Ahorro</t>
  </si>
  <si>
    <t xml:space="preserve">     1.01.01.02.03</t>
  </si>
  <si>
    <t>Banco cta cte Dolares</t>
  </si>
  <si>
    <t xml:space="preserve">   1.01.02</t>
  </si>
  <si>
    <t>INVERSIONES</t>
  </si>
  <si>
    <t xml:space="preserve">    1.01.02.01</t>
  </si>
  <si>
    <t>INVERSIONES EN TITULOS Y ACCIONES</t>
  </si>
  <si>
    <t xml:space="preserve">     1.01.02.01.01</t>
  </si>
  <si>
    <t>Valores Mobiliarios</t>
  </si>
  <si>
    <t xml:space="preserve">     1.01.02.01.02</t>
  </si>
  <si>
    <t>Titulos Publicos</t>
  </si>
  <si>
    <t xml:space="preserve">     1.01.02.01.03</t>
  </si>
  <si>
    <t>Fondo comÃ n de inversiÃ²n</t>
  </si>
  <si>
    <t xml:space="preserve">    1.01.02.02</t>
  </si>
  <si>
    <t>INVERSIONES EN PLAZOS FIJOS</t>
  </si>
  <si>
    <t xml:space="preserve">     1.01.02.02.01</t>
  </si>
  <si>
    <t>Plazos Fijos</t>
  </si>
  <si>
    <t xml:space="preserve">     1.01.02.02.02</t>
  </si>
  <si>
    <t>Intereses Plazo Fijo No Devengados</t>
  </si>
  <si>
    <t xml:space="preserve">     1.01.02.02.03</t>
  </si>
  <si>
    <t>Plazo fijo en dolares</t>
  </si>
  <si>
    <t xml:space="preserve">    1.01.02.03</t>
  </si>
  <si>
    <t>INVERSIONES PERMANENTES</t>
  </si>
  <si>
    <t>Enviair a inversiones permanentes y dividir entre inmuebles y participaciones societarias</t>
  </si>
  <si>
    <t xml:space="preserve">     1.01.02.03.01</t>
  </si>
  <si>
    <t xml:space="preserve"> Inversiones en inmuebles por Canjes</t>
  </si>
  <si>
    <t xml:space="preserve">     1.01.02.03.02</t>
  </si>
  <si>
    <t>(No Usar)Inversiones en otras empresas</t>
  </si>
  <si>
    <t xml:space="preserve">     1.01.02.03.03</t>
  </si>
  <si>
    <t>Inversiones en Inmuebles</t>
  </si>
  <si>
    <t xml:space="preserve">     1.01.02.03.04</t>
  </si>
  <si>
    <t>Am.Acum. Inm.p/ inversion</t>
  </si>
  <si>
    <t xml:space="preserve">    1.01.02.04</t>
  </si>
  <si>
    <t>OTRAS INVERSIONES</t>
  </si>
  <si>
    <t xml:space="preserve">     1.01.02.04.01</t>
  </si>
  <si>
    <t>Inversiones varias</t>
  </si>
  <si>
    <t xml:space="preserve">   1.01.03</t>
  </si>
  <si>
    <t>CREDITOS POR VENTAS</t>
  </si>
  <si>
    <t xml:space="preserve">    1.01.03.01</t>
  </si>
  <si>
    <t>CREDITOS A VENCER</t>
  </si>
  <si>
    <t xml:space="preserve">Crear Creditos por alquileres, creditos por op de loteos, Creditos otros creditos </t>
  </si>
  <si>
    <t xml:space="preserve">     1.01.03.01.01</t>
  </si>
  <si>
    <t>Deudores por Ventas Agropecuarias</t>
  </si>
  <si>
    <t xml:space="preserve">     1.01.03.01.02</t>
  </si>
  <si>
    <t>Fiduciantes</t>
  </si>
  <si>
    <t xml:space="preserve">     1.01.03.01.03</t>
  </si>
  <si>
    <t>Contratos de Locacion a Cobrar</t>
  </si>
  <si>
    <t xml:space="preserve">     1.01.03.01.04</t>
  </si>
  <si>
    <t>Documentos a Cobrar</t>
  </si>
  <si>
    <t xml:space="preserve">     1.01.03.01.05</t>
  </si>
  <si>
    <t>Cheques de Terceros a Cobrar</t>
  </si>
  <si>
    <t xml:space="preserve">     1.01.03.01.06</t>
  </si>
  <si>
    <t>Alquileres a Cobrar</t>
  </si>
  <si>
    <t xml:space="preserve">     1.01.03.01.07</t>
  </si>
  <si>
    <t>Expensas a Cobrar</t>
  </si>
  <si>
    <t xml:space="preserve">     1.01.03.01.08</t>
  </si>
  <si>
    <t>Depositos en Garantia a Cobrar</t>
  </si>
  <si>
    <t xml:space="preserve">     1.01.03.01.09</t>
  </si>
  <si>
    <t>Deudores por Ventas de inmuebles</t>
  </si>
  <si>
    <t xml:space="preserve">     1.01.03.01.10</t>
  </si>
  <si>
    <t>OperaciÃ³n LocaciÃ³n Inm. 3</t>
  </si>
  <si>
    <t xml:space="preserve">     1.01.03.01.11</t>
  </si>
  <si>
    <t>Comisiones a Cobrar</t>
  </si>
  <si>
    <t xml:space="preserve">     1.01.03.01.12</t>
  </si>
  <si>
    <t>Cheques de 3  en Custodia</t>
  </si>
  <si>
    <t xml:space="preserve">     1.01.03.01.13</t>
  </si>
  <si>
    <t>Intereses a Cobrar</t>
  </si>
  <si>
    <t xml:space="preserve">     1.01.03.01.14</t>
  </si>
  <si>
    <t>Alquileres de 3  a Cobrar</t>
  </si>
  <si>
    <t xml:space="preserve">     1.01.03.01.15</t>
  </si>
  <si>
    <t>Dep. GarantÃ­a Alquileres de 3 a cobrar</t>
  </si>
  <si>
    <t xml:space="preserve">     1.01.03.01.16</t>
  </si>
  <si>
    <t>Cuentas a cobrar</t>
  </si>
  <si>
    <t xml:space="preserve">     1.01.03.01.17</t>
  </si>
  <si>
    <t>Alquileres No Devengados</t>
  </si>
  <si>
    <t xml:space="preserve">     1.01.03.01.18</t>
  </si>
  <si>
    <t>Cuentas a cobrar en moneda extranjera</t>
  </si>
  <si>
    <t xml:space="preserve">     1.01.03.01.19</t>
  </si>
  <si>
    <t>Certificado provisorio a cobrar</t>
  </si>
  <si>
    <t xml:space="preserve">     1.01.03.01.20</t>
  </si>
  <si>
    <t>Deudores por Ventas LOTEOS GCI</t>
  </si>
  <si>
    <t xml:space="preserve">     1.01.03.01.21</t>
  </si>
  <si>
    <t>Deudores por Ventas LOTEOS ECI</t>
  </si>
  <si>
    <t xml:space="preserve">     1.01.03.01.22</t>
  </si>
  <si>
    <t>Deudores por Ventas LOTEOS AW</t>
  </si>
  <si>
    <t xml:space="preserve">     1.01.03.01.23</t>
  </si>
  <si>
    <t>Deudores por Ventas LOTEOS EL</t>
  </si>
  <si>
    <t xml:space="preserve">     1.01.03.01.24</t>
  </si>
  <si>
    <t>Deudores por Ventas LOTEOS COUNTRY</t>
  </si>
  <si>
    <t xml:space="preserve">     1.01.03.01.25</t>
  </si>
  <si>
    <t xml:space="preserve">Operacion Venta inm.3 </t>
  </si>
  <si>
    <t xml:space="preserve">     1.01.03.01.26</t>
  </si>
  <si>
    <t>Caja seg.Maipu Valores en Custodia PCIW 3/4</t>
  </si>
  <si>
    <t xml:space="preserve">     1.01.03.01.27</t>
  </si>
  <si>
    <t>Ds.vta de Lotes x cta y orden de 3ros</t>
  </si>
  <si>
    <t xml:space="preserve">     1.01.03.01.28</t>
  </si>
  <si>
    <t>Ds.vta de Lotes x op. San Lorenzo Socios</t>
  </si>
  <si>
    <t xml:space="preserve">     1.01.03.01.29</t>
  </si>
  <si>
    <t>Ds. Vta de Lotes Prados de Yerba Buena</t>
  </si>
  <si>
    <t xml:space="preserve">     1.01.03.01.30</t>
  </si>
  <si>
    <t>Otros Creditos a Cobrar</t>
  </si>
  <si>
    <t xml:space="preserve">     1.01.03.01.40</t>
  </si>
  <si>
    <t>Diferencia Cheques de 3  a Cobrar</t>
  </si>
  <si>
    <t xml:space="preserve">     1.01.03.01.41</t>
  </si>
  <si>
    <t>Interes por financ. no devengado</t>
  </si>
  <si>
    <t xml:space="preserve">     1.01.03.01.42</t>
  </si>
  <si>
    <t>Alq.de 3  a cobrar en gestiÃ³n judicial</t>
  </si>
  <si>
    <t xml:space="preserve">     1.01.03.01.43</t>
  </si>
  <si>
    <t>Loteo Prados del Libertador GCI</t>
  </si>
  <si>
    <t xml:space="preserve">     1.01.03.01.44</t>
  </si>
  <si>
    <t>Loteo Prados del Libertador AW</t>
  </si>
  <si>
    <t xml:space="preserve">     1.01.03.01.45</t>
  </si>
  <si>
    <t>Cheques Buffo - Cartera</t>
  </si>
  <si>
    <t xml:space="preserve">     1.01.03.01.46</t>
  </si>
  <si>
    <t>Cheques Buffo - Caja Seg.</t>
  </si>
  <si>
    <t xml:space="preserve">     1.01.03.01.48</t>
  </si>
  <si>
    <t>Loteo Prados del Libertador EL 1  Etapa</t>
  </si>
  <si>
    <t xml:space="preserve">     1.01.03.01.49</t>
  </si>
  <si>
    <t>Prados del Libertador AW 2  Etapa</t>
  </si>
  <si>
    <t xml:space="preserve">     1.01.03.01.50</t>
  </si>
  <si>
    <t>Prados del Libertador GCI 2  Etapa</t>
  </si>
  <si>
    <t xml:space="preserve">     1.01.03.01.51</t>
  </si>
  <si>
    <t>Loteo Prados del Libertador Marcos W.</t>
  </si>
  <si>
    <t xml:space="preserve">     1.01.03.01.52</t>
  </si>
  <si>
    <t>Loteo Prados del Libertador Sofia Lichtmajer</t>
  </si>
  <si>
    <t xml:space="preserve">     1.01.03.01.53</t>
  </si>
  <si>
    <t>Loteo Prados del Libertador Macarena CI</t>
  </si>
  <si>
    <t xml:space="preserve">     1.01.03.01.54</t>
  </si>
  <si>
    <t>Loteo Prados del Libertador Eleonora CI</t>
  </si>
  <si>
    <t xml:space="preserve">     1.01.03.01.55</t>
  </si>
  <si>
    <t>Loteo Prados del Libertador Sofia L II</t>
  </si>
  <si>
    <t xml:space="preserve">     1.01.03.01.56</t>
  </si>
  <si>
    <t>Deud. por Vtas.-Loteo P.D.Libertador - GCI III</t>
  </si>
  <si>
    <t xml:space="preserve">     1.01.03.01.57</t>
  </si>
  <si>
    <t>Deud. por Vtas. Loteo P.D.Libertador - AW III</t>
  </si>
  <si>
    <t xml:space="preserve">     1.01.03.01.58</t>
  </si>
  <si>
    <t>Deud. por Vtas. Loteo P.D.Libertador - E.L. II</t>
  </si>
  <si>
    <t xml:space="preserve">    1.01.03.02</t>
  </si>
  <si>
    <t>CREDITOS MOROSOS</t>
  </si>
  <si>
    <t xml:space="preserve">     1.01.03.02.01</t>
  </si>
  <si>
    <t>Deudores en Gestion</t>
  </si>
  <si>
    <t xml:space="preserve">     1.01.03.02.02</t>
  </si>
  <si>
    <t>Cheques Rechazados</t>
  </si>
  <si>
    <t xml:space="preserve">    1.01.03.03</t>
  </si>
  <si>
    <t>PREVISION POR INCOBRABILIDADES</t>
  </si>
  <si>
    <t xml:space="preserve">     1.01.03.03.01</t>
  </si>
  <si>
    <t>Prevision prar Creditos Incobrables</t>
  </si>
  <si>
    <t xml:space="preserve">   1.01.04</t>
  </si>
  <si>
    <t>OTROS CREDITOS</t>
  </si>
  <si>
    <t xml:space="preserve">    1.01.04.01</t>
  </si>
  <si>
    <t>CREDITOS FISCALES Y PREVISIONALES</t>
  </si>
  <si>
    <t xml:space="preserve">     1.01.04.01.01</t>
  </si>
  <si>
    <t>Imp.Ganancias - Anticipos</t>
  </si>
  <si>
    <t xml:space="preserve">     1.01.04.01.02</t>
  </si>
  <si>
    <t>Imp. a las Ganancias - Retenciones</t>
  </si>
  <si>
    <t xml:space="preserve">     1.01.04.01.03</t>
  </si>
  <si>
    <t>Imp.a las Ganancias - Saldo a Favor</t>
  </si>
  <si>
    <t xml:space="preserve">     1.01.04.01.04</t>
  </si>
  <si>
    <t>IVA Retenciones</t>
  </si>
  <si>
    <t xml:space="preserve">     1.01.04.01.05</t>
  </si>
  <si>
    <t>IVA Percepciones</t>
  </si>
  <si>
    <t xml:space="preserve">     1.01.04.01.06</t>
  </si>
  <si>
    <t>IVA CrÃ©dito Fiscal 21 %</t>
  </si>
  <si>
    <t xml:space="preserve">     1.01.04.01.07</t>
  </si>
  <si>
    <t>IVA CrÃ©dito Fiscal 10 5 %</t>
  </si>
  <si>
    <t xml:space="preserve">     1.01.04.01.08</t>
  </si>
  <si>
    <t>IVA CrÃ©dito Fiscal 27 %</t>
  </si>
  <si>
    <t xml:space="preserve">     1.01.04.01.09</t>
  </si>
  <si>
    <t>IVA Saldo a Favor</t>
  </si>
  <si>
    <t xml:space="preserve">     1.01.04.01.10</t>
  </si>
  <si>
    <t>IVA Anticipos s/ ventas</t>
  </si>
  <si>
    <t xml:space="preserve">     1.01.04.01.11</t>
  </si>
  <si>
    <t>Ingresos Brutos Retenciones</t>
  </si>
  <si>
    <t xml:space="preserve">     1.01.04.01.12</t>
  </si>
  <si>
    <t>Ingresos Brutos Percepciones</t>
  </si>
  <si>
    <t xml:space="preserve">     1.01.04.01.13</t>
  </si>
  <si>
    <t>Imp.a Gcia.MÃ­n.Pta.-Anticipos</t>
  </si>
  <si>
    <t xml:space="preserve">     1.01.04.01.14</t>
  </si>
  <si>
    <t>Imp.a Gcia.Min.Pres.-Sdo.a favor</t>
  </si>
  <si>
    <t xml:space="preserve">     1.01.04.01.15</t>
  </si>
  <si>
    <t>Imp.Ley 25413-CrÃ©dito</t>
  </si>
  <si>
    <t xml:space="preserve">     1.01.04.01.16</t>
  </si>
  <si>
    <t>ANSES Asignac.Fliar.P/Reintegro</t>
  </si>
  <si>
    <t xml:space="preserve">     1.01.04.01.18</t>
  </si>
  <si>
    <t>SUSS Saldo a Favor</t>
  </si>
  <si>
    <t xml:space="preserve">     1.01.04.01.19</t>
  </si>
  <si>
    <t>SUSS RG 4052/95</t>
  </si>
  <si>
    <t xml:space="preserve">     1.01.04.01.20</t>
  </si>
  <si>
    <t>IVA Credito Fiscal Pendiente</t>
  </si>
  <si>
    <t xml:space="preserve">     1.01.04.01.21</t>
  </si>
  <si>
    <t>Ingr. Brutos -Percepciones pendientes</t>
  </si>
  <si>
    <t xml:space="preserve">     1.01.04.01.22</t>
  </si>
  <si>
    <t>Ingr. Brutos Saldo a Favor</t>
  </si>
  <si>
    <t xml:space="preserve">     1.01.04.01.23</t>
  </si>
  <si>
    <t>Imp. GMP - Activo</t>
  </si>
  <si>
    <t xml:space="preserve">     1.01.04.01.24</t>
  </si>
  <si>
    <t>Certificado credito fiscal provincial</t>
  </si>
  <si>
    <t xml:space="preserve">     1.01.04.01.25</t>
  </si>
  <si>
    <t>Percepcion TEM</t>
  </si>
  <si>
    <t xml:space="preserve">     1.01.04.01.26</t>
  </si>
  <si>
    <t>Percepcion Publicidad y Propaganda</t>
  </si>
  <si>
    <t xml:space="preserve">     1.01.04.01.27</t>
  </si>
  <si>
    <t>Certificado credito fiscal Nacional</t>
  </si>
  <si>
    <t xml:space="preserve">     1.01.04.01.28</t>
  </si>
  <si>
    <t>Retenciones TEM</t>
  </si>
  <si>
    <t xml:space="preserve">     1.01.04.01.29</t>
  </si>
  <si>
    <t>TEM A FAVOR</t>
  </si>
  <si>
    <t xml:space="preserve">    1.01.04.02</t>
  </si>
  <si>
    <t>CREDITOS DIVERSOS</t>
  </si>
  <si>
    <t xml:space="preserve">     1.01.04.02.01</t>
  </si>
  <si>
    <t>Anticipo al Personal</t>
  </si>
  <si>
    <t xml:space="preserve">     1.01.04.02.02</t>
  </si>
  <si>
    <t>Prestamos al Personal</t>
  </si>
  <si>
    <t xml:space="preserve">     1.01.04.02.03</t>
  </si>
  <si>
    <t>Depositos en Garantia</t>
  </si>
  <si>
    <t>Enviar a credito por alquileres</t>
  </si>
  <si>
    <t xml:space="preserve">     1.01.04.02.04</t>
  </si>
  <si>
    <t>Gastos Pagados por Adelantado</t>
  </si>
  <si>
    <t xml:space="preserve">     1.01.04.02.05</t>
  </si>
  <si>
    <t>Gastos a Recuperar-Clientes</t>
  </si>
  <si>
    <t xml:space="preserve">     1.01.04.02.07</t>
  </si>
  <si>
    <t>Fondos a Rendir</t>
  </si>
  <si>
    <t xml:space="preserve">     1.01.04.02.08</t>
  </si>
  <si>
    <t>Fondo de Reparo</t>
  </si>
  <si>
    <t xml:space="preserve">     1.01.04.02.09</t>
  </si>
  <si>
    <t>Prestamos Socios</t>
  </si>
  <si>
    <t>Crear un sub rubro creditos con Socios</t>
  </si>
  <si>
    <t xml:space="preserve">     1.01.04.02.10</t>
  </si>
  <si>
    <t>Cuentas Particulares Socios</t>
  </si>
  <si>
    <t xml:space="preserve">     1.01.04.02.11</t>
  </si>
  <si>
    <t>P.I.F.</t>
  </si>
  <si>
    <t xml:space="preserve">     1.01.04.02.12</t>
  </si>
  <si>
    <t>Batia Vs Fideicomiso Monteagudo 847</t>
  </si>
  <si>
    <t xml:space="preserve">     1.01.04.02.13</t>
  </si>
  <si>
    <t>Batia Vs Fideicomiso Marcos Paz 888</t>
  </si>
  <si>
    <t xml:space="preserve">     1.01.04.02.14</t>
  </si>
  <si>
    <t>Batia Vs Fideicomiso Rivadavia 46</t>
  </si>
  <si>
    <t xml:space="preserve">     1.01.04.02.15</t>
  </si>
  <si>
    <t>Batia Vs Fideicomiso Balcarce 375</t>
  </si>
  <si>
    <t xml:space="preserve">     1.01.04.02.16</t>
  </si>
  <si>
    <t>Batia Vs Fideicomiso Corrientes 133</t>
  </si>
  <si>
    <t xml:space="preserve">     1.01.04.02.17</t>
  </si>
  <si>
    <t>Batia Vs Fideicomiso Balcarce 665</t>
  </si>
  <si>
    <t xml:space="preserve">     1.01.04.02.18</t>
  </si>
  <si>
    <t>Batia Vs La AÃ±orada</t>
  </si>
  <si>
    <t xml:space="preserve">     1.01.04.02.19</t>
  </si>
  <si>
    <t>Batia vs Fideicomiso Las Piedras 302</t>
  </si>
  <si>
    <t xml:space="preserve">     1.01.04.02.20</t>
  </si>
  <si>
    <t>Batia Vs Fideicomiso Monteagudo 740</t>
  </si>
  <si>
    <t xml:space="preserve">     1.01.04.02.21</t>
  </si>
  <si>
    <t>Prestamos a y de Terceros</t>
  </si>
  <si>
    <t xml:space="preserve">     1.01.04.02.22</t>
  </si>
  <si>
    <t>Gastos a recuperar-Socios o Empl.</t>
  </si>
  <si>
    <t xml:space="preserve">     1.01.04.02.23</t>
  </si>
  <si>
    <t>Edific. de 3  administrados</t>
  </si>
  <si>
    <t>Preguntar para que sirve</t>
  </si>
  <si>
    <t xml:space="preserve">     1.01.04.02.24</t>
  </si>
  <si>
    <t>Batia Vs Fideicomiso Santiago</t>
  </si>
  <si>
    <t xml:space="preserve">     1.01.04.02.25</t>
  </si>
  <si>
    <t>Prestamos a y de Terceros Mon. Extranjera</t>
  </si>
  <si>
    <t xml:space="preserve">     1.01.04.02.26</t>
  </si>
  <si>
    <t>Batia vs. Fideicomiso Balcarce 146</t>
  </si>
  <si>
    <t xml:space="preserve">     1.01.04.02.27</t>
  </si>
  <si>
    <t>Batia vs. Fideicomiso  Balcarce 373</t>
  </si>
  <si>
    <t xml:space="preserve">     1.01.04.02.28</t>
  </si>
  <si>
    <t xml:space="preserve">Pago Operac. Fideicomisos por Cta de 3 </t>
  </si>
  <si>
    <t xml:space="preserve">     1.01.04.02.29</t>
  </si>
  <si>
    <t>Batia vs. Fideicomsio Santiago 915</t>
  </si>
  <si>
    <t xml:space="preserve">     1.01.04.02.30</t>
  </si>
  <si>
    <t>Serv.contratados a cobrar</t>
  </si>
  <si>
    <t xml:space="preserve">     1.01.04.02.31</t>
  </si>
  <si>
    <t>Batia Vs. Fideicomiso Laprida 416</t>
  </si>
  <si>
    <t xml:space="preserve">     1.01.04.02.32</t>
  </si>
  <si>
    <t>Batia Vs Fideicomiso Mate de Luna</t>
  </si>
  <si>
    <t xml:space="preserve">     1.01.04.02.33</t>
  </si>
  <si>
    <t>Batia vs Norfork</t>
  </si>
  <si>
    <t xml:space="preserve">     1.01.04.02.36</t>
  </si>
  <si>
    <t>Batia Vs. Camino de l Peru</t>
  </si>
  <si>
    <t xml:space="preserve">     1.01.04.02.37</t>
  </si>
  <si>
    <t>Batia vs. Hegae SRL</t>
  </si>
  <si>
    <t xml:space="preserve">     1.01.04.02.38</t>
  </si>
  <si>
    <t>Retiro a cuenta de futuras utilidades</t>
  </si>
  <si>
    <t xml:space="preserve">     1.01.04.02.39</t>
  </si>
  <si>
    <t>Batia vs. Fid.Junin 616</t>
  </si>
  <si>
    <t xml:space="preserve">     1.01.04.02.40</t>
  </si>
  <si>
    <t>Costo vta.inm.diferido</t>
  </si>
  <si>
    <t xml:space="preserve">     1.01.04.02.41</t>
  </si>
  <si>
    <t>Batia vs. Santiago 711</t>
  </si>
  <si>
    <t xml:space="preserve">     1.01.04.02.42</t>
  </si>
  <si>
    <t>Batia vs.Fideicomiso PCIW - Tucuman</t>
  </si>
  <si>
    <t xml:space="preserve">     1.01.04.02.43</t>
  </si>
  <si>
    <t>Certificado de EDET</t>
  </si>
  <si>
    <t xml:space="preserve">     1.01.04.02.44</t>
  </si>
  <si>
    <t>Batia vs. Fideic. San Lorenzo</t>
  </si>
  <si>
    <t xml:space="preserve">     1.01.04.02.45</t>
  </si>
  <si>
    <t>Cesiones de derechos</t>
  </si>
  <si>
    <t xml:space="preserve">     1.01.04.02.46</t>
  </si>
  <si>
    <t>Batia vs. Fid. Medical Park</t>
  </si>
  <si>
    <t xml:space="preserve">     1.01.04.02.47</t>
  </si>
  <si>
    <t>Batia vs. Anta La Rinconada</t>
  </si>
  <si>
    <t xml:space="preserve">     1.01.04.02.48</t>
  </si>
  <si>
    <t>Sueldo Edgardo</t>
  </si>
  <si>
    <t xml:space="preserve">     1.01.04.02.49</t>
  </si>
  <si>
    <t>Batia vs. Fid.Solano Vera</t>
  </si>
  <si>
    <t xml:space="preserve">     1.01.04.02.50</t>
  </si>
  <si>
    <t>Batia Vs Drogueria</t>
  </si>
  <si>
    <t xml:space="preserve">     1.01.04.02.51</t>
  </si>
  <si>
    <t>Prestamos Buffo a Batia</t>
  </si>
  <si>
    <t xml:space="preserve">     1.01.04.02.52</t>
  </si>
  <si>
    <t>Prestamos Solano Vera a Batia</t>
  </si>
  <si>
    <t xml:space="preserve">     1.01.04.02.53</t>
  </si>
  <si>
    <t>Embargos Judiciales</t>
  </si>
  <si>
    <t xml:space="preserve">     1.01.04.02.54</t>
  </si>
  <si>
    <t>Socio por cuenta prestamo Guare SRL</t>
  </si>
  <si>
    <t xml:space="preserve">     1.01.04.02.55</t>
  </si>
  <si>
    <t>Batia vs Guare SRL</t>
  </si>
  <si>
    <t xml:space="preserve">     1.01.04.02.56</t>
  </si>
  <si>
    <t>Prestamo auto</t>
  </si>
  <si>
    <t xml:space="preserve">     1.01.04.02.57</t>
  </si>
  <si>
    <t>Batia vs Wercolich S.R.L</t>
  </si>
  <si>
    <t xml:space="preserve">     1.01.04.02.58</t>
  </si>
  <si>
    <t>Batia vs Fedicomiso San Pablo Este</t>
  </si>
  <si>
    <t xml:space="preserve">     1.01.04.02.59</t>
  </si>
  <si>
    <t>Prestamo WCL - General Paz 253</t>
  </si>
  <si>
    <t xml:space="preserve">     1.01.04.02.60</t>
  </si>
  <si>
    <t>Prestamos Socios - Cta particular</t>
  </si>
  <si>
    <t xml:space="preserve">     1.01.04.02.61</t>
  </si>
  <si>
    <t>Inversión en Torres SP SRL</t>
  </si>
  <si>
    <t>Enviar a inversiones?</t>
  </si>
  <si>
    <t xml:space="preserve">     1.01.04.02.62</t>
  </si>
  <si>
    <t>Socio por cuenta prestamo Torres SP SRL</t>
  </si>
  <si>
    <t xml:space="preserve">     1.01.04.02.63</t>
  </si>
  <si>
    <t>Aportes Mejora Torres SP--MEJORA</t>
  </si>
  <si>
    <t xml:space="preserve">     1.01.04.02.64</t>
  </si>
  <si>
    <t>Inversión de socios - Torres SP SRL</t>
  </si>
  <si>
    <t xml:space="preserve">     1.01.04.02.65</t>
  </si>
  <si>
    <t>Aportes DOLARES (M) Torres SP</t>
  </si>
  <si>
    <t xml:space="preserve">     1.01.04.02.66</t>
  </si>
  <si>
    <t>Fondo a rendir en U$S</t>
  </si>
  <si>
    <t>S</t>
  </si>
  <si>
    <t xml:space="preserve">   1.01.05</t>
  </si>
  <si>
    <t>BIENES DE CAMBIO</t>
  </si>
  <si>
    <t xml:space="preserve">    1.01.05.01</t>
  </si>
  <si>
    <t>EN PROCESO Y TERMINADOS</t>
  </si>
  <si>
    <t xml:space="preserve">     1.01.05.01.01</t>
  </si>
  <si>
    <t>Gastos de Cultivos CaÃ±a Anteriores</t>
  </si>
  <si>
    <t xml:space="preserve">     1.01.05.01.02</t>
  </si>
  <si>
    <t>Azucar</t>
  </si>
  <si>
    <t xml:space="preserve">     1.01.05.01.03</t>
  </si>
  <si>
    <t>Azucar Crudo</t>
  </si>
  <si>
    <t xml:space="preserve">     1.01.05.01.04</t>
  </si>
  <si>
    <t>Obras en ConstrucciÃ³n</t>
  </si>
  <si>
    <t>Enviar a En proceso</t>
  </si>
  <si>
    <t xml:space="preserve">     1.01.05.01.05</t>
  </si>
  <si>
    <t>Edificios Terminados</t>
  </si>
  <si>
    <t xml:space="preserve">enviar a Terminados </t>
  </si>
  <si>
    <t xml:space="preserve">     1.01.05.01.06</t>
  </si>
  <si>
    <t>Terrenos</t>
  </si>
  <si>
    <t xml:space="preserve">     1.01.05.01.07</t>
  </si>
  <si>
    <t>Loteos</t>
  </si>
  <si>
    <t xml:space="preserve">     1.01.05.01.08</t>
  </si>
  <si>
    <t>Sementeras</t>
  </si>
  <si>
    <t xml:space="preserve">     1.01.05.01.10</t>
  </si>
  <si>
    <t>Stock Loteo Prado del Libertador</t>
  </si>
  <si>
    <t xml:space="preserve">    1.01.05.02</t>
  </si>
  <si>
    <t>OTROS BIENES DE CAMBIO</t>
  </si>
  <si>
    <t>Cambiar nombre a Insumos y Materiales</t>
  </si>
  <si>
    <t xml:space="preserve">     1.01.05.02.01</t>
  </si>
  <si>
    <t>Abonos</t>
  </si>
  <si>
    <t xml:space="preserve">     1.01.05.02.02</t>
  </si>
  <si>
    <t>Herbicidas</t>
  </si>
  <si>
    <t xml:space="preserve">     1.01.05.02.03</t>
  </si>
  <si>
    <t>Materiales de ConstrucciÃ³n</t>
  </si>
  <si>
    <t xml:space="preserve">     1.01.05.02.04</t>
  </si>
  <si>
    <t>Otros Insumos y Elementos para Obra</t>
  </si>
  <si>
    <t xml:space="preserve">     1.01.05.02.05</t>
  </si>
  <si>
    <t>Rodados</t>
  </si>
  <si>
    <t xml:space="preserve">     1.01.05.02.06</t>
  </si>
  <si>
    <t>Casas y Departamentos Recibidos</t>
  </si>
  <si>
    <t xml:space="preserve">     1.01.05.02.07</t>
  </si>
  <si>
    <t>Loteo Esquina -Ariel Werblud</t>
  </si>
  <si>
    <t xml:space="preserve">     1.01.05.02.08</t>
  </si>
  <si>
    <t>Loteo Esquina Gustavo Cohen I.</t>
  </si>
  <si>
    <t xml:space="preserve">     1.01.05.02.09</t>
  </si>
  <si>
    <t>Loteo Esquina-A lotear</t>
  </si>
  <si>
    <t xml:space="preserve">     1.01.05.02.40</t>
  </si>
  <si>
    <t>Medicamentos</t>
  </si>
  <si>
    <t xml:space="preserve">     1.01.05.02.41</t>
  </si>
  <si>
    <t>Departamentos</t>
  </si>
  <si>
    <t xml:space="preserve">   1.01.06</t>
  </si>
  <si>
    <t>BIENES DE USO</t>
  </si>
  <si>
    <t xml:space="preserve">    1.01.06.01</t>
  </si>
  <si>
    <t>INMUEBLES</t>
  </si>
  <si>
    <t>Dividir entre Valores de Origenes Amortizacion acumulada</t>
  </si>
  <si>
    <t xml:space="preserve">     1.01.06.01.01</t>
  </si>
  <si>
    <t>Terrenos para construccion</t>
  </si>
  <si>
    <t xml:space="preserve">     1.01.06.01.02</t>
  </si>
  <si>
    <t>Fincas</t>
  </si>
  <si>
    <t xml:space="preserve">     1.01.06.01.03</t>
  </si>
  <si>
    <t>Desmonte</t>
  </si>
  <si>
    <t xml:space="preserve">     1.01.06.01.04</t>
  </si>
  <si>
    <t>ForestaciÃ³n</t>
  </si>
  <si>
    <t xml:space="preserve">     1.01.06.01.05</t>
  </si>
  <si>
    <t>Edificios de Construcciones</t>
  </si>
  <si>
    <t xml:space="preserve">     1.01.06.01.06</t>
  </si>
  <si>
    <t>Amort. Acum. Edificios y Construcciones</t>
  </si>
  <si>
    <t>Enviar a Amort Acum</t>
  </si>
  <si>
    <t xml:space="preserve">    1.01.06.02</t>
  </si>
  <si>
    <t>BIENES PARA EXPLOTACION</t>
  </si>
  <si>
    <t xml:space="preserve">     1.01.06.02.01</t>
  </si>
  <si>
    <t>Alambrados</t>
  </si>
  <si>
    <t xml:space="preserve">     1.01.06.02.02</t>
  </si>
  <si>
    <t>Instalaciones p/ ExplotaciÃ³n</t>
  </si>
  <si>
    <t xml:space="preserve">     1.01.06.02.03</t>
  </si>
  <si>
    <t>Maquinarias y Equipos</t>
  </si>
  <si>
    <t xml:space="preserve">     1.01.06.02.04</t>
  </si>
  <si>
    <t>Tractores</t>
  </si>
  <si>
    <t xml:space="preserve">     1.01.06.02.05</t>
  </si>
  <si>
    <t>Herramientas y Utiles</t>
  </si>
  <si>
    <t xml:space="preserve">     1.01.06.02.06</t>
  </si>
  <si>
    <t>Implementos Agricolas</t>
  </si>
  <si>
    <t xml:space="preserve">     1.01.06.02.07</t>
  </si>
  <si>
    <t>CaÃ±averales</t>
  </si>
  <si>
    <t xml:space="preserve">     1.01.06.02.08</t>
  </si>
  <si>
    <t>Amort. Acum. Alambrados</t>
  </si>
  <si>
    <t xml:space="preserve">     1.01.06.02.09</t>
  </si>
  <si>
    <t>Amort. Acum p/ Explotacion</t>
  </si>
  <si>
    <t xml:space="preserve">     1.01.06.02.10</t>
  </si>
  <si>
    <t>Amort. Acum. Maquinarias y Equipos</t>
  </si>
  <si>
    <t xml:space="preserve">     1.01.06.02.11</t>
  </si>
  <si>
    <t>Amort Acum Tractores</t>
  </si>
  <si>
    <t xml:space="preserve">     1.01.06.02.12</t>
  </si>
  <si>
    <t>Amort. Acum. Herramientas y Utiles</t>
  </si>
  <si>
    <t xml:space="preserve">     1.01.06.02.13</t>
  </si>
  <si>
    <t>Amort. Acum. Implementos AgrÃ­colas</t>
  </si>
  <si>
    <t xml:space="preserve">     1.01.06.02.14</t>
  </si>
  <si>
    <t>Amort. Acum. CaÃ±averlaes</t>
  </si>
  <si>
    <t xml:space="preserve">    1.01.06.03</t>
  </si>
  <si>
    <t>OTROS BIENES DE USO</t>
  </si>
  <si>
    <t xml:space="preserve">     1.01.06.03.01</t>
  </si>
  <si>
    <t xml:space="preserve">     1.01.06.03.02</t>
  </si>
  <si>
    <t>Muebles y Utiles</t>
  </si>
  <si>
    <t xml:space="preserve">     1.01.06.03.03</t>
  </si>
  <si>
    <t>Instalaciones</t>
  </si>
  <si>
    <t xml:space="preserve">     1.01.06.03.05</t>
  </si>
  <si>
    <t>Amort. Acum. Rodados</t>
  </si>
  <si>
    <t xml:space="preserve">     1.01.06.03.06</t>
  </si>
  <si>
    <t>Amort. Acum. Muebles y Utiles</t>
  </si>
  <si>
    <t xml:space="preserve">     1.01.06.03.07</t>
  </si>
  <si>
    <t>Amort. Acum. Instalaciones</t>
  </si>
  <si>
    <t xml:space="preserve">     1.01.06.03.40</t>
  </si>
  <si>
    <t>Instalaciones DroguerÃ­a</t>
  </si>
  <si>
    <t xml:space="preserve">     1.01.06.03.41</t>
  </si>
  <si>
    <t>Am Acum Instalaciones DroguerÃ­a</t>
  </si>
  <si>
    <t xml:space="preserve">     1.01.06.03.42</t>
  </si>
  <si>
    <t>Muebles y Utiles DroguerÃ­a</t>
  </si>
  <si>
    <t xml:space="preserve">     1.01.06.03.43</t>
  </si>
  <si>
    <t>Am Acum Muebles y Utiles DroguerÃ­a</t>
  </si>
  <si>
    <t xml:space="preserve">   1.01.07</t>
  </si>
  <si>
    <t xml:space="preserve">    1.01.07.01</t>
  </si>
  <si>
    <t>INVERSIONES EN INMUEBLES</t>
  </si>
  <si>
    <t xml:space="preserve">     1.01.07.01.01</t>
  </si>
  <si>
    <t>Inmuebles Obra Propia</t>
  </si>
  <si>
    <t xml:space="preserve">     1.01.07.01.02</t>
  </si>
  <si>
    <t>Inmuebles en Fideicomiso</t>
  </si>
  <si>
    <t xml:space="preserve">     1.01.07.01.03</t>
  </si>
  <si>
    <t>Inversiones en otras empresas</t>
  </si>
  <si>
    <t>PASIVO</t>
  </si>
  <si>
    <t xml:space="preserve">   2.01.01</t>
  </si>
  <si>
    <t>CUENTAS POR PAGAR</t>
  </si>
  <si>
    <t xml:space="preserve">    2.01.01.01</t>
  </si>
  <si>
    <t>DEUDAS EN CUENTA CORRIENTE</t>
  </si>
  <si>
    <t xml:space="preserve">     2.01.01.01.01</t>
  </si>
  <si>
    <t>Proveedores</t>
  </si>
  <si>
    <t xml:space="preserve">     2.01.01.01.03</t>
  </si>
  <si>
    <t>Compras Anticipadas</t>
  </si>
  <si>
    <t xml:space="preserve">     2.01.01.01.04</t>
  </si>
  <si>
    <t>Proveedores Casa Fernandez</t>
  </si>
  <si>
    <t>Que es?</t>
  </si>
  <si>
    <t xml:space="preserve">     2.01.01.01.05</t>
  </si>
  <si>
    <t>Compras Comprometidas</t>
  </si>
  <si>
    <t xml:space="preserve">     2.01.01.01.06</t>
  </si>
  <si>
    <t>Materiales Comprometidos</t>
  </si>
  <si>
    <t xml:space="preserve">     2.01.01.01.07</t>
  </si>
  <si>
    <t>Serv. contratados a pagar</t>
  </si>
  <si>
    <t xml:space="preserve">     2.01.01.01.08</t>
  </si>
  <si>
    <t>Gastos No Devengados</t>
  </si>
  <si>
    <t xml:space="preserve">     2.01.01.01.10</t>
  </si>
  <si>
    <t>SeÃ±as de Clientes</t>
  </si>
  <si>
    <t xml:space="preserve">    2.01.01.02</t>
  </si>
  <si>
    <t>DEUDAS DOCUMENTADAS</t>
  </si>
  <si>
    <t xml:space="preserve">     2.01.01.02.01</t>
  </si>
  <si>
    <t>Documentos por Pagar</t>
  </si>
  <si>
    <t xml:space="preserve">     2.01.01.02.02</t>
  </si>
  <si>
    <t>Cheques Diferidos Emitidos</t>
  </si>
  <si>
    <t xml:space="preserve">    2.01.01.03</t>
  </si>
  <si>
    <t>OTRAS DEUDAS COMERCIALES</t>
  </si>
  <si>
    <t xml:space="preserve">     2.01.01.03.01</t>
  </si>
  <si>
    <t>Compromisos de ventas</t>
  </si>
  <si>
    <t xml:space="preserve">     2.01.01.03.02</t>
  </si>
  <si>
    <t>Compromiso de Entrega Por Canje</t>
  </si>
  <si>
    <t xml:space="preserve">     2.01.01.03.03</t>
  </si>
  <si>
    <t>Deposito en Gtia Alquileres a Reintegrar</t>
  </si>
  <si>
    <t>Enviar a op alquileres</t>
  </si>
  <si>
    <t xml:space="preserve">     2.01.01.03.04</t>
  </si>
  <si>
    <t>Gastos a Pagar por cta de terceros</t>
  </si>
  <si>
    <t xml:space="preserve">     2.01.01.03.06</t>
  </si>
  <si>
    <t>Alquileres  de 3  a Reintegrar</t>
  </si>
  <si>
    <t xml:space="preserve">     2.01.01.03.07</t>
  </si>
  <si>
    <t>Socios Loteos a Reintegrar</t>
  </si>
  <si>
    <t>Enviar a op loteos</t>
  </si>
  <si>
    <t xml:space="preserve">     2.01.01.03.08</t>
  </si>
  <si>
    <t>Tarjeta credito corporativa a pagar</t>
  </si>
  <si>
    <t xml:space="preserve">     2.01.01.03.10</t>
  </si>
  <si>
    <t>Deudas x Operac. en Fideic.</t>
  </si>
  <si>
    <t xml:space="preserve">     2.01.01.03.11</t>
  </si>
  <si>
    <t>Anticipo de Clientes</t>
  </si>
  <si>
    <t xml:space="preserve">     2.01.01.03.12</t>
  </si>
  <si>
    <t>Deudas varias a pagar</t>
  </si>
  <si>
    <t xml:space="preserve">     2.01.01.03.13</t>
  </si>
  <si>
    <t>Dep.gtia.alq.de 3  a reintegrar</t>
  </si>
  <si>
    <t xml:space="preserve">     2.01.01.03.14</t>
  </si>
  <si>
    <t>Cuentas de 3  a Cobrar</t>
  </si>
  <si>
    <t xml:space="preserve">     2.01.01.03.15</t>
  </si>
  <si>
    <t>Propietarios a pagar x Vta de lotes PCIW</t>
  </si>
  <si>
    <t xml:space="preserve">     2.01.01.03.16</t>
  </si>
  <si>
    <t>Propietarios a pagar x vta de lotes Prado del Libertador A y G - WCL</t>
  </si>
  <si>
    <t xml:space="preserve">     2.01.01.03.17</t>
  </si>
  <si>
    <t>Propietarios a pagar x vta de lotes Prados de Libertador A y G - Francisco</t>
  </si>
  <si>
    <t xml:space="preserve">     2.01.01.03.18</t>
  </si>
  <si>
    <t>Propietarios a pagar x Op.de vta San Lorenzo</t>
  </si>
  <si>
    <t xml:space="preserve">     2.01.01.03.19</t>
  </si>
  <si>
    <t>Propietarios a pagar por vta de lotes PCIW adjudicados</t>
  </si>
  <si>
    <t xml:space="preserve">     2.01.01.03.20</t>
  </si>
  <si>
    <t>Propietarios a pagar x vta de lotes Prado del Libertador EL - Francisco</t>
  </si>
  <si>
    <t xml:space="preserve">     2.01.01.03.21</t>
  </si>
  <si>
    <t>Propietarios a pagar x vta de lotes Prado del Libertador EL - WCL</t>
  </si>
  <si>
    <t xml:space="preserve">     2.01.01.03.22</t>
  </si>
  <si>
    <t>Ventas varias Grupo WCL</t>
  </si>
  <si>
    <t xml:space="preserve">   2.01.02</t>
  </si>
  <si>
    <t>DEUDAS FISCALES Y PREVISIONALES</t>
  </si>
  <si>
    <t xml:space="preserve">    2.01.02.01</t>
  </si>
  <si>
    <t>REMUNERACIONES Y CARGAS SOCIALES</t>
  </si>
  <si>
    <t xml:space="preserve">     2.01.02.01.01</t>
  </si>
  <si>
    <t>Sueldos y Jornales a Pagar</t>
  </si>
  <si>
    <t xml:space="preserve">     2.01.02.01.02</t>
  </si>
  <si>
    <t>SUSS a pagar</t>
  </si>
  <si>
    <t xml:space="preserve">     2.01.02.01.03</t>
  </si>
  <si>
    <t>ART a pagar</t>
  </si>
  <si>
    <t xml:space="preserve">     2.01.02.01.04</t>
  </si>
  <si>
    <t>Fondo de Desempleo</t>
  </si>
  <si>
    <t xml:space="preserve">     2.01.02.01.05</t>
  </si>
  <si>
    <t>UOCRA a pagar</t>
  </si>
  <si>
    <t xml:space="preserve">     2.01.02.01.06</t>
  </si>
  <si>
    <t>SEOC</t>
  </si>
  <si>
    <t xml:space="preserve">     2.01.02.01.07</t>
  </si>
  <si>
    <t>FATHERY</t>
  </si>
  <si>
    <t xml:space="preserve">     2.01.02.01.08</t>
  </si>
  <si>
    <t>SUTHER</t>
  </si>
  <si>
    <t xml:space="preserve">     2.01.02.01.09</t>
  </si>
  <si>
    <t>FAECYS</t>
  </si>
  <si>
    <t xml:space="preserve">     2.01.02.01.10</t>
  </si>
  <si>
    <t>IERIC a pagar</t>
  </si>
  <si>
    <t xml:space="preserve">     2.01.02.01.11</t>
  </si>
  <si>
    <t>Salud PÃ blica a Pagar</t>
  </si>
  <si>
    <t xml:space="preserve">     2.01.02.01.12</t>
  </si>
  <si>
    <t>Provision Vacaciones a Pagar</t>
  </si>
  <si>
    <t xml:space="preserve">     2.01.02.01.13</t>
  </si>
  <si>
    <t>Indemnizaciones a Pagar</t>
  </si>
  <si>
    <t xml:space="preserve">     2.01.02.01.14</t>
  </si>
  <si>
    <t>Embargo judicial empleados</t>
  </si>
  <si>
    <t xml:space="preserve">     2.01.02.01.15</t>
  </si>
  <si>
    <t>INACAP</t>
  </si>
  <si>
    <t xml:space="preserve">     2.01.02.01.16</t>
  </si>
  <si>
    <t>U.E.C.A.R.A.</t>
  </si>
  <si>
    <t xml:space="preserve">     2.01.02.01.17</t>
  </si>
  <si>
    <t>Sueldo y Carg Soc a Pagar - Sbcta</t>
  </si>
  <si>
    <t xml:space="preserve">     2.01.02.01.18</t>
  </si>
  <si>
    <t>FATSA</t>
  </si>
  <si>
    <t xml:space="preserve">    2.01.02.02</t>
  </si>
  <si>
    <t>CARGAS FISCALES</t>
  </si>
  <si>
    <t xml:space="preserve">     2.01.02.02.01</t>
  </si>
  <si>
    <t>IVA DÃ©bito Fiscal 21%</t>
  </si>
  <si>
    <t xml:space="preserve">     2.01.02.02.02</t>
  </si>
  <si>
    <t>IVA DÃ©bito Fiscal 10 5 %</t>
  </si>
  <si>
    <t xml:space="preserve">     2.01.02.02.06</t>
  </si>
  <si>
    <t>IVA a Pagar</t>
  </si>
  <si>
    <t xml:space="preserve">     2.01.02.02.07</t>
  </si>
  <si>
    <t>IVA Retenciones a Depositar</t>
  </si>
  <si>
    <t xml:space="preserve">     2.01.02.02.08</t>
  </si>
  <si>
    <t>Imp Ganancias Retenciones RG 830 Bs Muebles y Bs de Cbio a Dep</t>
  </si>
  <si>
    <t xml:space="preserve">     2.01.02.02.09</t>
  </si>
  <si>
    <t>Imp. a Ganancias a Pagar</t>
  </si>
  <si>
    <t xml:space="preserve">     2.01.02.02.10</t>
  </si>
  <si>
    <t>Imp.a Gcia. MÃ­nima Presunta a Pagar</t>
  </si>
  <si>
    <t xml:space="preserve">     2.01.02.02.11</t>
  </si>
  <si>
    <t>Imp.Bs.Pers.Soc. y Part.a Pagar</t>
  </si>
  <si>
    <t xml:space="preserve">     2.01.02.02.12</t>
  </si>
  <si>
    <t>Ingresos Brutos a Pagar</t>
  </si>
  <si>
    <t xml:space="preserve">     2.01.02.02.13</t>
  </si>
  <si>
    <t>Ingresos Brutos Retenc. 3.5% a Depositar</t>
  </si>
  <si>
    <t xml:space="preserve">     2.01.02.02.15</t>
  </si>
  <si>
    <t>Impuesto al riego a pagar</t>
  </si>
  <si>
    <t xml:space="preserve">     2.01.02.02.16</t>
  </si>
  <si>
    <t>Imp. Inmobiliario a Pagar-Loteo Lapachos</t>
  </si>
  <si>
    <t xml:space="preserve">     2.01.02.02.17</t>
  </si>
  <si>
    <t>Tacis a Pagar</t>
  </si>
  <si>
    <t xml:space="preserve">     2.01.02.02.18</t>
  </si>
  <si>
    <t>Tasa Uso del Agua a Pagar</t>
  </si>
  <si>
    <t xml:space="preserve">     2.01.02.02.19</t>
  </si>
  <si>
    <t>Otros Imp.Prov.y Munic.a Pagar</t>
  </si>
  <si>
    <t xml:space="preserve">     2.01.02.02.20</t>
  </si>
  <si>
    <t>Imp Ganancias Retenciones RG 830 Locac Obras y Serv a Dep</t>
  </si>
  <si>
    <t xml:space="preserve">     2.01.02.02.21</t>
  </si>
  <si>
    <t>Imp Ganancias Retenciones RG 830 Honorarios a Dep</t>
  </si>
  <si>
    <t xml:space="preserve">     2.01.02.02.22</t>
  </si>
  <si>
    <t>Ingresos Brutos Retenc. 1.75% a Depositar</t>
  </si>
  <si>
    <t xml:space="preserve">     2.01.02.02.23</t>
  </si>
  <si>
    <t>SIJP Retenciones a Depositar</t>
  </si>
  <si>
    <t xml:space="preserve">     2.01.02.02.24</t>
  </si>
  <si>
    <t>SIJP Ret. a dep.Balc.375</t>
  </si>
  <si>
    <t xml:space="preserve">     2.01.02.02.25</t>
  </si>
  <si>
    <t>Retenc. TEM a pagar</t>
  </si>
  <si>
    <t xml:space="preserve">     2.01.02.02.26</t>
  </si>
  <si>
    <t>Retenc. P. Y P. a pagar</t>
  </si>
  <si>
    <t xml:space="preserve">     2.01.02.02.30</t>
  </si>
  <si>
    <t>Afip- Plan Facilidades de pago</t>
  </si>
  <si>
    <t xml:space="preserve">     2.01.02.02.31</t>
  </si>
  <si>
    <t>Imp. Ganancias-ProvisiÃ²n</t>
  </si>
  <si>
    <t xml:space="preserve">     2.01.02.02.32</t>
  </si>
  <si>
    <t>Anticipos Bs.Pers. -socios</t>
  </si>
  <si>
    <t xml:space="preserve">     2.01.02.02.33</t>
  </si>
  <si>
    <t>Anticipos Gcias.-socios</t>
  </si>
  <si>
    <t xml:space="preserve">     2.01.02.02.34</t>
  </si>
  <si>
    <t xml:space="preserve">IB a Pag. X cta. de 3 </t>
  </si>
  <si>
    <t xml:space="preserve">     2.01.02.02.35</t>
  </si>
  <si>
    <t xml:space="preserve">Tacis a pagar x cta.de 3 </t>
  </si>
  <si>
    <t xml:space="preserve">     2.01.02.02.36</t>
  </si>
  <si>
    <t>IVA Debito Fiscal pendiente</t>
  </si>
  <si>
    <t xml:space="preserve">     2.01.02.02.37</t>
  </si>
  <si>
    <t>DIM Plan Facilidades de pago</t>
  </si>
  <si>
    <t xml:space="preserve">     2.01.02.02.38</t>
  </si>
  <si>
    <t>Provision Impositiva</t>
  </si>
  <si>
    <t xml:space="preserve">     2.01.02.02.39</t>
  </si>
  <si>
    <t>Planes de pago impositivos a pagar</t>
  </si>
  <si>
    <t xml:space="preserve">   2.01.03</t>
  </si>
  <si>
    <t>DEUDAS BANCARIAS</t>
  </si>
  <si>
    <t xml:space="preserve">    2.01.03.01</t>
  </si>
  <si>
    <t>DEUDAS BANCARIAS A SOLA FIRMA</t>
  </si>
  <si>
    <t xml:space="preserve">     2.01.03.01.01</t>
  </si>
  <si>
    <t>Prestamo Bancario</t>
  </si>
  <si>
    <t xml:space="preserve">     2.01.03.01.04</t>
  </si>
  <si>
    <t>Prestamo Banco Galicia</t>
  </si>
  <si>
    <t xml:space="preserve">     2.01.03.01.06</t>
  </si>
  <si>
    <t>Prestamo Banco Citi</t>
  </si>
  <si>
    <t xml:space="preserve">     2.01.03.01.07</t>
  </si>
  <si>
    <t>Prestamo Credicoop</t>
  </si>
  <si>
    <t xml:space="preserve">    2.01.03.02</t>
  </si>
  <si>
    <t>DEUDAS BANCARIAS C/ GTIA</t>
  </si>
  <si>
    <t xml:space="preserve">   2.01.04</t>
  </si>
  <si>
    <t>OTRAS DEUDAS</t>
  </si>
  <si>
    <t xml:space="preserve">    2.01.04.01</t>
  </si>
  <si>
    <t>DEUDAS C/ SOCIOS</t>
  </si>
  <si>
    <t xml:space="preserve">     2.01.04.01.02</t>
  </si>
  <si>
    <t>Honorarios Socios a Pagar</t>
  </si>
  <si>
    <t xml:space="preserve">    2.01.04.02</t>
  </si>
  <si>
    <t>DEUDAS DIVERSAS</t>
  </si>
  <si>
    <t xml:space="preserve">     2.01.04.02.01</t>
  </si>
  <si>
    <t>Honorarios Profesionales a Pagar</t>
  </si>
  <si>
    <t xml:space="preserve">     2.01.04.02.04</t>
  </si>
  <si>
    <t>IVA  Recuperado a Pagar</t>
  </si>
  <si>
    <t xml:space="preserve">     2.01.04.02.05</t>
  </si>
  <si>
    <t xml:space="preserve">SeÃ±as recibidas por cta. de 3 </t>
  </si>
  <si>
    <t xml:space="preserve">     2.01.04.02.06</t>
  </si>
  <si>
    <t>Prestamos Socios en Moneda Extranjera</t>
  </si>
  <si>
    <t>Enviar a Deuda con los socios</t>
  </si>
  <si>
    <t xml:space="preserve">     2.01.04.02.07</t>
  </si>
  <si>
    <t xml:space="preserve">Cobranzas por cuenta de 3 </t>
  </si>
  <si>
    <t xml:space="preserve">     2.01.04.02.08</t>
  </si>
  <si>
    <t>Gto.cobr.x adel. cltes.loteo</t>
  </si>
  <si>
    <t xml:space="preserve">     2.01.04.02.09</t>
  </si>
  <si>
    <t>Cuentas por pagar en mneda extranjera</t>
  </si>
  <si>
    <t xml:space="preserve">     2.01.04.02.10</t>
  </si>
  <si>
    <t>Obligaciones a Pagar</t>
  </si>
  <si>
    <t xml:space="preserve">     2.01.04.02.11</t>
  </si>
  <si>
    <t>Fdo. Reparac.ygtos.final.fideicomisos</t>
  </si>
  <si>
    <t xml:space="preserve">     2.01.04.02.12</t>
  </si>
  <si>
    <t>Venta inversiones diferida</t>
  </si>
  <si>
    <t xml:space="preserve">     2.01.04.02.13</t>
  </si>
  <si>
    <t>Fondo de Reserva Fid. San Lorenzo</t>
  </si>
  <si>
    <t xml:space="preserve">   2.01.05</t>
  </si>
  <si>
    <t>PREVISIONES</t>
  </si>
  <si>
    <t xml:space="preserve">    2.01.05.01</t>
  </si>
  <si>
    <t>PREVISIONES P/ DESPIDO Y JUCIOS</t>
  </si>
  <si>
    <t xml:space="preserve">     2.01.05.01.01</t>
  </si>
  <si>
    <t>Provision Para Despidos</t>
  </si>
  <si>
    <t xml:space="preserve">     2.01.05.01.02</t>
  </si>
  <si>
    <t>PrevisiÃ³n p/ Juicios</t>
  </si>
  <si>
    <t xml:space="preserve">     2.01.05.01.03</t>
  </si>
  <si>
    <t>Provision p/  SAC a pagar</t>
  </si>
  <si>
    <t>Reimputar a deudas sociales</t>
  </si>
  <si>
    <t xml:space="preserve">    2.01.05.02</t>
  </si>
  <si>
    <t>PREVISIONES DIVERSAS</t>
  </si>
  <si>
    <t xml:space="preserve">     2.01.05.02.01</t>
  </si>
  <si>
    <t>Previsiones Varias</t>
  </si>
  <si>
    <t>PATRIMONIO NETO</t>
  </si>
  <si>
    <t xml:space="preserve">   3.01.01</t>
  </si>
  <si>
    <t>APORTE DE LOS PROPIETARIOS</t>
  </si>
  <si>
    <t xml:space="preserve">    3.01.01.01</t>
  </si>
  <si>
    <t>CAPITAL</t>
  </si>
  <si>
    <t xml:space="preserve">     3.01.01.01.01</t>
  </si>
  <si>
    <t>Capital Social</t>
  </si>
  <si>
    <t xml:space="preserve">     3.01.01.01.02</t>
  </si>
  <si>
    <t>Ajuste de Capital</t>
  </si>
  <si>
    <t xml:space="preserve">     3.01.01.01.03</t>
  </si>
  <si>
    <t>Aportes Irrevocables</t>
  </si>
  <si>
    <t xml:space="preserve">     3.01.01.01.04</t>
  </si>
  <si>
    <t>Fondo Fiduciario</t>
  </si>
  <si>
    <t xml:space="preserve">     3.01.01.01.05</t>
  </si>
  <si>
    <t>Fondo Fiduciario Con subctas.</t>
  </si>
  <si>
    <t xml:space="preserve">     3.01.01.01.06</t>
  </si>
  <si>
    <t>Aportes c/sub</t>
  </si>
  <si>
    <t xml:space="preserve">     3.01.01.01.07</t>
  </si>
  <si>
    <t>Aportes Mejora General Paz 253</t>
  </si>
  <si>
    <t xml:space="preserve">   3.01.02</t>
  </si>
  <si>
    <t>RESULTADOS ACUMULADOS</t>
  </si>
  <si>
    <t xml:space="preserve">    3.01.02.01</t>
  </si>
  <si>
    <t>RESREVAS</t>
  </si>
  <si>
    <t xml:space="preserve">     3.01.02.01.01</t>
  </si>
  <si>
    <t>Reserva Legal</t>
  </si>
  <si>
    <t xml:space="preserve">     3.01.02.01.02</t>
  </si>
  <si>
    <t>Reserva Estatutaria</t>
  </si>
  <si>
    <t xml:space="preserve">    3.01.02.02</t>
  </si>
  <si>
    <t>RESULTADOS NO ASIGNADOS</t>
  </si>
  <si>
    <t xml:space="preserve">     3.01.02.02.01</t>
  </si>
  <si>
    <t>Resultados del Ejercicio</t>
  </si>
  <si>
    <t xml:space="preserve">     3.01.02.02.02</t>
  </si>
  <si>
    <t>Resultados del Ejercicios Anteriores</t>
  </si>
  <si>
    <t>Ingresos</t>
  </si>
  <si>
    <t>RESULTADO</t>
  </si>
  <si>
    <t>INGRESOS</t>
  </si>
  <si>
    <t>ConstrucciÃ³n Obra Propia</t>
  </si>
  <si>
    <t xml:space="preserve">   4.01.01</t>
  </si>
  <si>
    <t>Fideicomisos</t>
  </si>
  <si>
    <t xml:space="preserve">    4.01.01.30</t>
  </si>
  <si>
    <t>Construc. Ob. p-Fideic.-Vta. Inm.</t>
  </si>
  <si>
    <t xml:space="preserve">     4.01.01.30.04</t>
  </si>
  <si>
    <t>Construc. Ob. p-Fideic.-Vta Inm.-Vta Inm.Prop.Gr</t>
  </si>
  <si>
    <t xml:space="preserve">      4.01.01.30.04.0001</t>
  </si>
  <si>
    <t>Construc. Ob. p-Fideic.-Vta Inm.-Vta Inm.Prop.Gr-Vta Inm.</t>
  </si>
  <si>
    <t xml:space="preserve">     4.01.01.30.05</t>
  </si>
  <si>
    <t>Construc. Ob. p-Fideic.-Vta Inm.-Vta Inm.Prop. No</t>
  </si>
  <si>
    <t xml:space="preserve">      4.01.01.30.05.0001</t>
  </si>
  <si>
    <t>Construc. Ob. p-Fideic.-Vta Inm.-Vta Inm.Prop. No-Vta Inm.</t>
  </si>
  <si>
    <t xml:space="preserve">     4.01.01.30.87</t>
  </si>
  <si>
    <t>Construc. Ob. p-Fideic.-Vta Inm.-Res. Fin y Tene</t>
  </si>
  <si>
    <t xml:space="preserve">      4.01.01.30.87.0501</t>
  </si>
  <si>
    <t>Construc. Ob. p-Fideic.-Vta Inm.-Res. Fin y Tene-Inter. Financ.</t>
  </si>
  <si>
    <t xml:space="preserve">   4.01.08</t>
  </si>
  <si>
    <t>Construc. Ob. p-Monteagudo 740</t>
  </si>
  <si>
    <t xml:space="preserve">    4.01.08.82</t>
  </si>
  <si>
    <t>Construc. Ob. p-Monteagudo 740-Otros Ingr</t>
  </si>
  <si>
    <t xml:space="preserve">     4.01.08.82.03</t>
  </si>
  <si>
    <t>Construc. Ob. p-Monteagudo 740-Otros Ingr-Servicios</t>
  </si>
  <si>
    <t xml:space="preserve">      4.01.08.82.03.0301</t>
  </si>
  <si>
    <t xml:space="preserve">Construc. Ob. p-Monteagudo 740-Otros Ingr-Servicios-Obras y Serv a </t>
  </si>
  <si>
    <t xml:space="preserve">   4.01.09</t>
  </si>
  <si>
    <t>Laprida 401</t>
  </si>
  <si>
    <t xml:space="preserve">    4.01.09.16</t>
  </si>
  <si>
    <t>Ingresos-Lapr. 401-Construc.---</t>
  </si>
  <si>
    <t xml:space="preserve">     4.01.09.16.03</t>
  </si>
  <si>
    <t>Lapr. 401-Construc.-Servicios</t>
  </si>
  <si>
    <t xml:space="preserve">    4.01.09.82</t>
  </si>
  <si>
    <t>Lapr. 401-Otros Ingr</t>
  </si>
  <si>
    <t xml:space="preserve">     4.01.09.82.03</t>
  </si>
  <si>
    <t>Lapr. 401-Otros Ingr-Servicios</t>
  </si>
  <si>
    <t xml:space="preserve">      4.01.09.82.03.0301</t>
  </si>
  <si>
    <t xml:space="preserve">Lapr. 401-Otros Ingr-Servicios-Obras y Serv a 3 </t>
  </si>
  <si>
    <t xml:space="preserve">   4.01.10</t>
  </si>
  <si>
    <t>Maipu 605</t>
  </si>
  <si>
    <t xml:space="preserve">    4.01.10.16</t>
  </si>
  <si>
    <t>Ingresos-Maipu 605-Construc.---</t>
  </si>
  <si>
    <t xml:space="preserve">     4.01.10.16.03</t>
  </si>
  <si>
    <t>Maipu 605-Construc.-Servicios</t>
  </si>
  <si>
    <t xml:space="preserve">    4.01.10.82</t>
  </si>
  <si>
    <t>Maipu 605-Otros Ingr</t>
  </si>
  <si>
    <t xml:space="preserve">     4.01.10.82.03</t>
  </si>
  <si>
    <t>Maipu 605-Otros Ingr-Servicios</t>
  </si>
  <si>
    <t xml:space="preserve">      4.01.10.82.03.0301</t>
  </si>
  <si>
    <t xml:space="preserve">Maipu 605-Otros Ingr-Servicios-Obras y Serv a 3 </t>
  </si>
  <si>
    <t xml:space="preserve">   4.01.11</t>
  </si>
  <si>
    <t>Casa Fernandez</t>
  </si>
  <si>
    <t xml:space="preserve">    4.01.11.16</t>
  </si>
  <si>
    <t>Ingresos-Casa Fernandez-Construc.---</t>
  </si>
  <si>
    <t xml:space="preserve">     4.01.11.16.03</t>
  </si>
  <si>
    <t>Casa Fernandez-Construc.-Servicios</t>
  </si>
  <si>
    <t xml:space="preserve">      4.01.11.16.03.0301</t>
  </si>
  <si>
    <t>Casa Fernandez-Construc.-Servicios-Obra Realizada</t>
  </si>
  <si>
    <t xml:space="preserve">   4.01.71</t>
  </si>
  <si>
    <t>Fca Eucalipto</t>
  </si>
  <si>
    <t xml:space="preserve">    4.01.71.51</t>
  </si>
  <si>
    <t>Fca Eucalipto-CaÃ±a</t>
  </si>
  <si>
    <t xml:space="preserve">     4.01.71.51.01</t>
  </si>
  <si>
    <t>Fca Eucalipto-CaÃ±a-Ventas</t>
  </si>
  <si>
    <t xml:space="preserve">      4.01.71.51.01.250</t>
  </si>
  <si>
    <t>Fca Eucalipto-CaÃ±a-Ventas-Venta de CaÃ±a</t>
  </si>
  <si>
    <t xml:space="preserve">     4.01.71.51.81</t>
  </si>
  <si>
    <t>Fca Eucalipto-CaÃ±a-De Activos</t>
  </si>
  <si>
    <t xml:space="preserve">      4.01.71.51.81.0508</t>
  </si>
  <si>
    <t>Fca Eucalipto-CaÃ±a-Tenenc Activos-Result por Tenencia</t>
  </si>
  <si>
    <t xml:space="preserve">    4.01.71.82</t>
  </si>
  <si>
    <t>Construc. Ob. p-Fca Eucalipto-Otros Ingr.</t>
  </si>
  <si>
    <t xml:space="preserve">     4.01.71.82.03</t>
  </si>
  <si>
    <t>Construc. Ob. p-Fca Eucalipto-Otros Ingr.-Servicios</t>
  </si>
  <si>
    <t xml:space="preserve">      4.01.71.82.03.0301</t>
  </si>
  <si>
    <t>Construc. Ob. p-Fca Eucalipto-Otros Ingr.-Servicios-Obras y Serv a</t>
  </si>
  <si>
    <t xml:space="preserve">   4.01.72</t>
  </si>
  <si>
    <t>Fca Rosario</t>
  </si>
  <si>
    <t xml:space="preserve">    4.01.72.51</t>
  </si>
  <si>
    <t>Fca Rosario-CaÃ±a</t>
  </si>
  <si>
    <t xml:space="preserve">     4.01.72.51.01</t>
  </si>
  <si>
    <t>Fca Rosario-CaÃ±a-Ventas</t>
  </si>
  <si>
    <t xml:space="preserve">      4.01.72.51.01.250</t>
  </si>
  <si>
    <t>Fca Rosario-CaÃ±a-Ventas-Venta de CaÃ±a</t>
  </si>
  <si>
    <t xml:space="preserve">     4.01.72.51.81</t>
  </si>
  <si>
    <t>Fca Rosario-CaÃ±a-De Activos</t>
  </si>
  <si>
    <t xml:space="preserve">      4.01.72.51.81.0508</t>
  </si>
  <si>
    <t>Fca Rosario-CaÃ±a-Tenenc Activos-Result por Tenencia</t>
  </si>
  <si>
    <t xml:space="preserve">   4.01.81</t>
  </si>
  <si>
    <t>Otros</t>
  </si>
  <si>
    <t xml:space="preserve">    4.01.81.30</t>
  </si>
  <si>
    <t>Construc. Ob. p-Otros-Vta Inmuebles</t>
  </si>
  <si>
    <t xml:space="preserve">     4.01.81.30.05</t>
  </si>
  <si>
    <t>Construc. Ob. p-Otros-Vta Inmuebles-Vta In.Prop. No</t>
  </si>
  <si>
    <t xml:space="preserve">      4.01.81.30.05.0005</t>
  </si>
  <si>
    <t>Construc. Ob. p-Otros-Vta Inmuebles-Vta In.Prop. No-Venta de Inmueb</t>
  </si>
  <si>
    <t xml:space="preserve">    4.01.81.82</t>
  </si>
  <si>
    <t>Otros-Otros</t>
  </si>
  <si>
    <t xml:space="preserve">     4.01.81.82.87</t>
  </si>
  <si>
    <t>Res. Fin y Tenencia</t>
  </si>
  <si>
    <t xml:space="preserve">      4.01.81.82.87.0501</t>
  </si>
  <si>
    <t>Res Fin y Ten-Inter. Fin.Vta Inm Prop</t>
  </si>
  <si>
    <t xml:space="preserve">      4.01.81.82.87.0502</t>
  </si>
  <si>
    <t>Res Fin y Ten-Inter. Fin.Cta Inv Fideicomisos</t>
  </si>
  <si>
    <t xml:space="preserve">      4.01.81.82.87.0503</t>
  </si>
  <si>
    <t>Res Fin y Ten-Inter. Fin.Cta Loteos</t>
  </si>
  <si>
    <t xml:space="preserve">      4.01.81.82.87.0504</t>
  </si>
  <si>
    <t>Res Fin y Ten-Inter. Alqu./Expensas</t>
  </si>
  <si>
    <t xml:space="preserve">      4.01.81.82.87.0506</t>
  </si>
  <si>
    <t>Res Fin y Ten-Inter. Inversiones</t>
  </si>
  <si>
    <t xml:space="preserve">      4.01.81.82.87.0507</t>
  </si>
  <si>
    <t>Res Fin y Ten-Difer de Cbio</t>
  </si>
  <si>
    <t xml:space="preserve">      4.01.81.82.87.0508</t>
  </si>
  <si>
    <t>Res Fin y Ten-Rdos por Tenenc</t>
  </si>
  <si>
    <t xml:space="preserve">      4.01.81.82.87.0509</t>
  </si>
  <si>
    <t>Ingresos-Construc.-Dcto 332/20-Beneficio ATP</t>
  </si>
  <si>
    <t xml:space="preserve">      4.01.81.82.87.509</t>
  </si>
  <si>
    <t>Construc. Ob. p-Otros-Otros Ingr-Res. Fin y Tene-ActualizaciÃ³n C</t>
  </si>
  <si>
    <t xml:space="preserve">     4.01.81.82.92</t>
  </si>
  <si>
    <t>Otros-Otros-Diversos</t>
  </si>
  <si>
    <t xml:space="preserve">      4.01.81.82.92.0401</t>
  </si>
  <si>
    <t>Diversos-Venta Bs de Uso</t>
  </si>
  <si>
    <t xml:space="preserve">      4.01.81.82.92.0402</t>
  </si>
  <si>
    <t>Diversos-Venta Inversiones</t>
  </si>
  <si>
    <t xml:space="preserve">      4.01.81.82.92.0403</t>
  </si>
  <si>
    <t>Diversos-Varios</t>
  </si>
  <si>
    <t xml:space="preserve">      4.01.81.82.92.0404</t>
  </si>
  <si>
    <t>Construc. Ob. p-Otros-Otros Ingr-Diversos-Venta bienes de</t>
  </si>
  <si>
    <t xml:space="preserve">Ingresos-Construc. a 3 </t>
  </si>
  <si>
    <t xml:space="preserve">   4.02.00</t>
  </si>
  <si>
    <t>Ingresos-Construc. a 3 -M. Paz 888</t>
  </si>
  <si>
    <t xml:space="preserve">    4.02.00.16</t>
  </si>
  <si>
    <t>M. Paz 888-Construc.</t>
  </si>
  <si>
    <t xml:space="preserve">     4.02.00.16.03</t>
  </si>
  <si>
    <t>M. Paz 888-Construc.-Servicios</t>
  </si>
  <si>
    <t xml:space="preserve">      4.02.00.16.03.0301</t>
  </si>
  <si>
    <t>M. Paz 888-Construc.-Servicios-Obra Realizada</t>
  </si>
  <si>
    <t xml:space="preserve">      4.02.00.16.03.0305</t>
  </si>
  <si>
    <t xml:space="preserve">M. Paz 888-Construc.-Serv-Recup Costo Obra 3 </t>
  </si>
  <si>
    <t xml:space="preserve">      4.02.00.16.03.0306</t>
  </si>
  <si>
    <t>M. Paz 888-Construc.-Serv-Recup Herr Mayores</t>
  </si>
  <si>
    <t xml:space="preserve">      4.02.00.16.03.0307</t>
  </si>
  <si>
    <t>M. Paz 888-Construc.-Serv-Recup Gs Indirectos</t>
  </si>
  <si>
    <t xml:space="preserve">      4.02.00.16.03.0308</t>
  </si>
  <si>
    <t xml:space="preserve">M. Paz 888-Construc.-Serv-Beneficio Obras 3 </t>
  </si>
  <si>
    <t xml:space="preserve">      4.02.00.16.03.0309</t>
  </si>
  <si>
    <t>M. Paz 888-Construc.-Servicios-Coord.Gral/Dir.</t>
  </si>
  <si>
    <t xml:space="preserve">      4.02.00.16.03.0310</t>
  </si>
  <si>
    <t>M. Paz 888-Construc.-Servicios-Recup.Gs.Movili</t>
  </si>
  <si>
    <t xml:space="preserve">    4.02.00.32</t>
  </si>
  <si>
    <t>M. Paz 888-Adm. Fideic.</t>
  </si>
  <si>
    <t xml:space="preserve">     4.02.00.32.03</t>
  </si>
  <si>
    <t>M. Paz 888-Adm. Fideic.-Serv-</t>
  </si>
  <si>
    <t xml:space="preserve">      4.02.00.32.03.0050</t>
  </si>
  <si>
    <t>M. Paz 888-Adm. Fideic.-Servicios-Honorarios Fidu</t>
  </si>
  <si>
    <t xml:space="preserve">   4.02.02</t>
  </si>
  <si>
    <t>Ingresos-Construc. a 3 -Riv. 46</t>
  </si>
  <si>
    <t xml:space="preserve">    4.02.02.16</t>
  </si>
  <si>
    <t>Riv. 46-Construc.</t>
  </si>
  <si>
    <t xml:space="preserve">     4.02.02.16.03</t>
  </si>
  <si>
    <t>Riv. 46-Construc.-Servicios</t>
  </si>
  <si>
    <t xml:space="preserve">      4.02.02.16.03.0301</t>
  </si>
  <si>
    <t>Riv. 46-Construc.-Serv-Obra Realizada</t>
  </si>
  <si>
    <t xml:space="preserve">      4.02.02.16.03.0305</t>
  </si>
  <si>
    <t xml:space="preserve">Riv. 46-Construc.-Serv-Recup Costo Obra 3 </t>
  </si>
  <si>
    <t xml:space="preserve">      4.02.02.16.03.0306</t>
  </si>
  <si>
    <t>Riv. 46-Construc.-Serv-Recup Herr Mayores</t>
  </si>
  <si>
    <t xml:space="preserve">      4.02.02.16.03.0307</t>
  </si>
  <si>
    <t>Riv. 46-Construc.-Serv-Recup Gs Indirectos</t>
  </si>
  <si>
    <t xml:space="preserve">      4.02.02.16.03.0308</t>
  </si>
  <si>
    <t xml:space="preserve">Riv. 46-Construc.-Serv-Beneficio Obras 3 </t>
  </si>
  <si>
    <t xml:space="preserve">      4.02.02.16.03.0309</t>
  </si>
  <si>
    <t>Riv. 46-Construc.-Servicios-Coord.Gral/Dir.</t>
  </si>
  <si>
    <t xml:space="preserve">      4.02.02.16.03.0310</t>
  </si>
  <si>
    <t>Riv. 46-Construc.-Servicios-Recup.Gs.Movili</t>
  </si>
  <si>
    <t xml:space="preserve">    4.02.02.32</t>
  </si>
  <si>
    <t>Riv. 46-Adm. Fid-</t>
  </si>
  <si>
    <t xml:space="preserve">     4.02.02.32.03</t>
  </si>
  <si>
    <t>Riv. 46-Adm. Fid-Serv</t>
  </si>
  <si>
    <t xml:space="preserve">      4.02.02.32.03.0050</t>
  </si>
  <si>
    <t>Riv. 46-Adm. Fideicomis-Servicios-Honorarios Fidu</t>
  </si>
  <si>
    <t xml:space="preserve">   4.02.03</t>
  </si>
  <si>
    <t>Ingresos-Construc. a 3 -Mont. 847</t>
  </si>
  <si>
    <t xml:space="preserve">    4.02.03.16</t>
  </si>
  <si>
    <t>Mont. 847-ConstrucciÃ³n</t>
  </si>
  <si>
    <t xml:space="preserve">     4.02.03.16.03</t>
  </si>
  <si>
    <t>Mont. 847-Construc.-Servicios</t>
  </si>
  <si>
    <t xml:space="preserve">      4.02.03.16.03.0301</t>
  </si>
  <si>
    <t>Mont. 847-Construc.-Serv-Obra Realizada</t>
  </si>
  <si>
    <t xml:space="preserve">      4.02.03.16.03.0305</t>
  </si>
  <si>
    <t xml:space="preserve">Mont. 847-Construc.-Serv-Recup Costo Obra 3 </t>
  </si>
  <si>
    <t xml:space="preserve">      4.02.03.16.03.0306</t>
  </si>
  <si>
    <t>Mont. 847-Construc.-Serv-Recup Herr Mayores</t>
  </si>
  <si>
    <t xml:space="preserve">      4.02.03.16.03.0307</t>
  </si>
  <si>
    <t>Mont. 847-Construc.-Serv-Recup Gs Indirectos</t>
  </si>
  <si>
    <t xml:space="preserve">      4.02.03.16.03.0308</t>
  </si>
  <si>
    <t>Mont. 847-Construc.-Serv-Beneficio Obras</t>
  </si>
  <si>
    <t xml:space="preserve">      4.02.03.16.03.0309</t>
  </si>
  <si>
    <t>Mont. 847-Construc.-Servicios-Coord.Gral/Dir.</t>
  </si>
  <si>
    <t xml:space="preserve">      4.02.03.16.03.0310</t>
  </si>
  <si>
    <t>Mont. 847-Construc.-Servicios-Recup.Gs.Movili</t>
  </si>
  <si>
    <t xml:space="preserve">    4.02.03.32</t>
  </si>
  <si>
    <t>-Mont. 847-Adm. Fideic.</t>
  </si>
  <si>
    <t xml:space="preserve">     4.02.03.32.03</t>
  </si>
  <si>
    <t>Mont. 847-Adm. Fideic.-Serv</t>
  </si>
  <si>
    <t xml:space="preserve">      4.02.03.32.03.0050</t>
  </si>
  <si>
    <t>Mont. 847-Adm. Fideic.-Servicios-Honorarios Fidu</t>
  </si>
  <si>
    <t xml:space="preserve">   4.02.04</t>
  </si>
  <si>
    <t>Ingresos-Construc. a 3 -Balc. 375</t>
  </si>
  <si>
    <t xml:space="preserve">    4.02.04.16</t>
  </si>
  <si>
    <t>Balc. 375-Construc.</t>
  </si>
  <si>
    <t xml:space="preserve">     4.02.04.16.03</t>
  </si>
  <si>
    <t>Balc. 375-Construc.-Servicios</t>
  </si>
  <si>
    <t xml:space="preserve">      4.02.04.16.03.0301</t>
  </si>
  <si>
    <t>Balc. 375-Construc.-Serv-Obra Realizada</t>
  </si>
  <si>
    <t xml:space="preserve">      4.02.04.16.03.0305</t>
  </si>
  <si>
    <t xml:space="preserve">Balc. 375-Construc.-Serv-Recup Costo Obra 3 </t>
  </si>
  <si>
    <t xml:space="preserve">      4.02.04.16.03.0306</t>
  </si>
  <si>
    <t>Balc. 375-Construc.-Serv-Recup Herr Mayores</t>
  </si>
  <si>
    <t xml:space="preserve">      4.02.04.16.03.0307</t>
  </si>
  <si>
    <t>Balc. 375-Construc.-Serv-Recup Gs Indirectos</t>
  </si>
  <si>
    <t xml:space="preserve">      4.02.04.16.03.0308</t>
  </si>
  <si>
    <t>Balc. 375-Construc.-Serv-Beneficio Obras</t>
  </si>
  <si>
    <t xml:space="preserve">      4.02.04.16.03.0309</t>
  </si>
  <si>
    <t>Balc. 375-Construc.-Servicios-Coord.Gral/Dir.</t>
  </si>
  <si>
    <t xml:space="preserve">      4.02.04.16.03.0310</t>
  </si>
  <si>
    <t>Balc. 375-Construc.-Servicios-Recup.Gs.Movili</t>
  </si>
  <si>
    <t xml:space="preserve">    4.02.04.32</t>
  </si>
  <si>
    <t>Balc. 375-Adm. Fid</t>
  </si>
  <si>
    <t xml:space="preserve">     4.02.04.32.03</t>
  </si>
  <si>
    <t>Balc. 375-Adm. Fid-Serv</t>
  </si>
  <si>
    <t xml:space="preserve">      4.02.04.32.03.0050</t>
  </si>
  <si>
    <t>Balc. 375-Adm. Fideic.-Servicios-Honorarios Fidu</t>
  </si>
  <si>
    <t xml:space="preserve">   4.02.05</t>
  </si>
  <si>
    <t>Ingresos-Construc. a 3 -Corr. 133</t>
  </si>
  <si>
    <t xml:space="preserve">    4.02.05.16</t>
  </si>
  <si>
    <t>Corr. 133-ConstrucciÃ³n</t>
  </si>
  <si>
    <t xml:space="preserve">     4.02.05.16.03</t>
  </si>
  <si>
    <t>Corr. 133-Construc.-Servicios</t>
  </si>
  <si>
    <t xml:space="preserve">      4.02.05.16.03.0301</t>
  </si>
  <si>
    <t>Corr. 133-Construc.-Serv-Obra Realizada</t>
  </si>
  <si>
    <t xml:space="preserve">      4.02.05.16.03.0305</t>
  </si>
  <si>
    <t xml:space="preserve">Corr. 133-Construc.-Serv-Recup Costo Obra 3 </t>
  </si>
  <si>
    <t xml:space="preserve">      4.02.05.16.03.0306</t>
  </si>
  <si>
    <t>Corr. 133-Construc.-Serv-Recup Herr Mayores</t>
  </si>
  <si>
    <t xml:space="preserve">      4.02.05.16.03.0307</t>
  </si>
  <si>
    <t>Corr. 133-Construc.-Serv-Recup Gs Indire</t>
  </si>
  <si>
    <t xml:space="preserve">      4.02.05.16.03.0308</t>
  </si>
  <si>
    <t xml:space="preserve">Corr. 133-Construc.-Serv-Beneficio Obra 3 </t>
  </si>
  <si>
    <t xml:space="preserve">      4.02.05.16.03.0309</t>
  </si>
  <si>
    <t>Corr. 133-Construc.-Servicios-Coord.Gral/Dir.</t>
  </si>
  <si>
    <t xml:space="preserve">      4.02.05.16.03.0310</t>
  </si>
  <si>
    <t>Corr. 133-Construc.-Servicios-Recup.Gs.Movili</t>
  </si>
  <si>
    <t xml:space="preserve">      4.02.05.16.03.0312</t>
  </si>
  <si>
    <t>Construc. a 3 -Corrientes 133-ConstrucciÃ³n-Servicios-Recupero de imp</t>
  </si>
  <si>
    <t xml:space="preserve">    4.02.05.32</t>
  </si>
  <si>
    <t>Corr. 133-Adm. Fid</t>
  </si>
  <si>
    <t xml:space="preserve">     4.02.05.32.03</t>
  </si>
  <si>
    <t>Corr. 133-Adm. Fid-Serv</t>
  </si>
  <si>
    <t xml:space="preserve">      4.02.05.32.03.0050</t>
  </si>
  <si>
    <t>Corr. 133-Adm. Fideicomis-Servicios-Honorarios Fidu</t>
  </si>
  <si>
    <t xml:space="preserve">   4.02.06</t>
  </si>
  <si>
    <t>Ingresos-Construc. a 3 -Balc. 665</t>
  </si>
  <si>
    <t xml:space="preserve">    4.02.06.16</t>
  </si>
  <si>
    <t>Balc. 665-Construc.</t>
  </si>
  <si>
    <t xml:space="preserve">     4.02.06.16.03</t>
  </si>
  <si>
    <t>Balc. 665-Construc.-Servicios</t>
  </si>
  <si>
    <t xml:space="preserve">      4.02.06.16.03.0301</t>
  </si>
  <si>
    <t>Balc. 665-Construc.-Serv-Obra Realizada</t>
  </si>
  <si>
    <t xml:space="preserve">      4.02.06.16.03.0305</t>
  </si>
  <si>
    <t xml:space="preserve">Balc. 665-Construc.-Serv-Recup Costo Obra 3 </t>
  </si>
  <si>
    <t xml:space="preserve">      4.02.06.16.03.0306</t>
  </si>
  <si>
    <t>Balc. 665-Construc.-Serv-Recup Herr Mayores</t>
  </si>
  <si>
    <t xml:space="preserve">      4.02.06.16.03.0307</t>
  </si>
  <si>
    <t>Balc. 665-Construc.-Serv-Recup Gs Indirectos</t>
  </si>
  <si>
    <t xml:space="preserve">      4.02.06.16.03.0308</t>
  </si>
  <si>
    <t>Balc. 665-Construc.-Serv-Beneficio Obras</t>
  </si>
  <si>
    <t xml:space="preserve">      4.02.06.16.03.0309</t>
  </si>
  <si>
    <t>Balc. 665-Construc.-Servicios-Coord.Gral/Dir.</t>
  </si>
  <si>
    <t xml:space="preserve">      4.02.06.16.03.0310</t>
  </si>
  <si>
    <t>Balc. 665-Construc.-Servicios-Recup.Gs.Movili</t>
  </si>
  <si>
    <t xml:space="preserve">      4.02.06.16.03.0312</t>
  </si>
  <si>
    <t>Construc. a 3 -Balcarce 665-ConstrucciÃ³n-Servicios-Recupero de imp</t>
  </si>
  <si>
    <t xml:space="preserve">    4.02.06.32</t>
  </si>
  <si>
    <t>Balc. 665-Adm. Fideic.</t>
  </si>
  <si>
    <t xml:space="preserve">     4.02.06.32.03</t>
  </si>
  <si>
    <t>Balc. 665-Adm. Fideic.-Serv</t>
  </si>
  <si>
    <t xml:space="preserve">      4.02.06.32.03.0050</t>
  </si>
  <si>
    <t>Balc. 665-Adm. Fideic.-Servicios-Honorarios Fidu</t>
  </si>
  <si>
    <t xml:space="preserve">   4.02.07</t>
  </si>
  <si>
    <t>Ingresos-Construc. a 3 -L. Pied. 302</t>
  </si>
  <si>
    <t xml:space="preserve">    4.02.07.16</t>
  </si>
  <si>
    <t>L. Pied. 302-Construc.</t>
  </si>
  <si>
    <t xml:space="preserve">     4.02.07.16.03</t>
  </si>
  <si>
    <t>L. Pied. 302-Construc.-Servicios</t>
  </si>
  <si>
    <t xml:space="preserve">      4.02.07.16.03.0301</t>
  </si>
  <si>
    <t>L. Pied. 302-Construc.-Serv-Obra Realizada</t>
  </si>
  <si>
    <t xml:space="preserve">      4.02.07.16.03.0305</t>
  </si>
  <si>
    <t xml:space="preserve">L. Pied. 302-Construc.-Serv-Recup Costo Obra 3 </t>
  </si>
  <si>
    <t xml:space="preserve">      4.02.07.16.03.0306</t>
  </si>
  <si>
    <t>L. Pied. 302-Construc.-Serv-Recup Herr Mayo</t>
  </si>
  <si>
    <t xml:space="preserve">      4.02.07.16.03.0307</t>
  </si>
  <si>
    <t>L. Pied. 302-Construc.-Serv-Recup Gs Indirectos</t>
  </si>
  <si>
    <t xml:space="preserve">      4.02.07.16.03.0308</t>
  </si>
  <si>
    <t xml:space="preserve">L. Pied. 302-Construc.-Serv-Beneficio Obra 3 </t>
  </si>
  <si>
    <t xml:space="preserve">      4.02.07.16.03.0309</t>
  </si>
  <si>
    <t>L. Pied. 302-Construc.-Servicios-Coord.Gral/Dir.</t>
  </si>
  <si>
    <t xml:space="preserve">      4.02.07.16.03.0310</t>
  </si>
  <si>
    <t>L. Pied. 302-Construc.-Servicios-Recup.Gs.Movili</t>
  </si>
  <si>
    <t xml:space="preserve">    4.02.07.32</t>
  </si>
  <si>
    <t>L.Pied. 302-Adm. Fideic.</t>
  </si>
  <si>
    <t xml:space="preserve">     4.02.07.32.03</t>
  </si>
  <si>
    <t>L. Pied. 302-Adm. Fideic.-Serv</t>
  </si>
  <si>
    <t xml:space="preserve">      4.02.07.32.03.0050</t>
  </si>
  <si>
    <t>L. Pied. 302-Adm. Fideic.-Servicios-Honorarios Fidu</t>
  </si>
  <si>
    <t xml:space="preserve">   4.02.08</t>
  </si>
  <si>
    <t>Ingresos-Construc. a 3 -Mont. 740</t>
  </si>
  <si>
    <t xml:space="preserve">    4.02.08.16</t>
  </si>
  <si>
    <t>Mont. 740-Construc.</t>
  </si>
  <si>
    <t xml:space="preserve">     4.02.08.16.03</t>
  </si>
  <si>
    <t>Mont. 740-Construc.-Servicios</t>
  </si>
  <si>
    <t xml:space="preserve">      4.02.08.16.03.0301</t>
  </si>
  <si>
    <t>Mont. 740-Construc.-Serv-Obra Realizada</t>
  </si>
  <si>
    <t xml:space="preserve">      4.02.08.16.03.0305</t>
  </si>
  <si>
    <t xml:space="preserve">Mont. 740-Construc.-Serv-Recup Costo Obra 3 </t>
  </si>
  <si>
    <t xml:space="preserve">      4.02.08.16.03.0306</t>
  </si>
  <si>
    <t>Mont. 740-Construc.-Serv-Recup Herr Mayores</t>
  </si>
  <si>
    <t xml:space="preserve">      4.02.08.16.03.0307</t>
  </si>
  <si>
    <t>Mont. 740-Construc.-Serv-Recup Gs Indirectos</t>
  </si>
  <si>
    <t xml:space="preserve">      4.02.08.16.03.0308</t>
  </si>
  <si>
    <t xml:space="preserve">Mont. 740-Construc.-Serv-Beneficio Obra 3 </t>
  </si>
  <si>
    <t xml:space="preserve">      4.02.08.16.03.0309</t>
  </si>
  <si>
    <t>Mont. 740-Construc.-Servicios-Coord.Gral/Dir.</t>
  </si>
  <si>
    <t xml:space="preserve">      4.02.08.16.03.0310</t>
  </si>
  <si>
    <t>Mont. 740-Construc.-Servicios-Recup.Gs.Movili</t>
  </si>
  <si>
    <t xml:space="preserve">      4.02.08.16.03.0312</t>
  </si>
  <si>
    <t>Construc. a 3 -Monteagudo 740-ConstrucciÃ³n-Servicios-Recupero de imp</t>
  </si>
  <si>
    <t xml:space="preserve">    4.02.08.32</t>
  </si>
  <si>
    <t>Mont. 740-Adm. Fid</t>
  </si>
  <si>
    <t xml:space="preserve">     4.02.08.32.03</t>
  </si>
  <si>
    <t>Mont. 740-Adm. Fid-Serv</t>
  </si>
  <si>
    <t xml:space="preserve">      4.02.08.32.03.0050</t>
  </si>
  <si>
    <t>Mont. 740-Adm. Fideic.-Servicios-Honorarios Fidu</t>
  </si>
  <si>
    <t xml:space="preserve">   4.02.09</t>
  </si>
  <si>
    <t>Ingresos-Construc. a 3 -Lapr. 401</t>
  </si>
  <si>
    <t xml:space="preserve">    4.02.09.16</t>
  </si>
  <si>
    <t>Lapr. 401-Construc.</t>
  </si>
  <si>
    <t xml:space="preserve">     4.02.09.16.03</t>
  </si>
  <si>
    <t>Lapr. 401-Construc.-Serv</t>
  </si>
  <si>
    <t xml:space="preserve">      4.02.09.16.03.0301</t>
  </si>
  <si>
    <t>Lapr. 401-Construc.-Servicios-Obra Realizada</t>
  </si>
  <si>
    <t xml:space="preserve">   4.02.10</t>
  </si>
  <si>
    <t>Ingresos-Construc. a 3 -Maipu 605-</t>
  </si>
  <si>
    <t xml:space="preserve">    4.02.10.16</t>
  </si>
  <si>
    <t>Maipu 605-Construc.</t>
  </si>
  <si>
    <t xml:space="preserve">     4.02.10.16.03</t>
  </si>
  <si>
    <t>Maipu 605-Construc.-Servi</t>
  </si>
  <si>
    <t xml:space="preserve">      4.02.10.16.03.0301</t>
  </si>
  <si>
    <t>Maipu 605-Construc.-Servicios-Obra Realizada</t>
  </si>
  <si>
    <t xml:space="preserve">   4.02.12</t>
  </si>
  <si>
    <t>Construc. a 3 -Balcarce 146</t>
  </si>
  <si>
    <t xml:space="preserve">    4.02.12.16</t>
  </si>
  <si>
    <t>Construc. a 3 -Balcarce 146-ConstrucciÃ³n</t>
  </si>
  <si>
    <t xml:space="preserve">     4.02.12.16.03</t>
  </si>
  <si>
    <t>Construc. a 3 -Balcarce 146-ConstrucciÃ³n-Servicios</t>
  </si>
  <si>
    <t xml:space="preserve">      4.02.12.16.03.0301</t>
  </si>
  <si>
    <t xml:space="preserve">Construc. a 3 -Balcarce 146-ConstrucciÃ³n-Servicios-Obras y Serv a </t>
  </si>
  <si>
    <t xml:space="preserve">      4.02.12.16.03.0305</t>
  </si>
  <si>
    <t>Construc. a 3 -Balcarce 146-ConstrucciÃ³n-Servicios-Recup Costo Obr</t>
  </si>
  <si>
    <t xml:space="preserve">      4.02.12.16.03.0306</t>
  </si>
  <si>
    <t>Construc. a 3 -Balcarce 146-ConstrucciÃ³n-Servicios-Recup Herr Mayo</t>
  </si>
  <si>
    <t xml:space="preserve">      4.02.12.16.03.0307</t>
  </si>
  <si>
    <t>Construc. a 3 -Balcarce 146-ConstrucciÃ³n-Servicios-Recup Gs Indire</t>
  </si>
  <si>
    <t xml:space="preserve">      4.02.12.16.03.0308</t>
  </si>
  <si>
    <t>Construc. a 3 -Balcarce 146-ConstrucciÃ³n-Servicios-Beneficio Obras</t>
  </si>
  <si>
    <t xml:space="preserve">      4.02.12.16.03.0309</t>
  </si>
  <si>
    <t>Balc.146-Construc.-Serv-Coord.Gral/Dir.</t>
  </si>
  <si>
    <t xml:space="preserve">      4.02.12.16.03.0310</t>
  </si>
  <si>
    <t>Construc. a 3 -Balcarce 146-ConstrucciÃ³n-Servicios-Recup.Gs.Movili</t>
  </si>
  <si>
    <t xml:space="preserve">      4.02.12.16.03.0312</t>
  </si>
  <si>
    <t>Construc. a 3 -Balcarce 146-ConstrucciÃ³n-Servicios-Recupero de imp</t>
  </si>
  <si>
    <t xml:space="preserve">    4.02.12.32</t>
  </si>
  <si>
    <t>Construc. a 3 -Balcarce 146-Adm. Fideicomis</t>
  </si>
  <si>
    <t xml:space="preserve">     4.02.12.32.03</t>
  </si>
  <si>
    <t>Construc. a 3 -Balcarce 146-Adm. Fideicomis-Servicios</t>
  </si>
  <si>
    <t xml:space="preserve">      4.02.12.32.03.0050</t>
  </si>
  <si>
    <t>Balc. 146-Adm. Fideicomis-Servicios-Honorarios Fidu</t>
  </si>
  <si>
    <t xml:space="preserve">   4.02.13</t>
  </si>
  <si>
    <t>Construc. a 3 -Fid. Santiago</t>
  </si>
  <si>
    <t xml:space="preserve">    4.02.13.16</t>
  </si>
  <si>
    <t>Construc. a 3 -Fid. Santiago-ConstrucciÃ³n</t>
  </si>
  <si>
    <t xml:space="preserve">     4.02.13.16.03</t>
  </si>
  <si>
    <t>Construc. a 3 -Fid. Santiago-ConstrucciÃ³n-Servicios</t>
  </si>
  <si>
    <t xml:space="preserve">      4.02.13.16.03.0309</t>
  </si>
  <si>
    <t>Fid. Sgo 915-Construc.-Serv.-Coord.Gral/Dir</t>
  </si>
  <si>
    <t xml:space="preserve">    4.02.13.32</t>
  </si>
  <si>
    <t>Construc. a 3 -Fid. Santiago-Adm. Fideicomis</t>
  </si>
  <si>
    <t xml:space="preserve">     4.02.13.32.03</t>
  </si>
  <si>
    <t>Construc. a 3 -Fid. Santiago-Adm. Fideicomis-Servicios</t>
  </si>
  <si>
    <t xml:space="preserve">      4.02.13.32.03.0050</t>
  </si>
  <si>
    <t>Fid. Sgo. 915-Adm. Fideic.-Servicios-Honorarios Fidu</t>
  </si>
  <si>
    <t xml:space="preserve">   4.02.14</t>
  </si>
  <si>
    <t>Construc. a 3 -Balcarce 373</t>
  </si>
  <si>
    <t xml:space="preserve">    4.02.14.16</t>
  </si>
  <si>
    <t>Construc. a 3 -Balcarce 373-ConstrucciÃ³n</t>
  </si>
  <si>
    <t xml:space="preserve">     4.02.14.16.03</t>
  </si>
  <si>
    <t>Construc. a 3 -Balcarce 373-ConstrucciÃ³n-Servicios</t>
  </si>
  <si>
    <t xml:space="preserve">      4.02.14.16.03.0301</t>
  </si>
  <si>
    <t>Construc. a 3 -Santa Fe 265-ConstrucciÃ³n-Servicios-Obras y Serv a</t>
  </si>
  <si>
    <t xml:space="preserve">      4.02.14.16.03.0305</t>
  </si>
  <si>
    <t>Construc. a 3 -Balcarce 373-ConstrucciÃ³n-Servicios-Recup Costo Obr</t>
  </si>
  <si>
    <t xml:space="preserve">      4.02.14.16.03.0306</t>
  </si>
  <si>
    <t>Construc. a 3 -Balcarce 373-ConstrucciÃ³n-Servicios-Recup Herr Mayo</t>
  </si>
  <si>
    <t xml:space="preserve">      4.02.14.16.03.0307</t>
  </si>
  <si>
    <t>Construc. a 3 -Balcarce 373-ConstrucciÃ³n-Servicios-Recup Gs Indire</t>
  </si>
  <si>
    <t xml:space="preserve">      4.02.14.16.03.0308</t>
  </si>
  <si>
    <t>Construc. a 3 -Balcarce 373-ConstrucciÃ³n-Servicios-Beneficio Obras</t>
  </si>
  <si>
    <t xml:space="preserve">      4.02.14.16.03.0309</t>
  </si>
  <si>
    <t>Construc. a 3 -Balcarce 373-ConstrucciÃ³n-Servicios-Coord.Gral/Dir.</t>
  </si>
  <si>
    <t xml:space="preserve">      4.02.14.16.03.0310</t>
  </si>
  <si>
    <t>Construc. a 3 -Balcarce 373-ConstrucciÃ³n-Servicios-Recup.Gs.Movili</t>
  </si>
  <si>
    <t xml:space="preserve">      4.02.14.16.03.0312</t>
  </si>
  <si>
    <t>Construc. a 3 -Balcarce 373-ConstrucciÃ³n-Servicios-Recupero de imp</t>
  </si>
  <si>
    <t xml:space="preserve">    4.02.14.32</t>
  </si>
  <si>
    <t>Construc. a 3 -Balcarce 373-Adm. Fideicomis</t>
  </si>
  <si>
    <t xml:space="preserve">     4.02.14.32.03</t>
  </si>
  <si>
    <t>Construc. a 3 -Balcarce 373-Adm. Fideicomis-Servicios</t>
  </si>
  <si>
    <t xml:space="preserve">      4.02.14.32.03.0050</t>
  </si>
  <si>
    <t>Construc. a 3 -Balcarce 373-Adm. Fideicomis-Servicios-Honorarios Fidu</t>
  </si>
  <si>
    <t xml:space="preserve">      4.02.14.32.03.0051</t>
  </si>
  <si>
    <t>Construc. a 3 -Balcarce 373-Adm. Fideicomis-Servicios-Honorarios proy</t>
  </si>
  <si>
    <t xml:space="preserve">   4.02.15</t>
  </si>
  <si>
    <t>Construc. a 3 -Laprida 416</t>
  </si>
  <si>
    <t xml:space="preserve">    4.02.15.16</t>
  </si>
  <si>
    <t>Construc. a 3 -Laprida 416-ConstrucciÃ³n</t>
  </si>
  <si>
    <t xml:space="preserve">     4.02.15.16.03</t>
  </si>
  <si>
    <t>Construc. a 3 -Laprida 416-ConstrucciÃ³n-Servicios</t>
  </si>
  <si>
    <t xml:space="preserve">      4.02.15.16.03.0301</t>
  </si>
  <si>
    <t>Construc. a 3 -Laprida 416-ConstrucciÃ³n-Servicios-Obras y Serv a</t>
  </si>
  <si>
    <t xml:space="preserve">      4.02.15.16.03.0305</t>
  </si>
  <si>
    <t>Construc. a 3 -Laprida 416-ConstrucciÃ³n-Servicios-Recup Costo Obr</t>
  </si>
  <si>
    <t xml:space="preserve">      4.02.15.16.03.0306</t>
  </si>
  <si>
    <t>Construc. a 3 -Laprida 416-ConstrucciÃ³n-Servicios-Recup Herr Mayo</t>
  </si>
  <si>
    <t xml:space="preserve">      4.02.15.16.03.0307</t>
  </si>
  <si>
    <t>Construc. a 3 -Laprida 416-ConstrucciÃ³n-Servicios-Recup Gs Indire</t>
  </si>
  <si>
    <t xml:space="preserve">      4.02.15.16.03.0308</t>
  </si>
  <si>
    <t>Construc. a 3 -Laprida 416-ConstrucciÃ³n-Servicios-Beneficio Obras</t>
  </si>
  <si>
    <t xml:space="preserve">      4.02.15.16.03.0309</t>
  </si>
  <si>
    <t>Construc. a 3 -Laprida 416-ConstrucciÃ³n-Servicios-Coord.Gral/Dir.</t>
  </si>
  <si>
    <t xml:space="preserve">      4.02.15.16.03.0310</t>
  </si>
  <si>
    <t>Construc. a 3 -Laprida 416-ConstrucciÃ³n-Servicios-Recup.Gs.Movili</t>
  </si>
  <si>
    <t xml:space="preserve">      4.02.15.16.03.0312</t>
  </si>
  <si>
    <t>Construc. a 3 -Laprida 416-ConstrucciÃ³n-Servicios-Recupero de imp</t>
  </si>
  <si>
    <t xml:space="preserve">    4.02.15.32</t>
  </si>
  <si>
    <t>Construc. a 3 -Laprida 416-Adm. Fideicomis</t>
  </si>
  <si>
    <t xml:space="preserve">     4.02.15.32.03</t>
  </si>
  <si>
    <t>Construc. a 3 -Laprida 416-Adm. Fideicomis-Servicios</t>
  </si>
  <si>
    <t xml:space="preserve">      4.02.15.32.03.0050</t>
  </si>
  <si>
    <t>Construc. a 3 -Laprida 416-Adm. Fideicomis-Servicios-Honorarios Fidu</t>
  </si>
  <si>
    <t xml:space="preserve">   4.02.16</t>
  </si>
  <si>
    <t>Construc. a 3 -Mate de Luna 34</t>
  </si>
  <si>
    <t xml:space="preserve">    4.02.16.16</t>
  </si>
  <si>
    <t>Construc. a 3 -Mate de Luna 34-ConstrucciÃ³n</t>
  </si>
  <si>
    <t xml:space="preserve">     4.02.16.16.03</t>
  </si>
  <si>
    <t>Construc. a 3 -Mate de Luna 34-ConstrucciÃ³n-Servicios</t>
  </si>
  <si>
    <t xml:space="preserve">      4.02.16.16.03.0301</t>
  </si>
  <si>
    <t xml:space="preserve">Construc. a 3 -Mate de Luna 34-ConstrucciÃ³n-Servicios-Obras y Serv a </t>
  </si>
  <si>
    <t xml:space="preserve">      4.02.16.16.03.0305</t>
  </si>
  <si>
    <t>Construc. a 3 -Mate de Luna 34-ConstrucciÃ³n-Servicios-Recup Costo Obr</t>
  </si>
  <si>
    <t xml:space="preserve">      4.02.16.16.03.0306</t>
  </si>
  <si>
    <t>Construc. a 3 -Mate de Luna 34-ConstrucciÃ³n-Servicios-Recup Herr Mayo</t>
  </si>
  <si>
    <t xml:space="preserve">      4.02.16.16.03.0307</t>
  </si>
  <si>
    <t>Construc. a 3 -Mate de Luna 34-ConstrucciÃ³n-Servicios-Recup Gs Indire</t>
  </si>
  <si>
    <t xml:space="preserve">      4.02.16.16.03.0308</t>
  </si>
  <si>
    <t>Construc. a 3 -Mate de Luna 34-ConstrucciÃ³n-Servicios-Beneficio Obras</t>
  </si>
  <si>
    <t xml:space="preserve">      4.02.16.16.03.0309</t>
  </si>
  <si>
    <t>Construc. a 3 -Mate de Luna 34-ConstrucciÃ³n-Servicios-Coord.Gral/Dir.</t>
  </si>
  <si>
    <t xml:space="preserve">      4.02.16.16.03.0310</t>
  </si>
  <si>
    <t>Construc. a 3 -Mate de Luna 34-ConstrucciÃ³n-Servicios-Recup.Gs.Movili</t>
  </si>
  <si>
    <t xml:space="preserve">    4.02.16.32</t>
  </si>
  <si>
    <t>Construc. a 3 -Mate de Luna 34-Adm. Fideicomis</t>
  </si>
  <si>
    <t xml:space="preserve">     4.02.16.32.03</t>
  </si>
  <si>
    <t>Construc. a 3 -Mate de Luna 34-Adm. Fideicomis-Servicios</t>
  </si>
  <si>
    <t xml:space="preserve">      4.02.16.32.03.0050</t>
  </si>
  <si>
    <t>Construc. a 3 -Mate de Luna 34-Adm. Fideicomis-Servicios-Honorarios Fidu</t>
  </si>
  <si>
    <t xml:space="preserve">   4.02.17</t>
  </si>
  <si>
    <t>Construc. a 3 -Santiago 915</t>
  </si>
  <si>
    <t xml:space="preserve">    4.02.17.16</t>
  </si>
  <si>
    <t>Construc. a 3 -Santiago 915-ConstrucciÃ³n</t>
  </si>
  <si>
    <t xml:space="preserve">     4.02.17.16.03</t>
  </si>
  <si>
    <t>Construc. a 3 -Santiago 915-ConstrucciÃ³n-Servicios</t>
  </si>
  <si>
    <t xml:space="preserve">      4.02.17.16.03.0301</t>
  </si>
  <si>
    <t>Construc. a 3 -Santiago 915-ConstrucciÃ³n-Servicios-Obras y Serv a</t>
  </si>
  <si>
    <t xml:space="preserve">      4.02.17.16.03.0305</t>
  </si>
  <si>
    <t>Construc. a 3 -Santiago 915-ConstrucciÃ³n-Servicios-Recup Costo Obr</t>
  </si>
  <si>
    <t xml:space="preserve">      4.02.17.16.03.0306</t>
  </si>
  <si>
    <t>Construc. a 3 -Santiago 915-ConstrucciÃ³n-Servicios-Recup Herr Mayo</t>
  </si>
  <si>
    <t xml:space="preserve">      4.02.17.16.03.0307</t>
  </si>
  <si>
    <t>Construc. a 3 -Santiago 915-ConstrucciÃ³n-Servicios-Recup Gs Indire</t>
  </si>
  <si>
    <t xml:space="preserve">      4.02.17.16.03.0308</t>
  </si>
  <si>
    <t>Construc. a 3 -Santiago 915-ConstrucciÃ³n-Servicios-Beneficio Obras</t>
  </si>
  <si>
    <t xml:space="preserve">      4.02.17.16.03.0309</t>
  </si>
  <si>
    <t>Construc. a 3 -Santiago 915-ConstrucciÃ³n-Servicios-Coord.Gral/Dir.</t>
  </si>
  <si>
    <t xml:space="preserve">      4.02.17.16.03.0310</t>
  </si>
  <si>
    <t>Construc. a 3 -Santiago 915-ConstrucciÃ³n-Servicios-Recup.Gs.Movili</t>
  </si>
  <si>
    <t xml:space="preserve">      4.02.17.16.03.0312</t>
  </si>
  <si>
    <t>Construc. a 3 -Santiago 915-ConstrucciÃ³n-Servicios-Recupero de imp</t>
  </si>
  <si>
    <t xml:space="preserve">    4.02.17.32</t>
  </si>
  <si>
    <t xml:space="preserve">     4.02.17.32.03</t>
  </si>
  <si>
    <t xml:space="preserve">      4.02.17.32.03.0050</t>
  </si>
  <si>
    <t>Construc. a 3 -Santiago 915-Adm. Fideicomis-Servicios-Honorarios Fidu</t>
  </si>
  <si>
    <t xml:space="preserve">   4.02.18</t>
  </si>
  <si>
    <t>Construc. a 3 -Camino del Peru</t>
  </si>
  <si>
    <t xml:space="preserve">    4.02.18.16</t>
  </si>
  <si>
    <t>Construc. a 3 -Camino del Peru-ConstrucciÃ³n</t>
  </si>
  <si>
    <t xml:space="preserve">     4.02.18.16.03</t>
  </si>
  <si>
    <t>Construc. a 3 -Camino del Peru-ConstrucciÃ³n-Servicios</t>
  </si>
  <si>
    <t xml:space="preserve">      4.02.18.16.03.0301</t>
  </si>
  <si>
    <t xml:space="preserve">Construc. a 3 -Camino del Peru-ConstrucciÃ³n-Servicios-Obras y Serv a </t>
  </si>
  <si>
    <t xml:space="preserve">      4.02.18.16.03.0305</t>
  </si>
  <si>
    <t>Construc. a 3 -Camino del Peru-ConstrucciÃ³n-Servicios-Recup Costo Obr</t>
  </si>
  <si>
    <t xml:space="preserve">      4.02.18.16.03.0306</t>
  </si>
  <si>
    <t>Construc. a 3 -Camino del Peru-ConstrucciÃ³n-Servicios-Recup Herr Mayo</t>
  </si>
  <si>
    <t xml:space="preserve">      4.02.18.16.03.0307</t>
  </si>
  <si>
    <t>Construc. a 3 -Camino del Peru-ConstrucciÃ³n-Servicios-Recup Gs Indire</t>
  </si>
  <si>
    <t xml:space="preserve">      4.02.18.16.03.0308</t>
  </si>
  <si>
    <t>Construc. a 3 -Camino del Peru-ConstrucciÃ³n-Servicios-Beneficio Obras</t>
  </si>
  <si>
    <t xml:space="preserve">      4.02.18.16.03.0309</t>
  </si>
  <si>
    <t>Construc. a 3 -Camino del Peru-ConstrucciÃ³n-Servicios-Coord.Gral/Dir.</t>
  </si>
  <si>
    <t xml:space="preserve">      4.02.18.16.03.0310</t>
  </si>
  <si>
    <t>Construc. a 3 -Camino del Peru-ConstrucciÃ³n-Servicios-Recup.Gs.Movili</t>
  </si>
  <si>
    <t xml:space="preserve">      4.02.18.16.03.0312</t>
  </si>
  <si>
    <t>Construc. a 3 -Camino del Peru-ConstrucciÃ³n-Servicios-Recupero de imp</t>
  </si>
  <si>
    <t xml:space="preserve">    4.02.18.32</t>
  </si>
  <si>
    <t>Construc. a 3 -Camino del Peru-Adm. Fideicomis</t>
  </si>
  <si>
    <t xml:space="preserve">     4.02.18.32.03</t>
  </si>
  <si>
    <t>Construc. a 3 -Camino del Peru-Adm. Fideicomis-Servicios</t>
  </si>
  <si>
    <t xml:space="preserve">      4.02.18.32.03.0050</t>
  </si>
  <si>
    <t>Construc. a 3 -Camino del Peru-Adm. Fideicomis-Servicios-Honorarios Fidu</t>
  </si>
  <si>
    <t xml:space="preserve">      4.02.18.32.03.0051</t>
  </si>
  <si>
    <t>Construc. a 3 -Camino del Peru-Adm. Fideicomis-Servicios-Honorarios proy</t>
  </si>
  <si>
    <t xml:space="preserve">   4.02.19</t>
  </si>
  <si>
    <t>Construc. a 3 -Col.S.Judas Tad</t>
  </si>
  <si>
    <t xml:space="preserve">    4.02.19.16</t>
  </si>
  <si>
    <t>Construc. a 3 -Col.S.Judas Tad-ConstrucciÃ³n</t>
  </si>
  <si>
    <t xml:space="preserve">     4.02.19.16.03</t>
  </si>
  <si>
    <t>Construc. a 3 -Col.S.Judas Tad-ConstrucciÃ³n-Servicios</t>
  </si>
  <si>
    <t xml:space="preserve">      4.02.19.16.03.0301</t>
  </si>
  <si>
    <t xml:space="preserve">Construc. a 3 -Col.S.Judas Tad-ConstrucciÃ³n-Servicios-Obras y Serv a </t>
  </si>
  <si>
    <t xml:space="preserve">      4.02.19.16.03.0305</t>
  </si>
  <si>
    <t>Construc. a 3 -Col.S.Judas Tad-ConstrucciÃ³n-Servicios-Recup Costo Obr</t>
  </si>
  <si>
    <t xml:space="preserve">      4.02.19.16.03.0306</t>
  </si>
  <si>
    <t>Construc. a 3 -Col.S.Judas Tad-ConstrucciÃ³n-Servicios-Recup Herr Mayo</t>
  </si>
  <si>
    <t xml:space="preserve">      4.02.19.16.03.0307</t>
  </si>
  <si>
    <t>Construc. a 3 -Col.S.Judas Tad-ConstrucciÃ³n-Servicios-Recup Gs Indire</t>
  </si>
  <si>
    <t xml:space="preserve">      4.02.19.16.03.0308</t>
  </si>
  <si>
    <t>Construc. a 3 -Col.S.Judas Tad-ConstrucciÃ³n-Servicios-Beneficio Obras</t>
  </si>
  <si>
    <t xml:space="preserve">      4.02.19.16.03.0309</t>
  </si>
  <si>
    <t>Construc. a 3 -Col.S.Judas Tad-ConstrucciÃ³n-Servicios-Coord.Gral/Dir.</t>
  </si>
  <si>
    <t xml:space="preserve">      4.02.19.16.03.0310</t>
  </si>
  <si>
    <t>Construc. a 3 -Col.S.Judas Tad-ConstrucciÃ³n-Servicios-Recup.Gs.Movili</t>
  </si>
  <si>
    <t xml:space="preserve">      4.02.19.16.03.0312</t>
  </si>
  <si>
    <t>Construc. a 3 -Col.S.Judas Tad-ConstrucciÃ³n-Servicios-Recupero de imp</t>
  </si>
  <si>
    <t xml:space="preserve">   4.02.20</t>
  </si>
  <si>
    <t>Construc. a 3 -JUNIN 616</t>
  </si>
  <si>
    <t xml:space="preserve">    4.02.20.16</t>
  </si>
  <si>
    <t>Construc. a 3 -JUNIN 616-ConstrucciÃ³n</t>
  </si>
  <si>
    <t xml:space="preserve">     4.02.20.16.03</t>
  </si>
  <si>
    <t>Construc. a 3 -JUNIN 616-ConstrucciÃ³n-Servicios</t>
  </si>
  <si>
    <t xml:space="preserve">      4.02.20.16.03.0301</t>
  </si>
  <si>
    <t xml:space="preserve">Construc. a 3 -JUNIN 616-ConstrucciÃ³n-Servicios-Obras y Serv a </t>
  </si>
  <si>
    <t xml:space="preserve">      4.02.20.16.03.0305</t>
  </si>
  <si>
    <t>Construc. a 3 -JUNIN 616-ConstrucciÃ³n-Servicios-Recup Costo Obr</t>
  </si>
  <si>
    <t xml:space="preserve">      4.02.20.16.03.0306</t>
  </si>
  <si>
    <t>Construc. a 3 -JUNIN 616-ConstrucciÃ³n-Servicios-Recup Herr Mayo</t>
  </si>
  <si>
    <t xml:space="preserve">      4.02.20.16.03.0307</t>
  </si>
  <si>
    <t>Construc. a 3 -JUNIN 616-ConstrucciÃ³n-Servicios-Recup Gs Indire</t>
  </si>
  <si>
    <t xml:space="preserve">      4.02.20.16.03.0308</t>
  </si>
  <si>
    <t>Construc. a 3 -JUNIN 616-ConstrucciÃ³n-Servicios-Beneficio Obras</t>
  </si>
  <si>
    <t xml:space="preserve">      4.02.20.16.03.0309</t>
  </si>
  <si>
    <t>Construc. a 3 -JUNIN 616-ConstrucciÃ³n-Servicios-Coord.Gral/Dir.</t>
  </si>
  <si>
    <t xml:space="preserve">      4.02.20.16.03.0310</t>
  </si>
  <si>
    <t>Construc. a 3 -JUNIN 616-ConstrucciÃ³n-Servicios-Recup.Gs.Movili</t>
  </si>
  <si>
    <t xml:space="preserve">      4.02.20.16.03.0312</t>
  </si>
  <si>
    <t>Construc. a 3 -JUNIN 616-ConstrucciÃ³n-Servicios-Recupero de imp</t>
  </si>
  <si>
    <t xml:space="preserve">    4.02.20.32</t>
  </si>
  <si>
    <t>Construc. a 3 -JUNIN 616-Adm. Fideicomis</t>
  </si>
  <si>
    <t xml:space="preserve">     4.02.20.32.03</t>
  </si>
  <si>
    <t>Construc. a 3 -JUNIN 616-Adm. Fideicomis-Servicios</t>
  </si>
  <si>
    <t xml:space="preserve">      4.02.20.32.03.0050</t>
  </si>
  <si>
    <t>Construc. a 3 -JUNIN 616-Adm. Fideicomis-Servicios-Honorarios Fidu</t>
  </si>
  <si>
    <t xml:space="preserve">      4.02.20.32.03.0051</t>
  </si>
  <si>
    <t>Construc. a 3 -JUNIN 616-Adm. Fideicomis-Servicios-Honorarios proy</t>
  </si>
  <si>
    <t xml:space="preserve">   4.02.21</t>
  </si>
  <si>
    <t>Construc. a 3 -Catamarca 841</t>
  </si>
  <si>
    <t xml:space="preserve">    4.02.21.16</t>
  </si>
  <si>
    <t>Construc. a 3 -Catamarca 841-ConstrucciÃ³n</t>
  </si>
  <si>
    <t xml:space="preserve">     4.02.21.16.03</t>
  </si>
  <si>
    <t>Construc. a 3 -Catamarca 841-ConstrucciÃ³n-Servicios</t>
  </si>
  <si>
    <t xml:space="preserve">      4.02.21.16.03.0301</t>
  </si>
  <si>
    <t xml:space="preserve">Construc. a 3 -Catamarca 841-ConstrucciÃ³n-Servicios-Obras y Serv a </t>
  </si>
  <si>
    <t xml:space="preserve">   4.02.22</t>
  </si>
  <si>
    <t>Construc. a 3 -Mendoza 785</t>
  </si>
  <si>
    <t xml:space="preserve">    4.02.22.16</t>
  </si>
  <si>
    <t>Construc. a 3 -Mendoza 785-ConstrucciÃ³n</t>
  </si>
  <si>
    <t xml:space="preserve">     4.02.22.16.03</t>
  </si>
  <si>
    <t>Construc. a 3 -Mendoza 785-ConstrucciÃ³n-Servicios</t>
  </si>
  <si>
    <t xml:space="preserve">      4.02.22.16.03.0301</t>
  </si>
  <si>
    <t xml:space="preserve">Construc. a 3 -Mendoza 785-ConstrucciÃ³n-Servicios-Obras y Serv a </t>
  </si>
  <si>
    <t xml:space="preserve">   4.02.23</t>
  </si>
  <si>
    <t>Construc. a 3 -Sarmiento 535 Y</t>
  </si>
  <si>
    <t xml:space="preserve">    4.02.23.16</t>
  </si>
  <si>
    <t>Construc. a 3 -Sarmiento 535 Y-ConstrucciÃ³n</t>
  </si>
  <si>
    <t xml:space="preserve">     4.02.23.16.03</t>
  </si>
  <si>
    <t>Construc. a 3 -Sarmiento 535 Y-ConstrucciÃ³n-Servicios</t>
  </si>
  <si>
    <t xml:space="preserve">      4.02.23.16.03.0301</t>
  </si>
  <si>
    <t xml:space="preserve">Construc. a 3 -Sarmiento 535 Y-ConstrucciÃ³n-Servicios-Obras y Serv a </t>
  </si>
  <si>
    <t xml:space="preserve">   4.02.24</t>
  </si>
  <si>
    <t>Construc. a 3 -Av.Avell.561</t>
  </si>
  <si>
    <t xml:space="preserve">    4.02.24.16</t>
  </si>
  <si>
    <t>Construc. a 3 -Av.Avell.561-ConstrucciÃ³n</t>
  </si>
  <si>
    <t xml:space="preserve">     4.02.24.16.03</t>
  </si>
  <si>
    <t>Construc. a 3 -Av.Avell.561-ConstrucciÃ³n-Servicios</t>
  </si>
  <si>
    <t xml:space="preserve">      4.02.24.16.03.0301</t>
  </si>
  <si>
    <t xml:space="preserve">Construc. a 3 -Av.Avell.561-ConstrucciÃ³n-Servicios-Obras y Serv a </t>
  </si>
  <si>
    <t xml:space="preserve">   4.02.25</t>
  </si>
  <si>
    <t>Construc. a 3 -Santiago 711</t>
  </si>
  <si>
    <t xml:space="preserve">    4.02.25.16</t>
  </si>
  <si>
    <t>Construc. a 3 -Santiago 711-ConstrucciÃ³n</t>
  </si>
  <si>
    <t xml:space="preserve">     4.02.25.16.03</t>
  </si>
  <si>
    <t>Construc. a 3 -Santiago 711-ConstrucciÃ³n-Servicios</t>
  </si>
  <si>
    <t xml:space="preserve">      4.02.25.16.03.0301</t>
  </si>
  <si>
    <t xml:space="preserve">Construc. a 3 -Santiago 711-ConstrucciÃ³n-Servicios-Obras y Serv a </t>
  </si>
  <si>
    <t xml:space="preserve">      4.02.25.16.03.0305</t>
  </si>
  <si>
    <t>Construc. a 3 -Santiago 711-ConstrucciÃ³n-Servicios-Recup Costo Obr</t>
  </si>
  <si>
    <t xml:space="preserve">      4.02.25.16.03.0306</t>
  </si>
  <si>
    <t>Construc. a 3 -Santiago 711-ConstrucciÃ³n-Servicios-Recup Herr Mayo</t>
  </si>
  <si>
    <t xml:space="preserve">      4.02.25.16.03.0307</t>
  </si>
  <si>
    <t>Construc. a 3 -Santiago 711-ConstrucciÃ³n-Servicios-Recup Gs Indire</t>
  </si>
  <si>
    <t xml:space="preserve">      4.02.25.16.03.0308</t>
  </si>
  <si>
    <t>Construc. a 3 -Santiago 711-ConstrucciÃ³n-Servicios-Beneficio Obras</t>
  </si>
  <si>
    <t xml:space="preserve">      4.02.25.16.03.0309</t>
  </si>
  <si>
    <t>Construc. a 3 -Santiago 711-ConstrucciÃ³n-Servicios-Coord.Gral/Dir.</t>
  </si>
  <si>
    <t xml:space="preserve">      4.02.25.16.03.0310</t>
  </si>
  <si>
    <t>Construc. a 3 -Santiago 711-ConstrucciÃ³n-Servicios-Recup.Gs.Movili</t>
  </si>
  <si>
    <t xml:space="preserve">      4.02.25.16.03.0312</t>
  </si>
  <si>
    <t>Construc. a 3 -Santiago 711-ConstrucciÃ³n-Servicios-Recupero de imp</t>
  </si>
  <si>
    <t xml:space="preserve">    4.02.25.32</t>
  </si>
  <si>
    <t>Construc. a 3 -Santiago 711-Adm. Fideicomis</t>
  </si>
  <si>
    <t xml:space="preserve">     4.02.25.32.03</t>
  </si>
  <si>
    <t>Construc. a 3 -Santiago 711-Adm. Fideicomis-Servicios</t>
  </si>
  <si>
    <t xml:space="preserve">      4.02.25.32.03.0050</t>
  </si>
  <si>
    <t>Construc. a 3 -Santiago 711-Adm. Fideicomis-Servicios-Honorarios Fidu</t>
  </si>
  <si>
    <t xml:space="preserve">   4.02.26</t>
  </si>
  <si>
    <t>Construc. a 3 -Piedras 773</t>
  </si>
  <si>
    <t xml:space="preserve">    4.02.26.16</t>
  </si>
  <si>
    <t>Construc. a 3 -Piedras 773-ConstrucciÃ³n</t>
  </si>
  <si>
    <t xml:space="preserve">     4.02.26.16.03</t>
  </si>
  <si>
    <t>Construc. a 3 -Piedras 773-ConstrucciÃ³n-Servicios</t>
  </si>
  <si>
    <t xml:space="preserve">      4.02.26.16.03.0301</t>
  </si>
  <si>
    <t xml:space="preserve">Construc. a 3 -Piedras 773-ConstrucciÃ³n-Servicios-Obras y Serv a </t>
  </si>
  <si>
    <t xml:space="preserve">   4.02.27</t>
  </si>
  <si>
    <t>Construc. a 3 -Ruta 9</t>
  </si>
  <si>
    <t xml:space="preserve">    4.02.27.16</t>
  </si>
  <si>
    <t>Construc. a 3 -Ruta 9-ConstrucciÃ³n</t>
  </si>
  <si>
    <t xml:space="preserve">     4.02.27.16.03</t>
  </si>
  <si>
    <t>Construc. a 3 -Ruta 9-ConstrucciÃ³n-Servicios</t>
  </si>
  <si>
    <t xml:space="preserve">      4.02.27.16.03.0301</t>
  </si>
  <si>
    <t xml:space="preserve">Construc. a 3 -Ruta 9-ConstrucciÃ³n-Servicios-Obras y Serv a </t>
  </si>
  <si>
    <t xml:space="preserve">      4.02.27.16.03.0309</t>
  </si>
  <si>
    <t>Construc. a 3 -Ruta 9-ConstrucciÃ³n-Servicios-Coord.Gral/Dir.</t>
  </si>
  <si>
    <t xml:space="preserve">   4.02.28</t>
  </si>
  <si>
    <t>Construc. a 3 -24 Septiembre 3</t>
  </si>
  <si>
    <t xml:space="preserve">    4.02.28.16</t>
  </si>
  <si>
    <t>Construc. a 3 -24 Septiembre 3-ConstrucciÃ³n</t>
  </si>
  <si>
    <t xml:space="preserve">     4.02.28.16.03</t>
  </si>
  <si>
    <t>Construc. a 3 -24 Septiembre 3-ConstrucciÃ³n-Servicios</t>
  </si>
  <si>
    <t xml:space="preserve">      4.02.28.16.03.0301</t>
  </si>
  <si>
    <t xml:space="preserve">Construc. a 3 -24 Septiembre 3-ConstrucciÃ³n-Servicios-Obras y Serv a </t>
  </si>
  <si>
    <t xml:space="preserve">   4.02.29</t>
  </si>
  <si>
    <t>Construc. a 3 -Los Olivos - Pa</t>
  </si>
  <si>
    <t xml:space="preserve">    4.02.29.16</t>
  </si>
  <si>
    <t>Construc. a 3 -Los Olivos - Pa-ConstrucciÃ³n</t>
  </si>
  <si>
    <t xml:space="preserve">     4.02.29.16.03</t>
  </si>
  <si>
    <t>Construc. a 3 -Los Olivos - Pa-ConstrucciÃ³n-Servicios</t>
  </si>
  <si>
    <t xml:space="preserve">      4.02.29.16.03.0301</t>
  </si>
  <si>
    <t xml:space="preserve">Construc. a 3 -Los Olivos - Pa-ConstrucciÃ³n-Servicios-Obras y Serv a </t>
  </si>
  <si>
    <t xml:space="preserve">   4.02.30</t>
  </si>
  <si>
    <t>Construc. a 3 -MaipÃ  1</t>
  </si>
  <si>
    <t xml:space="preserve">    4.02.30.16</t>
  </si>
  <si>
    <t>Construc. a 3 -MaipÃ  1-ConstrucciÃ³n</t>
  </si>
  <si>
    <t xml:space="preserve">     4.02.30.16.03</t>
  </si>
  <si>
    <t>Construc. a 3 -MaipÃ  1-ConstrucciÃ³n-Servicios</t>
  </si>
  <si>
    <t xml:space="preserve">      4.02.30.16.03.0301</t>
  </si>
  <si>
    <t xml:space="preserve">Construc. a 3 -MaipÃ  1-ConstrucciÃ³n-Servicios-Obras y Serv a </t>
  </si>
  <si>
    <t xml:space="preserve">   4.02.31</t>
  </si>
  <si>
    <t>Construc. a 3 -Chacabuco 532</t>
  </si>
  <si>
    <t xml:space="preserve">    4.02.31.16</t>
  </si>
  <si>
    <t>Construc. a 3 -Chacabuco 532-ConstrucciÃ³n</t>
  </si>
  <si>
    <t xml:space="preserve">     4.02.31.16.03</t>
  </si>
  <si>
    <t>Construc. a 3 -Chacabuco 532-ConstrucciÃ³n-Servicios</t>
  </si>
  <si>
    <t xml:space="preserve">      4.02.31.16.03.0301</t>
  </si>
  <si>
    <t xml:space="preserve">Construc. a 3 -Chacabuco 532-ConstrucciÃ³n-Servicios-Obras y Serv a </t>
  </si>
  <si>
    <t xml:space="preserve">   4.02.32</t>
  </si>
  <si>
    <t xml:space="preserve">Ingresos-Construc. a 3 -Obr Menores a 3 </t>
  </si>
  <si>
    <t xml:space="preserve">    4.02.32.16</t>
  </si>
  <si>
    <t>Obr Men  3 -Construc.</t>
  </si>
  <si>
    <t xml:space="preserve">     4.02.32.16.03</t>
  </si>
  <si>
    <t>Obr Men a 3 -Construc.-Serv</t>
  </si>
  <si>
    <t xml:space="preserve">      4.02.32.16.03.0301</t>
  </si>
  <si>
    <t>Obras Menores a 3 -Construc.-Servic-Obra Realizada</t>
  </si>
  <si>
    <t xml:space="preserve">   4.02.33</t>
  </si>
  <si>
    <t>Construc. a 3 -Clinica Mayo</t>
  </si>
  <si>
    <t xml:space="preserve">    4.02.33.16</t>
  </si>
  <si>
    <t>Ingresos-Construc. a 3 -Clinica Mayo-ConstrucciÃ³n</t>
  </si>
  <si>
    <t xml:space="preserve">     4.02.33.16.03</t>
  </si>
  <si>
    <t>Ingresos-Construc. a 3 -Clinica Mayo-ConstrucciÃ³n-Servicios</t>
  </si>
  <si>
    <t xml:space="preserve">      4.02.33.16.03.01</t>
  </si>
  <si>
    <t>Ingresos-Construc. a 3 -Clinica Mayo-ConstrucciÃ³n-Servicios-Obras</t>
  </si>
  <si>
    <t xml:space="preserve">   4.02.35</t>
  </si>
  <si>
    <t>Construc. a 3 -Victor Iajya</t>
  </si>
  <si>
    <t xml:space="preserve">    4.02.35.16</t>
  </si>
  <si>
    <t>Construc. a 3 -Victor Iajya-ConstrucciÃ³n</t>
  </si>
  <si>
    <t xml:space="preserve">     4.02.35.16.03</t>
  </si>
  <si>
    <t>Construc. a 3 -Victor Iajya-ConstrucciÃ³n-Servicios</t>
  </si>
  <si>
    <t xml:space="preserve">      4.02.35.16.03.01</t>
  </si>
  <si>
    <t>Construc. a 3 -Victor Iajya-ConstrucciÃ³n-Servicios-Obras</t>
  </si>
  <si>
    <t xml:space="preserve">   4.02.36</t>
  </si>
  <si>
    <t>Construc. a 3 -Balcarce 156</t>
  </si>
  <si>
    <t xml:space="preserve">    4.02.36.16</t>
  </si>
  <si>
    <t>Construc. a 3 -Balcarce 156-ConstrucciÃ³n</t>
  </si>
  <si>
    <t xml:space="preserve">     4.02.36.16.03</t>
  </si>
  <si>
    <t>Construc. a 3 -Balcarce 156-ConstrucciÃ³n-Servicios</t>
  </si>
  <si>
    <t xml:space="preserve">      4.02.36.16.03.0301</t>
  </si>
  <si>
    <t xml:space="preserve">Construc. a 3 -Balcarce 156-ConstrucciÃ³n-Servicios-Obras y Serv a </t>
  </si>
  <si>
    <t xml:space="preserve">   4.02.37</t>
  </si>
  <si>
    <t xml:space="preserve">Construc. a 3 -San Lorenzo al </t>
  </si>
  <si>
    <t xml:space="preserve">    4.02.37.16</t>
  </si>
  <si>
    <t>Construc. a 3 -San Lorenzo al -ConstrucciÃ³n</t>
  </si>
  <si>
    <t xml:space="preserve">     4.02.37.16.03</t>
  </si>
  <si>
    <t>Construc. a 3 -San Lorenzo al -ConstrucciÃ³n-Servicios</t>
  </si>
  <si>
    <t xml:space="preserve">      4.02.37.16.03.0301</t>
  </si>
  <si>
    <t xml:space="preserve">Construc. a 3 -San Lorenzo al -ConstrucciÃ³n-Servicios-Obras y Serv a </t>
  </si>
  <si>
    <t xml:space="preserve">      4.02.37.16.03.0305</t>
  </si>
  <si>
    <t>Construc. a 3 -San Lorenzo al -ConstrucciÃ³n-Servicios-Recup Costo Obr</t>
  </si>
  <si>
    <t xml:space="preserve">      4.02.37.16.03.0306</t>
  </si>
  <si>
    <t>Construc. a 3 -San Lorenzo al -ConstrucciÃ³n-Servicios-Recup Herr Mayo</t>
  </si>
  <si>
    <t xml:space="preserve">      4.02.37.16.03.0307</t>
  </si>
  <si>
    <t>Construc. a 3 -San Lorenzo al -ConstrucciÃ³n-Servicios-Recup Gs Indire</t>
  </si>
  <si>
    <t xml:space="preserve">      4.02.37.16.03.0308</t>
  </si>
  <si>
    <t>Construc. a 3 -San Lorenzo al -ConstrucciÃ³n-Servicios-Beneficio Obras</t>
  </si>
  <si>
    <t xml:space="preserve">      4.02.37.16.03.0309</t>
  </si>
  <si>
    <t>Construc. a 3 -San Lorenzo al -ConstrucciÃ³n-Servicios-Coord.Gral/Dir.</t>
  </si>
  <si>
    <t xml:space="preserve">      4.02.37.16.03.0310</t>
  </si>
  <si>
    <t>Construc. a 3 -San Lorenzo al -ConstrucciÃ³n-Servicios-Recup.Gs.Movili</t>
  </si>
  <si>
    <t xml:space="preserve">      4.02.37.16.03.0312</t>
  </si>
  <si>
    <t>Construc. a 3 -San Lorenzo al -ConstrucciÃ³n-Servicios-Recupero de imp</t>
  </si>
  <si>
    <t xml:space="preserve">    4.02.37.32</t>
  </si>
  <si>
    <t>Construc. a 3 -San Lorenzo al -Adm. Fideicomis</t>
  </si>
  <si>
    <t xml:space="preserve">     4.02.37.32.03</t>
  </si>
  <si>
    <t>Construc. a 3 -San Lorenzo al -Adm. Fideicomis-Servicios</t>
  </si>
  <si>
    <t xml:space="preserve">      4.02.37.32.03.0050</t>
  </si>
  <si>
    <t>Construc. a 3 -San Lorenzo al -Adm. Fideicomis-Servicios-Honorarios Fidu</t>
  </si>
  <si>
    <t xml:space="preserve">   4.02.39</t>
  </si>
  <si>
    <t>Construc. a 3 -Salta 450</t>
  </si>
  <si>
    <t xml:space="preserve">    4.02.39.16</t>
  </si>
  <si>
    <t>Construc. a 3 -Salta 450-ConstrucciÃ³n</t>
  </si>
  <si>
    <t xml:space="preserve">     4.02.39.16.03</t>
  </si>
  <si>
    <t>Construc. a 3 -Salta 450-ConstrucciÃ³n-Servicios</t>
  </si>
  <si>
    <t xml:space="preserve">      4.02.39.16.03.0301</t>
  </si>
  <si>
    <t xml:space="preserve">Construc. a 3 -Salta 450-ConstrucciÃ³n-Servicios-Obras y Serv a </t>
  </si>
  <si>
    <t xml:space="preserve">   4.02.40</t>
  </si>
  <si>
    <t>Construc. a 3 -Av.Avell.585</t>
  </si>
  <si>
    <t xml:space="preserve">    4.02.40.16</t>
  </si>
  <si>
    <t>Construc. a 3 -Av.Avell.585-ConstrucciÃ³n</t>
  </si>
  <si>
    <t xml:space="preserve">     4.02.40.16.03</t>
  </si>
  <si>
    <t>Construc. a 3 -Av.Avell.585-ConstrucciÃ³n-Servicios</t>
  </si>
  <si>
    <t xml:space="preserve">      4.02.40.16.03.0301</t>
  </si>
  <si>
    <t xml:space="preserve">Construc. a 3 -Av.Avell.585-ConstrucciÃ³n-Servicios-Obras y Serv a </t>
  </si>
  <si>
    <t xml:space="preserve">   4.02.42</t>
  </si>
  <si>
    <t>Construc. a 3 -Anta La Rincona</t>
  </si>
  <si>
    <t xml:space="preserve">    4.02.42.16</t>
  </si>
  <si>
    <t>Construc. a 3 -Anta La Rincona-ConstrucciÃ³n</t>
  </si>
  <si>
    <t xml:space="preserve">     4.02.42.16.03</t>
  </si>
  <si>
    <t>Construc. a 3 -Anta La Rincona-ConstrucciÃ³n-Servicios</t>
  </si>
  <si>
    <t xml:space="preserve">      4.02.42.16.03.0301</t>
  </si>
  <si>
    <t xml:space="preserve">Construc. a 3 -Anta La Rincona-ConstrucciÃ³n-Servicios-Obras y Serv a </t>
  </si>
  <si>
    <t xml:space="preserve">      4.02.42.16.03.0309</t>
  </si>
  <si>
    <t>Construc. a 3 -Anta La Rincona-ConstrucciÃ³n-Servicios-Coord.Gral/Dir.</t>
  </si>
  <si>
    <t xml:space="preserve">    4.02.42.32</t>
  </si>
  <si>
    <t>Construc. a 3 -Anta La Rincona-Adm. Fideicomis</t>
  </si>
  <si>
    <t xml:space="preserve">     4.02.42.32.03</t>
  </si>
  <si>
    <t>Construc. a 3 -Anta La Rincona-Adm. Fideicomis-Servicios</t>
  </si>
  <si>
    <t xml:space="preserve">      4.02.42.32.03.0050</t>
  </si>
  <si>
    <t>Construc. a 3 -Anta La Rincona-Adm. Fideicomis-Servicios-Honorarios Fidu</t>
  </si>
  <si>
    <t xml:space="preserve">   4.02.43</t>
  </si>
  <si>
    <t>Construc. a 3 -Bs.As.670</t>
  </si>
  <si>
    <t xml:space="preserve">    4.02.43.16</t>
  </si>
  <si>
    <t>Construc. a 3 -Bs.As.670-ConstrucciÃ³n</t>
  </si>
  <si>
    <t xml:space="preserve">     4.02.43.16.03</t>
  </si>
  <si>
    <t>Construc. a 3 -Bs.As.670-ConstrucciÃ³n-Servicios</t>
  </si>
  <si>
    <t xml:space="preserve">      4.02.43.16.03.0301</t>
  </si>
  <si>
    <t xml:space="preserve">Construc. a 3 -Bs.As.670-ConstrucciÃ³n-Servicios-Obras y Serv a </t>
  </si>
  <si>
    <t xml:space="preserve">   4.02.44</t>
  </si>
  <si>
    <t>Construc. a 3 -S.Fe 245</t>
  </si>
  <si>
    <t xml:space="preserve">    4.02.44.16</t>
  </si>
  <si>
    <t>Construc. a 3 -S.Fe 245-ConstrucciÃ³n</t>
  </si>
  <si>
    <t xml:space="preserve">     4.02.44.16.03</t>
  </si>
  <si>
    <t>Construc. a 3 -S.Fe 245-ConstrucciÃ³n-Servicios</t>
  </si>
  <si>
    <t xml:space="preserve">      4.02.44.16.03.0301</t>
  </si>
  <si>
    <t xml:space="preserve">Construc. a 3 -S.Fe 245-ConstrucciÃ³n-Servicios-Obras y Serv a </t>
  </si>
  <si>
    <t xml:space="preserve">   4.02.45</t>
  </si>
  <si>
    <t>Construc. a 3 -L.Heras 429</t>
  </si>
  <si>
    <t xml:space="preserve">    4.02.45.16</t>
  </si>
  <si>
    <t>Construc. a 3 -L.Heras 429-ConstrucciÃ³n</t>
  </si>
  <si>
    <t xml:space="preserve">     4.02.45.16.03</t>
  </si>
  <si>
    <t>Construc. a 3 -L.Heras 429-ConstrucciÃ³n-Servicios</t>
  </si>
  <si>
    <t xml:space="preserve">      4.02.45.16.03.0301</t>
  </si>
  <si>
    <t xml:space="preserve">Construc. a 3 -L.Heras 429-ConstrucciÃ³n-Servicios-Obras y Serv a </t>
  </si>
  <si>
    <t xml:space="preserve">   4.02.46</t>
  </si>
  <si>
    <t>Construc. a 3 -M.Paz 80</t>
  </si>
  <si>
    <t xml:space="preserve">    4.02.46.16</t>
  </si>
  <si>
    <t>Construc. a 3 -M.Paz 80-ConstrucciÃ³n</t>
  </si>
  <si>
    <t xml:space="preserve">     4.02.46.16.03</t>
  </si>
  <si>
    <t>Construc. a 3 -M.Paz 80-ConstrucciÃ³n-Servicios</t>
  </si>
  <si>
    <t xml:space="preserve">      4.02.46.16.03.0301</t>
  </si>
  <si>
    <t xml:space="preserve">Construc. a 3 -M.Paz 80-ConstrucciÃ³n-Servicios-Obras y Serv a </t>
  </si>
  <si>
    <t xml:space="preserve">   4.02.47</t>
  </si>
  <si>
    <t>Construc. a 3 -Laprida 1074</t>
  </si>
  <si>
    <t xml:space="preserve">    4.02.47.16</t>
  </si>
  <si>
    <t>Construc. a 3 -Laprida 1074-ConstrucciÃ³n</t>
  </si>
  <si>
    <t xml:space="preserve">     4.02.47.16.03</t>
  </si>
  <si>
    <t>Construc. a 3 -Laprida 1074-ConstrucciÃ³n-Servicios</t>
  </si>
  <si>
    <t xml:space="preserve">      4.02.47.16.03.0301</t>
  </si>
  <si>
    <t xml:space="preserve">Construc. a 3 -Laprida 1074-ConstrucciÃ³n-Servicios-Obras y Serv a </t>
  </si>
  <si>
    <t xml:space="preserve">   4.02.48</t>
  </si>
  <si>
    <t>Construc. a 3 -Av.Avell.517</t>
  </si>
  <si>
    <t xml:space="preserve">    4.02.48.16</t>
  </si>
  <si>
    <t>Construc. a 3 -Av.Avell.517-ConstrucciÃ³n</t>
  </si>
  <si>
    <t xml:space="preserve">     4.02.48.16.03</t>
  </si>
  <si>
    <t>Construc. a 3 -Av.Avell.517-ConstrucciÃ³n-Servicios</t>
  </si>
  <si>
    <t xml:space="preserve">      4.02.48.16.03.0301</t>
  </si>
  <si>
    <t>Construc. a 3 -Av.Avell.517-ConstrucciÃ³n-Servicios-Obras y Serv a</t>
  </si>
  <si>
    <t xml:space="preserve">   4.02.49</t>
  </si>
  <si>
    <t>Construc. a 3 -Jujuy 231</t>
  </si>
  <si>
    <t xml:space="preserve">    4.02.49.16</t>
  </si>
  <si>
    <t>Construc. a 3 -Jujuy 231-ConstrucciÃ³n</t>
  </si>
  <si>
    <t xml:space="preserve">     4.02.49.16.03</t>
  </si>
  <si>
    <t>Construc. a 3 -Jujuy 431-ConstrucciÃ³n-Servicios</t>
  </si>
  <si>
    <t xml:space="preserve">      4.02.49.16.03.01</t>
  </si>
  <si>
    <t>Construc. a 3 -Jujuy 231-ConstrucciÃ³n-Servicios-Obras</t>
  </si>
  <si>
    <t xml:space="preserve">   4.02.50</t>
  </si>
  <si>
    <t>Construc. a 3 -Mate de Luna 2213</t>
  </si>
  <si>
    <t xml:space="preserve">    4.02.50.16</t>
  </si>
  <si>
    <t>Construc. a 3 -Mate de Luna 2213-ConstrucciÃ³n</t>
  </si>
  <si>
    <t xml:space="preserve">     4.02.50.16.03</t>
  </si>
  <si>
    <t>Construc. a 3 -Mate de Luna 2213-ConstrucciÃ³n-Servicios</t>
  </si>
  <si>
    <t xml:space="preserve">      4.02.50.16.03.01</t>
  </si>
  <si>
    <t>Construc. a 3 -Mate de Luna 2213-ConstrucciÃ³n-Servicios-Obras</t>
  </si>
  <si>
    <t xml:space="preserve">   4.02.57</t>
  </si>
  <si>
    <t>Construc. a 3 -Salta 372</t>
  </si>
  <si>
    <t xml:space="preserve">    4.02.57.16</t>
  </si>
  <si>
    <t>Construc. a 3 -Salta 372-ConstrucciÃ³n</t>
  </si>
  <si>
    <t xml:space="preserve">     4.02.57.16.03</t>
  </si>
  <si>
    <t>Construc. a 3 -Salta 372-ConstrucciÃ³n-Servicios</t>
  </si>
  <si>
    <t xml:space="preserve">      4.02.57.16.03.0301</t>
  </si>
  <si>
    <t xml:space="preserve">Construc. a 3 -Salta 372-ConstrucciÃ³n-Servicios-Obras y Serv a </t>
  </si>
  <si>
    <t xml:space="preserve">   4.02.58</t>
  </si>
  <si>
    <t>Construc. a 3 -Solano Vera</t>
  </si>
  <si>
    <t xml:space="preserve">    4.02.58.16</t>
  </si>
  <si>
    <t>Construc. a 3 -Solano Vera-ConstrucciÃ³n</t>
  </si>
  <si>
    <t xml:space="preserve">     4.02.58.16.03</t>
  </si>
  <si>
    <t>Construc. a 3 -Solano Vera-ConstrucciÃ³n-Servicios</t>
  </si>
  <si>
    <t xml:space="preserve">      4.02.58.16.03.01</t>
  </si>
  <si>
    <t>Construc. a 3 -Solano Vera-ConstrucciÃ³n-Servicios-Obras</t>
  </si>
  <si>
    <t xml:space="preserve">    4.02.58.32</t>
  </si>
  <si>
    <t>Ingresos-Construc. a 3 -Solano Vera-Adm. Fideicomisos</t>
  </si>
  <si>
    <t xml:space="preserve">     4.02.58.32.03</t>
  </si>
  <si>
    <t>Ingresos-Construc. a 3 -Solano Vera-Adm. Fideicomisos-Servicios--</t>
  </si>
  <si>
    <t xml:space="preserve">      4.02.58.32.03.001</t>
  </si>
  <si>
    <t>Ingresos-Construc. a 3 -Solano Vera-Adm. Fideicomisos-Servicios-Honorarios</t>
  </si>
  <si>
    <t xml:space="preserve">   4.02.59</t>
  </si>
  <si>
    <t>Construc. a 3 -Los Nogales</t>
  </si>
  <si>
    <t xml:space="preserve">    4.02.59.16</t>
  </si>
  <si>
    <t>Construc. a 3 -Los Nogales-ConstrucciÃ³n</t>
  </si>
  <si>
    <t xml:space="preserve">     4.02.59.16.03</t>
  </si>
  <si>
    <t>Construc. a 3 -Los Nogales-ConstrucciÃ³n-Servicios</t>
  </si>
  <si>
    <t xml:space="preserve">      4.02.59.16.03.01</t>
  </si>
  <si>
    <t>Construc. a 3 -Los Nogales-ConstrucciÃ³n-Servicios-Obra</t>
  </si>
  <si>
    <t xml:space="preserve">   4.02.60</t>
  </si>
  <si>
    <t>Ingresos-Construc. a 3 -Lavalle 841</t>
  </si>
  <si>
    <t xml:space="preserve">    4.02.60.16</t>
  </si>
  <si>
    <t>Ingresos-Construc. a 3 -Lavalle 841-ConstrucciÃ³n</t>
  </si>
  <si>
    <t xml:space="preserve">     4.02.60.16.03</t>
  </si>
  <si>
    <t>Ingresos-Construc. a 3 -Lavalle 841-ConstrucciÃ³n-Servicios</t>
  </si>
  <si>
    <t xml:space="preserve">      4.02.60.16.03.01</t>
  </si>
  <si>
    <t>Ingresos-Construc. a 3 -Lavalle 841-ConstrucciÃ³n-Servicios-Obras</t>
  </si>
  <si>
    <t xml:space="preserve">   4.02.61</t>
  </si>
  <si>
    <t>Construc. a 3 -Lamadrid 912</t>
  </si>
  <si>
    <t xml:space="preserve">    4.02.61.16</t>
  </si>
  <si>
    <t>Construc. a 3 -Lamadrid 912-ConstrucciÃ³n</t>
  </si>
  <si>
    <t xml:space="preserve">     4.02.61.16.03</t>
  </si>
  <si>
    <t>Construc. a 3 -Lamadrid 912-ConstrucciÃ³n-Servicios</t>
  </si>
  <si>
    <t xml:space="preserve">      4.02.61.16.03.01</t>
  </si>
  <si>
    <t>Construc. a 3 -Lamadrid 912-ConstrucciÃ³n-Servicios-Obra</t>
  </si>
  <si>
    <t xml:space="preserve">   4.02.62</t>
  </si>
  <si>
    <t>Construc. a 3 -Corrientes 464</t>
  </si>
  <si>
    <t xml:space="preserve">    4.02.62.16</t>
  </si>
  <si>
    <t>Construc. a 3 -Corrientes 464-ConstrucciÃ³n</t>
  </si>
  <si>
    <t xml:space="preserve">     4.02.62.16.03</t>
  </si>
  <si>
    <t>Construc. a 3 -Corrientes 464-ConstrucciÃ³n-Servicios</t>
  </si>
  <si>
    <t xml:space="preserve">      4.02.62.16.03.01</t>
  </si>
  <si>
    <t>Construc. a 3 -Corrientes 464-ConstrucciÃ³n-Servicios-Obras</t>
  </si>
  <si>
    <t xml:space="preserve">   4.02.63</t>
  </si>
  <si>
    <t>Construc. a 3 -Prospero Garcia 81</t>
  </si>
  <si>
    <t xml:space="preserve">    4.02.63.16</t>
  </si>
  <si>
    <t>Construc. a 3 -Prospero Garcia 81-ConstrucciÃ³n</t>
  </si>
  <si>
    <t xml:space="preserve">     4.02.63.16.03</t>
  </si>
  <si>
    <t>Ingresos-Construc. a 3 -Prospero Garcia 81-ConstrucciÃ³n-Servicios</t>
  </si>
  <si>
    <t xml:space="preserve">      4.02.63.16.03.01</t>
  </si>
  <si>
    <t>Construc. a 3 -Prospero Garcia 81-ConstrucciÃ³n-Servicios</t>
  </si>
  <si>
    <t xml:space="preserve">   4.02.64</t>
  </si>
  <si>
    <t>Construc. a 3 - Ayacucho 368</t>
  </si>
  <si>
    <t xml:space="preserve">    4.02.64.16</t>
  </si>
  <si>
    <t>Construc. a 3 - Ayacucho 368 - ConstrucciÃ³n</t>
  </si>
  <si>
    <t xml:space="preserve">     4.02.64.16.03</t>
  </si>
  <si>
    <t>Construc. a 3 -Ayacucho 368-ConstrucciÃ³n-Servicios</t>
  </si>
  <si>
    <t xml:space="preserve">      4.02.64.16.03.01</t>
  </si>
  <si>
    <t>Construc. a 3 -Ayacucho 368-ConstrucciÃ³n-Servicios-Obras</t>
  </si>
  <si>
    <t xml:space="preserve">   4.02.65</t>
  </si>
  <si>
    <t>Construc. a 3 -Fideicomiso Bolivar 551</t>
  </si>
  <si>
    <t xml:space="preserve">    4.02.65.16</t>
  </si>
  <si>
    <t>Construc. a 3 -Fideicomiso Bolivar 551-ConstrucciÃ³n</t>
  </si>
  <si>
    <t xml:space="preserve">     4.02.65.16.03</t>
  </si>
  <si>
    <t>Construc. a 3 -Fideicomiso Bolivar 551-ConstrucciÃ³n-Servicios</t>
  </si>
  <si>
    <t xml:space="preserve">      4.02.65.16.03.01</t>
  </si>
  <si>
    <t>Construc. a 3 -Fideicomiso Bolivar 551-ConstrucciÃ³n-Servicios-obras</t>
  </si>
  <si>
    <t xml:space="preserve">   4.02.66</t>
  </si>
  <si>
    <t>Construc. a 3 - Fiorito</t>
  </si>
  <si>
    <t xml:space="preserve">    4.02.66.16</t>
  </si>
  <si>
    <t>Construc. a 3 - Fiorito - ConstrucciÃ³n</t>
  </si>
  <si>
    <t xml:space="preserve">     4.02.66.16.03</t>
  </si>
  <si>
    <t>Construc. a 3 - Fiorito - ConstrucciÃ³n-Servicios</t>
  </si>
  <si>
    <t xml:space="preserve">      4.02.66.16.03.01</t>
  </si>
  <si>
    <t>Construc. a 3 - Fiorito - ConstrucciÃ³n-Servicios-Obras</t>
  </si>
  <si>
    <t xml:space="preserve">   4.02.67</t>
  </si>
  <si>
    <t>Ingresos-Construc. a 3 -Crisostomo Alvarez 1190</t>
  </si>
  <si>
    <t xml:space="preserve">    4.02.67.16</t>
  </si>
  <si>
    <t>Construc. a 3 -Crisostomo Alvarez 1190-ConstrucciÃ³n</t>
  </si>
  <si>
    <t xml:space="preserve">     4.02.67.16.03</t>
  </si>
  <si>
    <t>Construc. a 3 -Crisostomo Alvarez 1190-ConstrucciÃ³n-Servicios</t>
  </si>
  <si>
    <t xml:space="preserve">      4.02.67.16.03.01</t>
  </si>
  <si>
    <t>Construc. a 3 -Ingresos-C -Crisostomo Alvarez 1190-ConstrucciÃ³n-Servicios-Obras</t>
  </si>
  <si>
    <t xml:space="preserve">   4.02.68</t>
  </si>
  <si>
    <t>Ingresos-Construc. a 3 -Escuela Integral</t>
  </si>
  <si>
    <t xml:space="preserve">    4.02.68.16</t>
  </si>
  <si>
    <t>Ingresos-Construc. a 3 -Escuela Integral-ConstrucciÃ³n</t>
  </si>
  <si>
    <t xml:space="preserve">     4.02.68.16.03</t>
  </si>
  <si>
    <t>Ingresos-Construc. a 3 -Escuela Integral-ConstrucciÃ³n-Servicios</t>
  </si>
  <si>
    <t xml:space="preserve">      4.02.68.16.03.01</t>
  </si>
  <si>
    <t>Ingresos-Construc. a 3 -Escuela Integral-ConstrucciÃ³n-Servicios-Obras</t>
  </si>
  <si>
    <t xml:space="preserve">   4.02.69</t>
  </si>
  <si>
    <t>Ingresos-Construc. a 3 -Manino Bruno</t>
  </si>
  <si>
    <t xml:space="preserve">    4.02.69.16</t>
  </si>
  <si>
    <t>Ingresos-Construc. a 3 -Manino Bruno-ConstrucciÃ³n</t>
  </si>
  <si>
    <t xml:space="preserve">     4.02.69.16.03</t>
  </si>
  <si>
    <t>Ingresos-Construc. a 3 -Manino Bruno-ConstrucciÃ³n-Servicios</t>
  </si>
  <si>
    <t xml:space="preserve">      4.02.69.16.03.01</t>
  </si>
  <si>
    <t>Ingresos-Construc. a 3 -Manino Bruno-ConstrucciÃ³n-Servicios-Obras</t>
  </si>
  <si>
    <t xml:space="preserve">   4.02.70</t>
  </si>
  <si>
    <t>Construc. a 3 -Kehila</t>
  </si>
  <si>
    <t xml:space="preserve">    4.02.70.16</t>
  </si>
  <si>
    <t>Construc. a 3 -Kehila-ConstrucciÃ³n</t>
  </si>
  <si>
    <t xml:space="preserve">     4.02.70.16.03</t>
  </si>
  <si>
    <t>Construc. a 3 -Kehila-ConstrucciÃ³n-Servicios</t>
  </si>
  <si>
    <t xml:space="preserve">      4.02.70.16.03.01</t>
  </si>
  <si>
    <t>Construc. a 3 -Kehila-ConstrucciÃ³n-Servicios-Obras</t>
  </si>
  <si>
    <t xml:space="preserve">   4.02.71</t>
  </si>
  <si>
    <t>Construc. a 3 -Buena Vista</t>
  </si>
  <si>
    <t xml:space="preserve">    4.02.71.16</t>
  </si>
  <si>
    <t>Construc. a 3 -Buena Vista-Construccion</t>
  </si>
  <si>
    <t xml:space="preserve">     4.02.71.16.03</t>
  </si>
  <si>
    <t>Construc. a 3 -Buena Vista-ConstrucciÃ³n-Servicios</t>
  </si>
  <si>
    <t xml:space="preserve">      4.02.71.16.03.01</t>
  </si>
  <si>
    <t>Construc. a 3 -Buena Vista-ConstrucciÃ³n-Servicios-Obras</t>
  </si>
  <si>
    <t xml:space="preserve">   4.02.77</t>
  </si>
  <si>
    <t>Guare SRL</t>
  </si>
  <si>
    <t xml:space="preserve">    4.02.77.16</t>
  </si>
  <si>
    <t>Guare SRL-ConstrucciÃ³n</t>
  </si>
  <si>
    <t xml:space="preserve">     4.02.77.16.03</t>
  </si>
  <si>
    <t>Guare SRL-ConstrucciÃ³n-Servicios</t>
  </si>
  <si>
    <t xml:space="preserve">      4.02.77.16.03.0052</t>
  </si>
  <si>
    <t>Guare SRL-ConstrucciÃ³n-Servicios-Honorarios administraciÃ³n</t>
  </si>
  <si>
    <t xml:space="preserve">      4.02.77.16.03.0301</t>
  </si>
  <si>
    <t xml:space="preserve">Guare SRL-ConstrucciÃ³n-Servicios-Obras y Serv a 3 </t>
  </si>
  <si>
    <t xml:space="preserve">   4.02.78</t>
  </si>
  <si>
    <t>Construc. a 3 -Lavalle 379</t>
  </si>
  <si>
    <t xml:space="preserve">    4.02.78.16</t>
  </si>
  <si>
    <t>Construc. a 3 -Lavalle 379-ConstrucciÃ³n</t>
  </si>
  <si>
    <t xml:space="preserve">     4.02.78.16.03</t>
  </si>
  <si>
    <t>Construc. a 3 -Lavalle 379-ConstrucciÃ³n-Servicios</t>
  </si>
  <si>
    <t xml:space="preserve">      4.02.78.16.03.0052</t>
  </si>
  <si>
    <t>Construc. a 3 -Lavalle 379-ConstrucciÃ³n-Servicios-Honorarios admi</t>
  </si>
  <si>
    <t xml:space="preserve">      4.02.78.16.03.0301</t>
  </si>
  <si>
    <t xml:space="preserve">Construc. a 3 -Lavalle 379-ConstrucciÃ³n-Servicios-Obras y Serv a </t>
  </si>
  <si>
    <t xml:space="preserve">   4.02.79</t>
  </si>
  <si>
    <t>Ingresos-Construc. a 3  Camino de Sirga</t>
  </si>
  <si>
    <t xml:space="preserve">    4.02.791</t>
  </si>
  <si>
    <t>Ingresos-Construc. a 3 -Camino de Sirga-construccion</t>
  </si>
  <si>
    <t xml:space="preserve">    4.02.79.10</t>
  </si>
  <si>
    <t>Ingresos-Construc. a 3 -Camino de Sirga-construccion-Servicios</t>
  </si>
  <si>
    <t xml:space="preserve">     4.02.79.100</t>
  </si>
  <si>
    <t>Ingresos-Construc. a 3 -Camino de Sirga-construccion-Servicios-Obra</t>
  </si>
  <si>
    <t xml:space="preserve">   4.02.80</t>
  </si>
  <si>
    <t>Ingresos-Construc. a 3 -Fid.Santa Fe 971</t>
  </si>
  <si>
    <t xml:space="preserve">    4.02.801</t>
  </si>
  <si>
    <t>Ingresos-Construc. a 3 -Fid.Santa Fe 971-construccion-</t>
  </si>
  <si>
    <t xml:space="preserve">    4.02.80.10</t>
  </si>
  <si>
    <t>Ingresos-Construc. a 3 -Fid.Santa Fe 971-construccion-Servicios</t>
  </si>
  <si>
    <t xml:space="preserve">     4.02.80.100</t>
  </si>
  <si>
    <t>Ingresos-Construc. a 3 -Fid.Santa Fe 971-construccion-Servicios-Obra</t>
  </si>
  <si>
    <t xml:space="preserve">   4.02.81</t>
  </si>
  <si>
    <t>Ingresos-Construc. a 3Â Avellaneda 812</t>
  </si>
  <si>
    <t xml:space="preserve">    4.02.811</t>
  </si>
  <si>
    <t>Ingresos-Construc. a 3º-Otros- Alem 121</t>
  </si>
  <si>
    <t xml:space="preserve">    4.02.812</t>
  </si>
  <si>
    <t xml:space="preserve">    4.02.813</t>
  </si>
  <si>
    <t>Ingresos-Construc. a 3Â Avellaneda 812-Construccion Obra</t>
  </si>
  <si>
    <t xml:space="preserve">    4.02.816</t>
  </si>
  <si>
    <t>Ingresos-Construc. a 3Â Avellaneda 812-Cosntruccion</t>
  </si>
  <si>
    <t xml:space="preserve">    4.02.817</t>
  </si>
  <si>
    <t>Ingresos-Construc. a 3º- Av Aconquija 2068</t>
  </si>
  <si>
    <t xml:space="preserve">   4.02.82</t>
  </si>
  <si>
    <t>Ingresos-Construc. a 3º-La Rioja 474</t>
  </si>
  <si>
    <t xml:space="preserve">    4.02.82.16</t>
  </si>
  <si>
    <t>Ingresos-Construc. a 3º-La Rioja 474-Construcción---</t>
  </si>
  <si>
    <t xml:space="preserve">     4.02.82.16.03</t>
  </si>
  <si>
    <t>Ingresos-Construc. a 3º-La Rioja 474-Construcción-Servicios</t>
  </si>
  <si>
    <t xml:space="preserve">      4.02.82.16.03.0301</t>
  </si>
  <si>
    <t>Ingresos-Construc. a 3º-La Rioja 474-Obras y Serv a 3º-Cobertura de Salud</t>
  </si>
  <si>
    <t xml:space="preserve">   4.02.83</t>
  </si>
  <si>
    <t>Ingresos-Construc. a 3º-Mate de Luna 2.845----</t>
  </si>
  <si>
    <t xml:space="preserve">    4.02.83.16</t>
  </si>
  <si>
    <t>Ingresos-Construc. a 3º-Mate de Luna 2.845-Construcción---</t>
  </si>
  <si>
    <t xml:space="preserve">     4.02.83.16.03</t>
  </si>
  <si>
    <t>Ingresos-Construc. a 3º-Mate de Luna 2.845-Construcción-Servicios--</t>
  </si>
  <si>
    <t xml:space="preserve">      4.02.83.16.03.0301</t>
  </si>
  <si>
    <t>Ingresos-Construc. a 3º-M. de Luna 2.845-Const.-Serv.-Obr. y Serv a 3º-Egloff</t>
  </si>
  <si>
    <t xml:space="preserve">   4.02.84</t>
  </si>
  <si>
    <t>Ingresos-Construc. a 3º-Mate de Luna 1845----</t>
  </si>
  <si>
    <t xml:space="preserve">    4.02.84.16</t>
  </si>
  <si>
    <t>Ingresos-Construc. a 3º-Mate de Luna 1845-Construcción---</t>
  </si>
  <si>
    <t xml:space="preserve">     4.02.84.16.03</t>
  </si>
  <si>
    <t>Ingresos-Construc. a 3º-Mate de Luna 1845-Construcción-Servicios--</t>
  </si>
  <si>
    <t xml:space="preserve">      4.02.84.16.03.0301</t>
  </si>
  <si>
    <t>Ingresos-Const. a 3º-M. de Luna 1845-Const.-Serv.-Ob. y Serv a 3º-Forma</t>
  </si>
  <si>
    <t xml:space="preserve">   4.02.85</t>
  </si>
  <si>
    <t>Ingresos-Construc. a 3º-----</t>
  </si>
  <si>
    <t xml:space="preserve">    4.02.85.16</t>
  </si>
  <si>
    <t>Ingresos-Construc. a 3º--Construcción---</t>
  </si>
  <si>
    <t xml:space="preserve">     4.02.85.16.03</t>
  </si>
  <si>
    <t>Ingresos-Construc. a 3º--Construcción-Servicios--</t>
  </si>
  <si>
    <t xml:space="preserve">      4.02.85.16.03.0301</t>
  </si>
  <si>
    <t>Ingresos-Const. a 3º--Const-Serv-Obra y Serv a 3º-Julieta Tumburus</t>
  </si>
  <si>
    <t xml:space="preserve">   4.02.86</t>
  </si>
  <si>
    <t>Ingresos-Construc. a 3º-Maipú 246----</t>
  </si>
  <si>
    <t xml:space="preserve">    4.02.86.16</t>
  </si>
  <si>
    <t>Ingresos-Construc. a 3º-Maipú 246-Construcción---</t>
  </si>
  <si>
    <t xml:space="preserve">     4.02.86.16.03</t>
  </si>
  <si>
    <t>Ingresos-Construc. a 3º-Maipú 246-Construcción-Servicios--</t>
  </si>
  <si>
    <t xml:space="preserve">      4.02.86.16.03.0301</t>
  </si>
  <si>
    <t>Ingresos-Construc. a 3º-Maipú 246-Construcción-Servicios-Obras y Serv a 3º-</t>
  </si>
  <si>
    <t xml:space="preserve">   4.02.91</t>
  </si>
  <si>
    <t>Ingresos-Construc. a 3Â -Marcos Paz 220</t>
  </si>
  <si>
    <t xml:space="preserve">    4.02.910</t>
  </si>
  <si>
    <t>Inversion General Paz 253</t>
  </si>
  <si>
    <t xml:space="preserve">    4.02.91.10</t>
  </si>
  <si>
    <t>Ingresos-Construc. a 3º - Obra: Altos de Yerba Buena - Fid. Altos de YB</t>
  </si>
  <si>
    <t xml:space="preserve">    4.02.91.16</t>
  </si>
  <si>
    <t>Ingresos-Construc. a 3º-Torres SP SRL-Construcción---</t>
  </si>
  <si>
    <t xml:space="preserve">     4.02.91.16.03</t>
  </si>
  <si>
    <t>Ingresos-Construc. a 3º-Torres SP SRL-Construcción-Servicios--</t>
  </si>
  <si>
    <t xml:space="preserve">      4.02.91.16.03.0301</t>
  </si>
  <si>
    <t>Ingresos-Construc. a 3º-Torres SP SRL-Construcción-Servicios-Obras y Serv a 3º-</t>
  </si>
  <si>
    <t xml:space="preserve">    4.02.912</t>
  </si>
  <si>
    <t>Ingresos-Construc. a 3º - Obra: Celedonio Gutierrez</t>
  </si>
  <si>
    <t xml:space="preserve">    4.02.91.20</t>
  </si>
  <si>
    <t>Ingresos-Construc. a 3º- Obra Saenz</t>
  </si>
  <si>
    <t xml:space="preserve">    4.02.913</t>
  </si>
  <si>
    <t>Ingresos-Construc. a 3Â - Marcos Paz 220</t>
  </si>
  <si>
    <t xml:space="preserve">    4.02.91.30</t>
  </si>
  <si>
    <t>Ingresos-Construc. a 3º- Obra: Cordoba 681</t>
  </si>
  <si>
    <t xml:space="preserve">    4.02.914</t>
  </si>
  <si>
    <t>Ingresos-Construc. a 3Â -Yerba Buena Office</t>
  </si>
  <si>
    <t xml:space="preserve">    4.02.91.44</t>
  </si>
  <si>
    <t>Ingresos-Construc. a 3Â -Yerba Buena Oficce-</t>
  </si>
  <si>
    <t xml:space="preserve">    4.02.915</t>
  </si>
  <si>
    <t>Ingresos-Construc. a 3 -Colegio de Grad.Cs.Econ.Tuc. CGCET</t>
  </si>
  <si>
    <t xml:space="preserve">    4.02.916</t>
  </si>
  <si>
    <t>Ingresos-Construc. a 3º- San Lorenzo 591</t>
  </si>
  <si>
    <t xml:space="preserve">    4.02.917</t>
  </si>
  <si>
    <t>Ingresos-Construc. a 3º- Alem 110-Construir SA</t>
  </si>
  <si>
    <t xml:space="preserve">    4.02.918</t>
  </si>
  <si>
    <t>Ingresos-Construc. a 3º Antonella Rocchio</t>
  </si>
  <si>
    <t xml:space="preserve">    4.02.919</t>
  </si>
  <si>
    <t>Ingresos-Construc. a 3º-Obra Buenos Aires 744- Alonso</t>
  </si>
  <si>
    <t xml:space="preserve">   4.02.92</t>
  </si>
  <si>
    <t xml:space="preserve">    4.02.92.16</t>
  </si>
  <si>
    <t xml:space="preserve">     4.02.92.16.03</t>
  </si>
  <si>
    <t xml:space="preserve">      4.02.92.16.03.0052</t>
  </si>
  <si>
    <t>Torres SP SRL-ConstrucciÃ³n-Servicios-Honorarios administraciÃ³n</t>
  </si>
  <si>
    <t xml:space="preserve">      4.02.92.16.03.0301</t>
  </si>
  <si>
    <t>Ingresos-Construc. a 3º--Torres SP</t>
  </si>
  <si>
    <t xml:space="preserve">   4.02.93</t>
  </si>
  <si>
    <t>Ingresos-Construc. a 3º-Catamarca y Corrientes----</t>
  </si>
  <si>
    <t xml:space="preserve">    4.02.93.16</t>
  </si>
  <si>
    <t>Ingresos-Construc. a 3º-Catamarca y Corrientes-Construcción---</t>
  </si>
  <si>
    <t xml:space="preserve">     4.02.93.16.03</t>
  </si>
  <si>
    <t>Ingresos-Construc. a 3º-Catamarca y Corrientes-Construcción-Servicios--</t>
  </si>
  <si>
    <t xml:space="preserve">      4.02.93.16.03.0301</t>
  </si>
  <si>
    <t>Ingresos-Construc. a 3º-Catamarca y Corrientes</t>
  </si>
  <si>
    <t xml:space="preserve">   4.02.94</t>
  </si>
  <si>
    <t xml:space="preserve">    4.02.94.16</t>
  </si>
  <si>
    <t xml:space="preserve">     4.02.94.16.03</t>
  </si>
  <si>
    <t xml:space="preserve">      4.02.94.16.03.0301</t>
  </si>
  <si>
    <t>Ingresos-Construc. a 3º--Florida 115</t>
  </si>
  <si>
    <t xml:space="preserve">   4.21.51</t>
  </si>
  <si>
    <t>Loteo GCI</t>
  </si>
  <si>
    <t xml:space="preserve">    4.21.51.30</t>
  </si>
  <si>
    <t>Loteo GCI-Vta Inm.</t>
  </si>
  <si>
    <t xml:space="preserve">     4.21.51.30.05</t>
  </si>
  <si>
    <t>Loteo GCI-Vta Inm.-Vta Inm.Prop. No</t>
  </si>
  <si>
    <t xml:space="preserve">      4.21.51.30.05.0004</t>
  </si>
  <si>
    <t>Loteo GCI-Vta Inm.-Vta Inm.Prop. No-Vta de Lotes</t>
  </si>
  <si>
    <t xml:space="preserve">    4.21.51.91</t>
  </si>
  <si>
    <t>Loteo GCI-Finan. y Tenenc</t>
  </si>
  <si>
    <t xml:space="preserve">     4.21.51.91.87</t>
  </si>
  <si>
    <t>Loteo GCI-Finan. y Tenenc-Res. Fin y Tene</t>
  </si>
  <si>
    <t xml:space="preserve">      4.21.51.91.87.0311</t>
  </si>
  <si>
    <t>Loteos-Loteo GCI-Finan. y Tenenc-Res. Fin y Tene-Recup Lotes</t>
  </si>
  <si>
    <t xml:space="preserve">      4.21.51.91.87.0501</t>
  </si>
  <si>
    <t>Loteo GCI-Finan. y Tenenc-Res. Fin y Tene-Inter. Fin</t>
  </si>
  <si>
    <t xml:space="preserve">   4.21.52</t>
  </si>
  <si>
    <t>Loteo ECI</t>
  </si>
  <si>
    <t xml:space="preserve">    4.21.52.30</t>
  </si>
  <si>
    <t>Loteo ECI-Vta Inm.</t>
  </si>
  <si>
    <t xml:space="preserve">     4.21.52.30.05</t>
  </si>
  <si>
    <t>Loteo ECI-Vta Inm.-Vta Inm.Prop. No</t>
  </si>
  <si>
    <t xml:space="preserve">      4.21.52.30.05.0004</t>
  </si>
  <si>
    <t>Loteo ECI-Vta Inm.-Vta Inm.Prop. No-Vta de Lotes</t>
  </si>
  <si>
    <t xml:space="preserve">    4.21.52.91</t>
  </si>
  <si>
    <t>Loteo ECI-Finan. y Tenenc</t>
  </si>
  <si>
    <t xml:space="preserve">     4.21.52.91.87</t>
  </si>
  <si>
    <t>Loteo ECI-Finan. y Tenenc-Res. Fin y Tene</t>
  </si>
  <si>
    <t xml:space="preserve">      4.21.52.91.87.0311</t>
  </si>
  <si>
    <t>Loteos-Loteo ECI-Finan. y Tenenc-Res. Fin y Tene-Recup Lotes</t>
  </si>
  <si>
    <t xml:space="preserve">      4.21.52.91.87.0501</t>
  </si>
  <si>
    <t>Loteo ECI-Finan. y Tenenc-Res. Fin y Tene-Inter. Fin</t>
  </si>
  <si>
    <t xml:space="preserve">   4.21.53</t>
  </si>
  <si>
    <t>Loteo AW</t>
  </si>
  <si>
    <t xml:space="preserve">    4.21.53.30</t>
  </si>
  <si>
    <t>Loteo AW-Vta Inm.</t>
  </si>
  <si>
    <t xml:space="preserve">     4.21.53.30.05</t>
  </si>
  <si>
    <t>Loteo AW-Vta Inm.-Vta Inm.Prop. No</t>
  </si>
  <si>
    <t xml:space="preserve">      4.21.53.30.05.0004</t>
  </si>
  <si>
    <t>Loteo AW-Vta Inm.-Vta Inm.Prop. No-Vta de Lotes</t>
  </si>
  <si>
    <t xml:space="preserve">    4.21.53.91</t>
  </si>
  <si>
    <t>Loteo AW-Finan. y Tenenc</t>
  </si>
  <si>
    <t xml:space="preserve">     4.21.53.91.87</t>
  </si>
  <si>
    <t>Loteo AW-Finan. y Tenenc-Res. Fin y Tene</t>
  </si>
  <si>
    <t xml:space="preserve">      4.21.53.91.87.0311</t>
  </si>
  <si>
    <t>Loteos-Loteo AW-Finan. y Tenenc-Res. Fin y Tene-Recup Lotes</t>
  </si>
  <si>
    <t xml:space="preserve">      4.21.53.91.87.0501</t>
  </si>
  <si>
    <t>Loteo AW-Finan. y Tenenc-Res. Fin y Tene-Inter. Fin</t>
  </si>
  <si>
    <t xml:space="preserve">   4.21.54</t>
  </si>
  <si>
    <t>Loteo EL</t>
  </si>
  <si>
    <t xml:space="preserve">    4.21.54.30</t>
  </si>
  <si>
    <t>Loteo EL-Vta Inm.</t>
  </si>
  <si>
    <t xml:space="preserve">     4.21.54.30.05</t>
  </si>
  <si>
    <t>Loteo EL-Vta Inm.-Vta In.Prop. No</t>
  </si>
  <si>
    <t xml:space="preserve">      4.21.54.30.05.0004</t>
  </si>
  <si>
    <t>Loteo EL-Vta Inm.-Vta Inm.Prop. No-Vta de Lotes</t>
  </si>
  <si>
    <t xml:space="preserve">    4.21.54.91</t>
  </si>
  <si>
    <t>Loteo EL-Finan. y Tenenc</t>
  </si>
  <si>
    <t xml:space="preserve">     4.21.54.91.87</t>
  </si>
  <si>
    <t>Loteo EL-Finan. y Tenenc-Res. Fin y Tene</t>
  </si>
  <si>
    <t xml:space="preserve">      4.21.54.91.87.0311</t>
  </si>
  <si>
    <t>Loteos-Loteo EL-Finan. y Tenenc-Res. Fin y Tene-Recup Lotes</t>
  </si>
  <si>
    <t xml:space="preserve">      4.21.54.91.87.0501</t>
  </si>
  <si>
    <t>Loteo EL-Finan. y Tenenc-Res. Fin y Tene-Inter. Fin</t>
  </si>
  <si>
    <t xml:space="preserve">   4.21.55</t>
  </si>
  <si>
    <t>Loteos-Ruta 9</t>
  </si>
  <si>
    <t xml:space="preserve">    4.21.55.30</t>
  </si>
  <si>
    <t>Loteos-Ruta 9-Vta Inmuebles</t>
  </si>
  <si>
    <t xml:space="preserve">     4.21.55.30.05</t>
  </si>
  <si>
    <t>Loteos-Ruta 9-Vta Inmuebles-Vta In.Prop. No</t>
  </si>
  <si>
    <t xml:space="preserve">    4.21.55.91</t>
  </si>
  <si>
    <t>Loteos-Ruta 9-Finan. y Tenenc</t>
  </si>
  <si>
    <t xml:space="preserve">     4.21.55.91.87</t>
  </si>
  <si>
    <t>Loteos-Ruta 9-Finan. y Tenenc-Res. Fin y Tene</t>
  </si>
  <si>
    <t xml:space="preserve">   4.21.73</t>
  </si>
  <si>
    <t>Prados del Libertador A y G</t>
  </si>
  <si>
    <t xml:space="preserve">    4.21.73.30</t>
  </si>
  <si>
    <t>Prados del Libertador A y G-Vta Inmuebles</t>
  </si>
  <si>
    <t xml:space="preserve">     4.21.73.30.05</t>
  </si>
  <si>
    <t>Prados del Libertador A y G-Vta Inmuebles-Vta In.Prop. No Grav</t>
  </si>
  <si>
    <t xml:space="preserve">      4.21.73.30.05.0001</t>
  </si>
  <si>
    <t>Reintegro gastos Loteo Prado del Libertador A y G - Francisco</t>
  </si>
  <si>
    <t xml:space="preserve">      4.21.73.30.05.0002</t>
  </si>
  <si>
    <t>Reintegro gastos Loteo Prado del Libertador A y G - WCL</t>
  </si>
  <si>
    <t xml:space="preserve">      4.21.73.30.05.0003</t>
  </si>
  <si>
    <t>Gcia Batia Loteo Prado del Libertador A y G</t>
  </si>
  <si>
    <t xml:space="preserve">      4.21.73.30.05.0006</t>
  </si>
  <si>
    <t>Gcia Batia Loteo Prados del Libertador A y G s/subcta</t>
  </si>
  <si>
    <t xml:space="preserve">   4.21.74</t>
  </si>
  <si>
    <t>Prados del Libertador EL</t>
  </si>
  <si>
    <t xml:space="preserve">    4.21.74.30</t>
  </si>
  <si>
    <t>Prados del Libertador EL-Vta Inmuebles</t>
  </si>
  <si>
    <t xml:space="preserve">     4.21.74.30.05</t>
  </si>
  <si>
    <t>Prados del Libertador EL-Vta Inmuebles-Vta In.Prop. No Grav</t>
  </si>
  <si>
    <t xml:space="preserve">      4.21.74.30.05.0001</t>
  </si>
  <si>
    <t>Reintegro gastos Loteo Prado del Libertador EL - Francisco</t>
  </si>
  <si>
    <t xml:space="preserve">      4.21.74.30.05.0002</t>
  </si>
  <si>
    <t>Reintegro gastos Loteo Prado del Libertador EL - WCL</t>
  </si>
  <si>
    <t xml:space="preserve">      4.21.74.30.05.0003</t>
  </si>
  <si>
    <t>Gcia Batia Loteo Prados del Libertador EL</t>
  </si>
  <si>
    <t xml:space="preserve">   4.21.75</t>
  </si>
  <si>
    <t>Prados del Libertador AW 2da Etapa</t>
  </si>
  <si>
    <t xml:space="preserve">    4.21.75.30</t>
  </si>
  <si>
    <t>Prados del Libertador AW 2da Etapa-Vta Inmuebles</t>
  </si>
  <si>
    <t xml:space="preserve">     4.21.75.30.01</t>
  </si>
  <si>
    <t>Loteos-Prado Lib Gusta-Vta Inmuebles-Ventas</t>
  </si>
  <si>
    <t xml:space="preserve">      4.21.75.30.01.0004</t>
  </si>
  <si>
    <t>Gcia Batia Loteo Prados del Libertador GCI II</t>
  </si>
  <si>
    <t xml:space="preserve">     4.21.75.30.05</t>
  </si>
  <si>
    <t>Prados del Libertador AW 2da Etapa-Vta Inmuebles-Vta In.Prop. No Grav.</t>
  </si>
  <si>
    <t xml:space="preserve">      4.21.75.30.05.0001</t>
  </si>
  <si>
    <t>Prados del Libertador AW 2da Etapa-Vta Inmuebles-Vta In.Prop. No Grav.-Vta Inmueble</t>
  </si>
  <si>
    <t xml:space="preserve">      4.21.75.30.05.0002</t>
  </si>
  <si>
    <t>Reintegro gastos Loteo Prado del Libertador AW 2da Etapa - Francisco</t>
  </si>
  <si>
    <t xml:space="preserve">      4.21.75.30.05.0004</t>
  </si>
  <si>
    <t>Reintegro gastos Loteo Prado del Libertador AW 2da Etapa - Grupo WCL</t>
  </si>
  <si>
    <t xml:space="preserve">      4.21.75.30.05.0005</t>
  </si>
  <si>
    <t>Gcia Batia Loteo Prados del Libertador AW 2  Etapa</t>
  </si>
  <si>
    <t xml:space="preserve">   4.21.76</t>
  </si>
  <si>
    <t>Loteos-Prado Lib Marco</t>
  </si>
  <si>
    <t xml:space="preserve">    4.21.76.30</t>
  </si>
  <si>
    <t>Loteos-Prado Lib Marco-Vta Inmuebles</t>
  </si>
  <si>
    <t xml:space="preserve">     4.21.76.30.01</t>
  </si>
  <si>
    <t>Loteos-Prado Lib Marco-Vta Inmuebles-Ventas</t>
  </si>
  <si>
    <t xml:space="preserve">      4.21.76.30.01.0004</t>
  </si>
  <si>
    <t>Gcia Batia Loteo Prados del Libertador Marcos Werblud</t>
  </si>
  <si>
    <t xml:space="preserve">   4.21.77</t>
  </si>
  <si>
    <t>Loteos-Prado Libertador- Sofia Lichtmajer</t>
  </si>
  <si>
    <t xml:space="preserve">    4.21.77.30</t>
  </si>
  <si>
    <t>Loteo Prados del Libertador-Sofia Lichtmajer-vta inmueble</t>
  </si>
  <si>
    <t xml:space="preserve">     4.21.77.30.01</t>
  </si>
  <si>
    <t>Loteos Prados del Libertador-Sofia Lichtmajer-vta inmuebles-vtas</t>
  </si>
  <si>
    <t xml:space="preserve">      4.21.77.30.01.0004</t>
  </si>
  <si>
    <t>Gcia Batia Loteo Prados del Libertador Sofia Lichtmajer</t>
  </si>
  <si>
    <t xml:space="preserve">      4.21.77.30.01.0005</t>
  </si>
  <si>
    <t>Gcia Batia Loteo Prados del Libertador Sofia L II</t>
  </si>
  <si>
    <t xml:space="preserve">   4.21.78</t>
  </si>
  <si>
    <t>Loteos -Prados del Libertador -Macarena CI</t>
  </si>
  <si>
    <t xml:space="preserve">    4.21.78.30</t>
  </si>
  <si>
    <t>Loteo Prados del Libertador- Macarena CI -Vta Inmuebles</t>
  </si>
  <si>
    <t xml:space="preserve">     4.21.78.30.01</t>
  </si>
  <si>
    <t>Loteo Prados del Libertador-Macarena CI-Vta Inmuebles-Ventas</t>
  </si>
  <si>
    <t xml:space="preserve">      4.21.78.30.01.004</t>
  </si>
  <si>
    <t>Gcia Batia Loteo Prados del Libertador Macarena CI.</t>
  </si>
  <si>
    <t xml:space="preserve">   4.21.79</t>
  </si>
  <si>
    <t>Loteo-Prado del Libertador - Eleonora CI</t>
  </si>
  <si>
    <t xml:space="preserve">    4.21.79.30</t>
  </si>
  <si>
    <t>Loteo Prados del Libertador- Eleonora CI- Vta Inmueble</t>
  </si>
  <si>
    <t xml:space="preserve">     4.21.79.30.01</t>
  </si>
  <si>
    <t>Loteo Prados del Libertador- Eleonora CI- Vta Inmueble-Vtas</t>
  </si>
  <si>
    <t xml:space="preserve">      4.21.79.30.01.004</t>
  </si>
  <si>
    <t>Gcia Batia Loteo Prados del Libertador- Eleonora CI</t>
  </si>
  <si>
    <t xml:space="preserve">   4.21.81</t>
  </si>
  <si>
    <t>Loteos-Otros</t>
  </si>
  <si>
    <t xml:space="preserve">    4.21.81.82</t>
  </si>
  <si>
    <t>Loteos-Otros-Otros Ingr</t>
  </si>
  <si>
    <t xml:space="preserve">     4.21.81.82.92</t>
  </si>
  <si>
    <t>Loteos-Otros-Otros Ingr-Diversos</t>
  </si>
  <si>
    <t xml:space="preserve">      4.21.81.82.92.0403</t>
  </si>
  <si>
    <t>Loteos-Otros-Recup Gs Loteos</t>
  </si>
  <si>
    <t xml:space="preserve">   4.21.88</t>
  </si>
  <si>
    <t>Ingresos-Loteos-Loteo Prados del Libertador-GCI III----</t>
  </si>
  <si>
    <t xml:space="preserve">    4.21.88.30</t>
  </si>
  <si>
    <t>Ingresos-Loteos-Loteo Prados del Libertador-GCI III-Vta Inmuebles</t>
  </si>
  <si>
    <t xml:space="preserve">     4.21.88.30.01</t>
  </si>
  <si>
    <t>Ingresos-Loteos-Loteo Prados del Libertador-GCI III-Vta Inmuebles-Ventas</t>
  </si>
  <si>
    <t xml:space="preserve">      4.21.88.30.01.0004</t>
  </si>
  <si>
    <t>Ingreso-Loteo P. del Libertador-GCI III-Vta Inmuebles</t>
  </si>
  <si>
    <t xml:space="preserve">   4.21.89</t>
  </si>
  <si>
    <t>Ingresos-Loteos-Loteo Prados del Libertador-AW III</t>
  </si>
  <si>
    <t xml:space="preserve">    4.21.89.30</t>
  </si>
  <si>
    <t>Ingresos-Loteos-Loteo Prados del Libertador-AW III-Vta Inmuebles</t>
  </si>
  <si>
    <t xml:space="preserve">     4.21.89.30.01</t>
  </si>
  <si>
    <t>Ingresos-Loteos-Loteo Prados del Libertador-AW III-Vta Inmuebles-Ventas</t>
  </si>
  <si>
    <t xml:space="preserve">      4.21.89.30.01.0004</t>
  </si>
  <si>
    <t>Ingresos-Loteo Prados del Libertador-AW III-Vta Inmuebles</t>
  </si>
  <si>
    <t xml:space="preserve">   4.21.90</t>
  </si>
  <si>
    <t>Ingresos-Loteos-Loteo Prados del Libertador-E.L. II</t>
  </si>
  <si>
    <t xml:space="preserve">    4.21.90.30</t>
  </si>
  <si>
    <t>Ingresos-Loteos-Loteo Prados del Libertador-E.L. II-Vta Inmuebles</t>
  </si>
  <si>
    <t xml:space="preserve">     4.21.90.30.01</t>
  </si>
  <si>
    <t>Ingresos-Loteos-Loteo Prados del Libertador-E.L. II-Vta Inmuebles-Ventas</t>
  </si>
  <si>
    <t xml:space="preserve">      4.21.90.30.01.0004</t>
  </si>
  <si>
    <t>Ingreso-Loteo Prados del Libertador-E.L. II-Vta Inmuebles</t>
  </si>
  <si>
    <t xml:space="preserve">   4.21.91</t>
  </si>
  <si>
    <t>Ganancia -Loteos Prados de Yerba Buena</t>
  </si>
  <si>
    <t>Inmobiliaria</t>
  </si>
  <si>
    <t xml:space="preserve">   4.33.08</t>
  </si>
  <si>
    <t>Inmobiliaria-Monteagudo 740</t>
  </si>
  <si>
    <t xml:space="preserve">    4.33.08.31</t>
  </si>
  <si>
    <t>Inmobiliaria-Monteagudo 740-Adm.Edific.</t>
  </si>
  <si>
    <t xml:space="preserve">     4.33.08.31.03</t>
  </si>
  <si>
    <t>Inmobiliaria-Monteagudo 740-Adm.Edific.-Servicios</t>
  </si>
  <si>
    <t xml:space="preserve">      4.33.08.31.03.0403</t>
  </si>
  <si>
    <t>Inmobiliaria-Monteagudo 740-Adm.Edific.-Servicios-Varios</t>
  </si>
  <si>
    <t xml:space="preserve">    4.33.08.35</t>
  </si>
  <si>
    <t xml:space="preserve">Inmobiliaria-Monteagudo 740-Alq x cta de 3 </t>
  </si>
  <si>
    <t xml:space="preserve">     4.33.08.35.66</t>
  </si>
  <si>
    <t xml:space="preserve">Inmobiliaria-Monteagudo 740-Alq x cta de 3 -Alq x cta de 3 </t>
  </si>
  <si>
    <t xml:space="preserve">      4.33.08.35.66.0102</t>
  </si>
  <si>
    <t>Inmobiliaria-Monteagudo 740-Alq x cta de 3 -Alq x cta de 3 -Alquileres</t>
  </si>
  <si>
    <t xml:space="preserve">   4.33.09</t>
  </si>
  <si>
    <t>Inmobiliaria-Lapr. 401</t>
  </si>
  <si>
    <t xml:space="preserve">    4.33.09.31</t>
  </si>
  <si>
    <t>Ingresos-Inmobiliaria-Lapr. 401-Adm.Edific.---</t>
  </si>
  <si>
    <t xml:space="preserve">     4.33.09.31.02</t>
  </si>
  <si>
    <t>Ingresos-Inmobiliaria-Lapr. 401-Adm.Edific.-Alq. y Adm Edif.--</t>
  </si>
  <si>
    <t xml:space="preserve">      4.33.09.31.02.0202</t>
  </si>
  <si>
    <t>Lapr. 401-Locacion-Locacion-Expensas</t>
  </si>
  <si>
    <t xml:space="preserve">     4.33.09.31.03</t>
  </si>
  <si>
    <t>Inmobiliaria-Lapr. 401-Adm.Edific.-Servicios</t>
  </si>
  <si>
    <t xml:space="preserve">      4.33.09.31.03.0403</t>
  </si>
  <si>
    <t>Inmob-Lapr. 401-Adm.Ed.-Serv-Varios</t>
  </si>
  <si>
    <t xml:space="preserve">    4.33.09.34</t>
  </si>
  <si>
    <t>Inmobiliaria-Lapr. 401-Alq. Inmueb. Pr</t>
  </si>
  <si>
    <t xml:space="preserve">     4.33.09.34.02</t>
  </si>
  <si>
    <t>Inmobiliaria-Lapr. 401-Alq. Inmueb. Pr-Alq. y Adm Edif</t>
  </si>
  <si>
    <t xml:space="preserve">      4.33.09.34.02.0102</t>
  </si>
  <si>
    <t>Lapr. 401-Locacion-Locacion-Alquileres</t>
  </si>
  <si>
    <t xml:space="preserve">      4.33.09.34.02.0302</t>
  </si>
  <si>
    <t>Lapr. 401-Alq. Inm. Pr-Alq. y Adm Edif-ComisiÃ³n</t>
  </si>
  <si>
    <t xml:space="preserve">    4.33.09.35</t>
  </si>
  <si>
    <t xml:space="preserve">Inmobiliaria-Laprida 401-Alq x cta de 3 </t>
  </si>
  <si>
    <t xml:space="preserve">     4.33.09.35.66</t>
  </si>
  <si>
    <t xml:space="preserve">Inmobiliaria-Laprida 401-Alq x cta de 3 -Alq x cta de 3 </t>
  </si>
  <si>
    <t xml:space="preserve">      4.33.09.35.66.0102</t>
  </si>
  <si>
    <t>Alq x cta de 3 -Lap 401--Alquileres</t>
  </si>
  <si>
    <t xml:space="preserve">      4.33.09.35.66.0202</t>
  </si>
  <si>
    <t>Alq x cta de 3 -Lap 401-Expensas</t>
  </si>
  <si>
    <t xml:space="preserve">      4.33.09.35.66.0403</t>
  </si>
  <si>
    <t>Inmobiliaria-Laprida 401-Alq x cta de 3 -Alq x cta de 3 -Varios</t>
  </si>
  <si>
    <t xml:space="preserve">   4.33.10</t>
  </si>
  <si>
    <t>Inmobiliaria-Maipu 605</t>
  </si>
  <si>
    <t xml:space="preserve">    4.33.10.31</t>
  </si>
  <si>
    <t>Ingresos-Inmobiliaria-Maipu 605-Adm.Edific.---</t>
  </si>
  <si>
    <t xml:space="preserve">     4.33.10.31.02</t>
  </si>
  <si>
    <t>Ingresos-Inmobiliaria-Maipu 605-Adm.Edific.-Alq. y Adm Edif.--</t>
  </si>
  <si>
    <t xml:space="preserve">      4.33.10.31.02.0202</t>
  </si>
  <si>
    <t>Maipu 605-Locacion-Locacion-Expensas</t>
  </si>
  <si>
    <t xml:space="preserve">     4.33.10.31.03</t>
  </si>
  <si>
    <t>Inmobiliaria-Maipu 605-Adm.Edific.-Servicios</t>
  </si>
  <si>
    <t xml:space="preserve">      4.33.10.31.03.0403</t>
  </si>
  <si>
    <t>Inmob-Maipu 605-Adm.Ed.-Serv-Varios</t>
  </si>
  <si>
    <t xml:space="preserve">    4.33.10.34</t>
  </si>
  <si>
    <t>Inmobiliaria-Maipu 605-Alq. Inmueb. Pr</t>
  </si>
  <si>
    <t xml:space="preserve">     4.33.10.34.02</t>
  </si>
  <si>
    <t>Inmobiliaria-Maipu 605-Alq. Inmueb. Pr-Alq. y Adm Edif</t>
  </si>
  <si>
    <t xml:space="preserve">      4.33.10.34.02.0102</t>
  </si>
  <si>
    <t>Maipu 605-Locacion-Locacion-Alquileres</t>
  </si>
  <si>
    <t xml:space="preserve">      4.33.10.34.02.0302</t>
  </si>
  <si>
    <t>Maipu 605--Alq. Inm. Pr-Alq. y Adm Edif-ComisiÃ³n</t>
  </si>
  <si>
    <t xml:space="preserve">    4.33.10.35</t>
  </si>
  <si>
    <t xml:space="preserve">Inmobiliaria-Maipu 605-Alq x cta de 3 </t>
  </si>
  <si>
    <t xml:space="preserve">     4.33.10.35.66</t>
  </si>
  <si>
    <t xml:space="preserve">Inmobiliaria-Maipu 605-Alq x cta de 3 -Alq x cta de 3 </t>
  </si>
  <si>
    <t xml:space="preserve">      4.33.10.35.66.0102</t>
  </si>
  <si>
    <t>Alq x cta de 3 -Maipu 605-Alquileres</t>
  </si>
  <si>
    <t xml:space="preserve">      4.33.10.35.66.0202</t>
  </si>
  <si>
    <t>Alq x cta de 3 -Maipu 605-Expensas</t>
  </si>
  <si>
    <t xml:space="preserve">      4.33.10.35.66.0403</t>
  </si>
  <si>
    <t>Inmobiliaria-Maipu 605-Alq x cta de 3 -Alq x cta de 3 -Varios</t>
  </si>
  <si>
    <t xml:space="preserve">   4.33.14</t>
  </si>
  <si>
    <t>Inmobiliaria-Balcarce 373</t>
  </si>
  <si>
    <t xml:space="preserve">    4.33.14.31</t>
  </si>
  <si>
    <t>Inmobiliaria-Balcarce 373-Adm.Edific.</t>
  </si>
  <si>
    <t xml:space="preserve">     4.33.14.31.03</t>
  </si>
  <si>
    <t>Inmobiliaria-Balcarce 373-Adm.Edific.-Servicios</t>
  </si>
  <si>
    <t xml:space="preserve">      4.33.14.31.03.0102</t>
  </si>
  <si>
    <t>Inmobiliaria-Balcarce 373-Adm.Edific.-Servicios-Alquileres</t>
  </si>
  <si>
    <t xml:space="preserve">      4.33.14.31.03.0403</t>
  </si>
  <si>
    <t>Inmobiliaria-Balcarce 373-Adm.Edific.-Servicios-Varios</t>
  </si>
  <si>
    <t xml:space="preserve">   4.33.15</t>
  </si>
  <si>
    <t>Inmobiliaria-Laprida 416</t>
  </si>
  <si>
    <t xml:space="preserve">    4.33.15.35</t>
  </si>
  <si>
    <t xml:space="preserve">Inmobiliaria-Laprida 416-Alq x cta de 3 </t>
  </si>
  <si>
    <t xml:space="preserve">     4.33.15.35.66</t>
  </si>
  <si>
    <t xml:space="preserve">Inmobiliaria-Laprida 416-Alq x cta de 3 -Alq x cta de 3 </t>
  </si>
  <si>
    <t xml:space="preserve">      4.33.15.35.66.0102</t>
  </si>
  <si>
    <t>Inmobiliaria-Laprida 416-Alq x cta de 3 -Alq x cta de 3 -Alquileres</t>
  </si>
  <si>
    <t xml:space="preserve">      4.33.15.35.66.0202</t>
  </si>
  <si>
    <t>Inmobiliaria-Laprida 416-Alq x cta de 3 -Alq x cta de 3 -Expensas</t>
  </si>
  <si>
    <t xml:space="preserve">      4.33.15.35.66.0403</t>
  </si>
  <si>
    <t>Inmobiliaria-Laprida 416-Alq x cta de 3 -Alq x cta de 3 -Varios</t>
  </si>
  <si>
    <t xml:space="preserve">   4.33.33</t>
  </si>
  <si>
    <t>Inmobiliaria-Comitentes Pers</t>
  </si>
  <si>
    <t xml:space="preserve">    4.33.33.33</t>
  </si>
  <si>
    <t>Inmobiliaria-Comitentes-Act. Inmob</t>
  </si>
  <si>
    <t xml:space="preserve">     4.33.33.33.01</t>
  </si>
  <si>
    <t>Inmobiliaria-Comitentes Pers-Act. Inmobiliar-Ventas</t>
  </si>
  <si>
    <t xml:space="preserve">      4.33.33.33.01.0005</t>
  </si>
  <si>
    <t>Inmobiliaria-Comitentes Pers-Act. Inmobiliar-Ventas-Venta de Inmueb</t>
  </si>
  <si>
    <t xml:space="preserve">     4.33.33.33.61</t>
  </si>
  <si>
    <t xml:space="preserve">Inmobiliaria-Comitentes-Act. Inmob-Vta Inm. 3 </t>
  </si>
  <si>
    <t xml:space="preserve">      4.33.33.33.61.0302</t>
  </si>
  <si>
    <t>Inmobil-Comit Personas-Vta Inm 3 -ComisiÃ³n</t>
  </si>
  <si>
    <t xml:space="preserve">     4.33.33.33.62</t>
  </si>
  <si>
    <t>Inmobiliaria-Comitentes-Act. Inmob-Alq.Inm. 3 --</t>
  </si>
  <si>
    <t xml:space="preserve">      4.33.33.33.62.0302</t>
  </si>
  <si>
    <t>Inmobil.-Comit Personas-Alq. Inm 3 -ComisiÃ³n</t>
  </si>
  <si>
    <t xml:space="preserve">     4.33.33.33.63</t>
  </si>
  <si>
    <t xml:space="preserve">Inmobiliaria-Comitentes-Act. Inmob-Adm.Alq.3 </t>
  </si>
  <si>
    <t xml:space="preserve">      4.33.33.33.63.0302</t>
  </si>
  <si>
    <t>Inmobiliaria-Comitente Perso-Adm.Alq.3 -ComisiÃ³n</t>
  </si>
  <si>
    <t xml:space="preserve">    4.33.33.91</t>
  </si>
  <si>
    <t>Inmobiliaria-Comitentes Pers-Finan. y Tenenc</t>
  </si>
  <si>
    <t xml:space="preserve">     4.33.33.91.61</t>
  </si>
  <si>
    <t xml:space="preserve">Inmobiliaria-Comitentes Pers-Finan. y Tenenc-Vta Inm. 3 </t>
  </si>
  <si>
    <t xml:space="preserve">      4.33.33.91.61.0501</t>
  </si>
  <si>
    <t>Inmob.-Financ-P/Venta Inm.3 -Inter. Financieros</t>
  </si>
  <si>
    <t xml:space="preserve">     4.33.33.91.62</t>
  </si>
  <si>
    <t xml:space="preserve">Inmob.-Financ-Finan. y Tenenc-Alq.Inm. 3 </t>
  </si>
  <si>
    <t xml:space="preserve">      4.33.33.91.62.0501</t>
  </si>
  <si>
    <t>Inmob-Financ.-P/Alq.Inm.3 -Inter. Financieros</t>
  </si>
  <si>
    <t xml:space="preserve">      4.33.33.91.62.0502</t>
  </si>
  <si>
    <t>Ganancia Autos</t>
  </si>
  <si>
    <t xml:space="preserve">      4.33.33.91.62.0503</t>
  </si>
  <si>
    <t>Ganancia extraordinaria WCL</t>
  </si>
  <si>
    <t xml:space="preserve">      4.33.33.91.62.0504</t>
  </si>
  <si>
    <t>Ingresos- Construc. a 3º- Obra varias</t>
  </si>
  <si>
    <t xml:space="preserve">     4.33.33.91.63</t>
  </si>
  <si>
    <t xml:space="preserve">Inmobiliaria-Comitentes Pers-Finan. y Tenenc-Adm.Alq.3 </t>
  </si>
  <si>
    <t xml:space="preserve">      4.33.33.91.63.0501</t>
  </si>
  <si>
    <t>Inmob-Financ-P/Adm.Alq.3 -Inter. Financieros</t>
  </si>
  <si>
    <t xml:space="preserve">   4.33.38</t>
  </si>
  <si>
    <t>Inmobiliaria-San Lorenzo 515</t>
  </si>
  <si>
    <t xml:space="preserve">    4.33.38.35</t>
  </si>
  <si>
    <t xml:space="preserve">Inmobiliaria-San Lorenzo 515-Alq x cta de 3 </t>
  </si>
  <si>
    <t xml:space="preserve">     4.33.38.35.66</t>
  </si>
  <si>
    <t xml:space="preserve">Inmobiliaria-San Lorenzo 515-Alq x cta de 3 -Alq x cta de 3 </t>
  </si>
  <si>
    <t xml:space="preserve">      4.33.38.35.66.0102</t>
  </si>
  <si>
    <t>Inmobiliaria-San Lorenzo 515-Alq x cta de 3 -Alq x cta de 3 -Alquileres</t>
  </si>
  <si>
    <t xml:space="preserve">      4.33.38.35.66.0202</t>
  </si>
  <si>
    <t>Inmobiliaria-San Lorenzo 515-Alq x cta de 3 -Alq x cta de 3 -Expensas</t>
  </si>
  <si>
    <t xml:space="preserve">      4.33.38.35.66.0403</t>
  </si>
  <si>
    <t>Inmobiliaria-San Lorenzo 515-Alq x cta de 3 -Alq x cta de 3 -Varios</t>
  </si>
  <si>
    <t xml:space="preserve">   4.33.81</t>
  </si>
  <si>
    <t>Inmobiliaria-Otros</t>
  </si>
  <si>
    <t xml:space="preserve">    4.33.81.35</t>
  </si>
  <si>
    <t xml:space="preserve">Inmobiliaria-Otros-Alq x cta de 3 </t>
  </si>
  <si>
    <t xml:space="preserve">     4.33.81.35.66</t>
  </si>
  <si>
    <t xml:space="preserve">Inmobiliaria-Otros-Alq x cta de 3 -Alq x cta de 3 </t>
  </si>
  <si>
    <t xml:space="preserve">      4.33.81.35.66.0504</t>
  </si>
  <si>
    <t>Alq x cta de 3 -Inter.Alqu./Exp</t>
  </si>
  <si>
    <t xml:space="preserve">      4.33.81.35.66.06</t>
  </si>
  <si>
    <t>Ingresos-Inmobiliaria-Otros-Alq x cta de 3Â -Solano Vera</t>
  </si>
  <si>
    <t>DroguerÃ­a</t>
  </si>
  <si>
    <t xml:space="preserve">   4.40.81</t>
  </si>
  <si>
    <t>DroguerÃ­a-Otros</t>
  </si>
  <si>
    <t xml:space="preserve">    4.40.81.82</t>
  </si>
  <si>
    <t>DroguerÃ­a-Otros-Otros Ingr</t>
  </si>
  <si>
    <t xml:space="preserve">     4.40.81.82.01</t>
  </si>
  <si>
    <t>DroguerÃ­a-Otros-Otros Ingr-Ventas</t>
  </si>
  <si>
    <t xml:space="preserve">      4.40.81.82.01.0700</t>
  </si>
  <si>
    <t>DroguerÃ­a-Otros-Otros Ingr-Ventas-Venta Medicamen</t>
  </si>
  <si>
    <t xml:space="preserve">     4.40.81.82.87</t>
  </si>
  <si>
    <t>DroguerÃ­a-Otros-Otros Ingr-Res. Fin y Tene</t>
  </si>
  <si>
    <t xml:space="preserve">      4.40.81.82.87.0501</t>
  </si>
  <si>
    <t>DroguerÃ­a-Otros-Otros Ingr-Res. Fin y Tene-Inter. Financie</t>
  </si>
  <si>
    <t>ExplotaciÃ³n CaÃ±</t>
  </si>
  <si>
    <t xml:space="preserve">   4.51.71</t>
  </si>
  <si>
    <t>ExplotaciÃ³n CaÃ±-Finca Eucalipto</t>
  </si>
  <si>
    <t xml:space="preserve">    4.51.71.51</t>
  </si>
  <si>
    <t>ExplotaciÃ³n CaÃ±-Finca Eucalipto-Explot.AgrÃ­cola</t>
  </si>
  <si>
    <t xml:space="preserve">     4.51.71.51.01</t>
  </si>
  <si>
    <t>ExplotaciÃ³n CaÃ±-Finca Eucalipto-Explot.AgrÃ­cola-Ventas</t>
  </si>
  <si>
    <t xml:space="preserve">      4.51.71.51.01.0250</t>
  </si>
  <si>
    <t>Fca Eucalipto-Exp.AgrÃ­c-Ventas-Vta de CaÃ±a</t>
  </si>
  <si>
    <t xml:space="preserve">      4.51.71.51.01.0251</t>
  </si>
  <si>
    <t>Fca Eucalipto-Exp.AgrÃ­c-Ventas-Vta  Azucar Blanco</t>
  </si>
  <si>
    <t xml:space="preserve">      4.51.71.51.01.0252</t>
  </si>
  <si>
    <t>Fca Eucalipto-Exp.AgrÃ­c-Ventas-Res. Crec.BiolÃ³gico</t>
  </si>
  <si>
    <t xml:space="preserve">      4.51.71.51.01.0253</t>
  </si>
  <si>
    <t>Fca Eucalipto-Exp.AgrÃ­c-Ventas-Vta Azucar Crudo</t>
  </si>
  <si>
    <t xml:space="preserve">      4.51.71.51.01.0508</t>
  </si>
  <si>
    <t>ExplotaciÃ³n CaÃ±-Finca Eucalipto-Explot.AgrÃ­cola-Ventas-Rdos por Tenenc</t>
  </si>
  <si>
    <t>Arriendos de Fi</t>
  </si>
  <si>
    <t xml:space="preserve">   4.55.71</t>
  </si>
  <si>
    <t>Arriendos de Fi-Finca Eucalipto</t>
  </si>
  <si>
    <t xml:space="preserve">    4.55.71.51</t>
  </si>
  <si>
    <t>Arriendos de Fi-Finca Eucalipto-Explot.AgrÃ­cola</t>
  </si>
  <si>
    <t xml:space="preserve">     4.55.71.51.92</t>
  </si>
  <si>
    <t>Arriendos de Fi-Finca Eucalipto-Explot.AgrÃ­cola-Diversos</t>
  </si>
  <si>
    <t xml:space="preserve">      4.55.71.51.92.0291</t>
  </si>
  <si>
    <t>Arriendos -Finca Eucalipto-Explot.Ag-Diver-Arriendos Cobrados</t>
  </si>
  <si>
    <t xml:space="preserve">   4.55.72</t>
  </si>
  <si>
    <t>Arriendos de Fi-Finca Rosario</t>
  </si>
  <si>
    <t xml:space="preserve">    4.55.72.51</t>
  </si>
  <si>
    <t>Arriendos de Fi-Finca Rosario-Explot.AgrÃ­cola</t>
  </si>
  <si>
    <t xml:space="preserve">     4.55.72.51.92</t>
  </si>
  <si>
    <t>Arriendos de Fi-Finca Rosario-Explot.AgrÃ­cola-Diversos</t>
  </si>
  <si>
    <t xml:space="preserve">      4.55.72.51.92.0291</t>
  </si>
  <si>
    <t>Arriendos-Finca Rosario-Explot.Ag-Diver-Arriendos Cobrados</t>
  </si>
  <si>
    <t>Egresos</t>
  </si>
  <si>
    <t>EGRESOS</t>
  </si>
  <si>
    <t xml:space="preserve">   5.01.01</t>
  </si>
  <si>
    <t xml:space="preserve">    5.01.01.01</t>
  </si>
  <si>
    <t>Proyecto y direcciÃ³n de Obra</t>
  </si>
  <si>
    <t xml:space="preserve">     5.01.01.01.01</t>
  </si>
  <si>
    <t>Proyecto y dire-Honorarios proyecto</t>
  </si>
  <si>
    <t xml:space="preserve">      5.01.01.01.01.0075</t>
  </si>
  <si>
    <t>Honorarios Proyecto y DT</t>
  </si>
  <si>
    <t xml:space="preserve">      5.01.01.01.01.0096</t>
  </si>
  <si>
    <t>Proyecto y dire-Honor proy-Hon.capatacÃ¬a</t>
  </si>
  <si>
    <t xml:space="preserve">    5.01.01.02</t>
  </si>
  <si>
    <t>Tasas  derechos y servicios</t>
  </si>
  <si>
    <t xml:space="preserve">     5.01.01.02.02</t>
  </si>
  <si>
    <t>Tasas  derechos-Trabajos prelimin</t>
  </si>
  <si>
    <t xml:space="preserve">      5.01.01.02.02.0004</t>
  </si>
  <si>
    <t>Tasas  derechos-Trabajos prelim-Permisos munici</t>
  </si>
  <si>
    <t xml:space="preserve">      5.01.01.02.02.0005</t>
  </si>
  <si>
    <t>Tasas  derechos-Trabajos prelim-Sellados</t>
  </si>
  <si>
    <t xml:space="preserve">      5.01.01.02.02.0006</t>
  </si>
  <si>
    <t>Tasas  derechos-Trabajos prelim-Otros Gtos Iniciales</t>
  </si>
  <si>
    <t xml:space="preserve">      5.01.01.02.02.0008</t>
  </si>
  <si>
    <t>Tasas  der y se-Trab. prelimina-Luz Agua Otros</t>
  </si>
  <si>
    <t xml:space="preserve">      5.01.01.02.02.0356</t>
  </si>
  <si>
    <t>Construc. Ob. p-Fideicomisos-Tasas  der y se-Trab. prelimina-Limpieza y prep</t>
  </si>
  <si>
    <t xml:space="preserve">    5.01.01.03</t>
  </si>
  <si>
    <t>Movilidad y fletes</t>
  </si>
  <si>
    <t xml:space="preserve">     5.01.01.03.03</t>
  </si>
  <si>
    <t>Movilidad y fle-Movilidad y Fletes</t>
  </si>
  <si>
    <t xml:space="preserve">      5.01.01.03.03.0007</t>
  </si>
  <si>
    <t>Movilidad y fle-Movilidad y Fle-Fletes</t>
  </si>
  <si>
    <t xml:space="preserve">      5.01.01.03.03.0079</t>
  </si>
  <si>
    <t>Varios-Varios-Rep. y Mant. Herramientas</t>
  </si>
  <si>
    <t xml:space="preserve">    5.01.01.04</t>
  </si>
  <si>
    <t xml:space="preserve">     5.01.01.04.04</t>
  </si>
  <si>
    <t>Mov. suelo  exc-Demoliciones</t>
  </si>
  <si>
    <t xml:space="preserve">      5.01.01.04.04.0002</t>
  </si>
  <si>
    <t>Mov. suelo  exc-Demoliciones-Mano obra Batia</t>
  </si>
  <si>
    <t xml:space="preserve">      5.01.01.04.04.0003</t>
  </si>
  <si>
    <t xml:space="preserve">Mov. suelo  exc-Demoliciones-Mano obra de 3 </t>
  </si>
  <si>
    <t xml:space="preserve">     5.01.01.04.05</t>
  </si>
  <si>
    <t>Mov. suelo  exc-Movimiento tier</t>
  </si>
  <si>
    <t xml:space="preserve">      5.01.01.04.05.0002</t>
  </si>
  <si>
    <t>Mov. suelo  exc-Movimiento tier-Mano obra Batia</t>
  </si>
  <si>
    <t xml:space="preserve">      5.01.01.04.05.0003</t>
  </si>
  <si>
    <t xml:space="preserve">Mov. suelo  exc-Movimiento tier-Mano obra de 3 </t>
  </si>
  <si>
    <t xml:space="preserve">    5.01.01.05</t>
  </si>
  <si>
    <t>Estructura</t>
  </si>
  <si>
    <t xml:space="preserve">     5.01.01.05.59</t>
  </si>
  <si>
    <t>Estructura-Varios</t>
  </si>
  <si>
    <t xml:space="preserve">      5.01.01.05.59.0001</t>
  </si>
  <si>
    <t>Estructura-Varios-Materiales</t>
  </si>
  <si>
    <t xml:space="preserve">      5.01.01.05.59.0002</t>
  </si>
  <si>
    <t>Estructura-Varios-Mano obra</t>
  </si>
  <si>
    <t xml:space="preserve">      5.01.01.05.59.0003</t>
  </si>
  <si>
    <t xml:space="preserve">Estructura-Varios-Mano obra de 3 </t>
  </si>
  <si>
    <t xml:space="preserve">    5.01.01.06</t>
  </si>
  <si>
    <t>AlbaÃ±ilerÃ­a</t>
  </si>
  <si>
    <t xml:space="preserve">     5.01.01.06.14</t>
  </si>
  <si>
    <t>AlbaÃ±ilerÃ­a-MamposterÃ­a</t>
  </si>
  <si>
    <t xml:space="preserve">      5.01.01.06.14.0003</t>
  </si>
  <si>
    <t xml:space="preserve">AlbaÃ±ilerÃ­a-MamposterÃ­a-Mano obra de 3 </t>
  </si>
  <si>
    <t xml:space="preserve">     5.01.01.06.15</t>
  </si>
  <si>
    <t>AlbaÃ±ilerÃ­a-Aislaciones hidrofugas</t>
  </si>
  <si>
    <t xml:space="preserve">      5.01.01.06.15.0003</t>
  </si>
  <si>
    <t xml:space="preserve">AlbaÃ±ilerÃ­a-Aislaciones hid-Mano obra de 3 </t>
  </si>
  <si>
    <t xml:space="preserve">     5.01.01.06.16</t>
  </si>
  <si>
    <t>AlbaÃ±ilerÃ­a-Revoques</t>
  </si>
  <si>
    <t xml:space="preserve">      5.01.01.06.16.0003</t>
  </si>
  <si>
    <t xml:space="preserve">AlbaÃ±ilerÃ­a-Revoques-Mano obra de 3 </t>
  </si>
  <si>
    <t xml:space="preserve">     5.01.01.06.17</t>
  </si>
  <si>
    <t>AlbaÃ±ilerÃ­a-Contrapisos y c</t>
  </si>
  <si>
    <t xml:space="preserve">      5.01.01.06.17.0003</t>
  </si>
  <si>
    <t xml:space="preserve">AlbaÃ±ilerÃ­a-Contrapisos y c-Mano obra de 3 </t>
  </si>
  <si>
    <t xml:space="preserve">     5.01.01.06.18</t>
  </si>
  <si>
    <t>AlbaÃ±ilerÃ­a-Cubiertas</t>
  </si>
  <si>
    <t xml:space="preserve">      5.01.01.06.18.0001</t>
  </si>
  <si>
    <t>AlbaÃ±ilerÃ­a-Cubiertas-Materiales</t>
  </si>
  <si>
    <t xml:space="preserve">      5.01.01.06.18.0002</t>
  </si>
  <si>
    <t>AlbaÃ±ilerÃ­a-Cubiertas-Mano obra Batia</t>
  </si>
  <si>
    <t xml:space="preserve">      5.01.01.06.18.0003</t>
  </si>
  <si>
    <t xml:space="preserve">AlbaÃ±ilerÃ­a-Cubiertas-Mano obra de 3 </t>
  </si>
  <si>
    <t xml:space="preserve">    5.01.01.07</t>
  </si>
  <si>
    <t>Revestimiento</t>
  </si>
  <si>
    <t xml:space="preserve">     5.01.01.07.21</t>
  </si>
  <si>
    <t>Revestimiento-Pisos</t>
  </si>
  <si>
    <t xml:space="preserve">      5.01.01.07.21.0001</t>
  </si>
  <si>
    <t>Revestimiento-Pisos-Materiales</t>
  </si>
  <si>
    <t xml:space="preserve">      5.01.01.07.21.0003</t>
  </si>
  <si>
    <t xml:space="preserve">Revestimiento-Pisos-Mano obra de 3 </t>
  </si>
  <si>
    <t xml:space="preserve">     5.01.01.07.22</t>
  </si>
  <si>
    <t>Fideicomisos-Revestimiento-ZÃ³calos</t>
  </si>
  <si>
    <t xml:space="preserve">      5.01.01.07.22.0001</t>
  </si>
  <si>
    <t>Revestimientos-ZÃ³calos-Materiales</t>
  </si>
  <si>
    <t xml:space="preserve">      5.01.01.07.22.0003</t>
  </si>
  <si>
    <t xml:space="preserve">Revestimiento-ZÃ³calos-Mano obra de 3 </t>
  </si>
  <si>
    <t xml:space="preserve">     5.01.01.07.23</t>
  </si>
  <si>
    <t>Revestimiento-Revestimiento</t>
  </si>
  <si>
    <t xml:space="preserve">      5.01.01.07.23.0001</t>
  </si>
  <si>
    <t>Revestimiento-Revestimiento-Materiales</t>
  </si>
  <si>
    <t xml:space="preserve">      5.01.01.07.23.0002</t>
  </si>
  <si>
    <t>Revestimiento-Revestimiento-Mano obra Batia</t>
  </si>
  <si>
    <t xml:space="preserve">      5.01.01.07.23.0003</t>
  </si>
  <si>
    <t xml:space="preserve">Revestimiento-Revestimiento-Mano obra de 3 </t>
  </si>
  <si>
    <t xml:space="preserve">     5.01.01.07.24</t>
  </si>
  <si>
    <t>Revestimiento-Revest granÃ­tic</t>
  </si>
  <si>
    <t xml:space="preserve">      5.01.01.07.24.0001</t>
  </si>
  <si>
    <t>Revestimiento-Revest granÃ­tic-Materiales</t>
  </si>
  <si>
    <t xml:space="preserve">      5.01.01.07.24.0003</t>
  </si>
  <si>
    <t xml:space="preserve">Revestimiento-Revest granÃ­tic-Mano obra de 3 </t>
  </si>
  <si>
    <t xml:space="preserve">    5.01.01.08</t>
  </si>
  <si>
    <t>YeserÃ­a</t>
  </si>
  <si>
    <t xml:space="preserve">     5.01.01.08.28</t>
  </si>
  <si>
    <t>YeserÃ­a-Cielorrasos</t>
  </si>
  <si>
    <t xml:space="preserve">      5.01.01.08.28.0001</t>
  </si>
  <si>
    <t>YeserÃ­a-Cielorrasos-Materiales</t>
  </si>
  <si>
    <t xml:space="preserve">      5.01.01.08.28.0003</t>
  </si>
  <si>
    <t xml:space="preserve">YeserÃ­a-Cielorrasos-Mano obra de 3 </t>
  </si>
  <si>
    <t xml:space="preserve">     5.01.01.08.29</t>
  </si>
  <si>
    <t>YeserÃ­a-Tabiques y ciel</t>
  </si>
  <si>
    <t xml:space="preserve">      5.01.01.08.29.0001</t>
  </si>
  <si>
    <t>YeserÃ­a-Tabiques y ciel-Materiales</t>
  </si>
  <si>
    <t xml:space="preserve">      5.01.01.08.29.0002</t>
  </si>
  <si>
    <t>YeserÃ­a-Tabiques y ciel-Mano obra Batia</t>
  </si>
  <si>
    <t xml:space="preserve">      5.01.01.08.29.0003</t>
  </si>
  <si>
    <t xml:space="preserve">YeserÃ­a-Tabiques y ciel-Mano obra de 3 </t>
  </si>
  <si>
    <t xml:space="preserve">    5.01.01.09</t>
  </si>
  <si>
    <t>CarpinterÃ­a</t>
  </si>
  <si>
    <t xml:space="preserve">     5.01.01.09.33</t>
  </si>
  <si>
    <t>CarpinterÃ­a-Carp madera</t>
  </si>
  <si>
    <t xml:space="preserve">      5.01.01.09.33.0001</t>
  </si>
  <si>
    <t>CarpinterÃ­a-Carp madera-Materiales</t>
  </si>
  <si>
    <t xml:space="preserve">      5.01.01.09.33.0003</t>
  </si>
  <si>
    <t xml:space="preserve">CarpinterÃ­a-Carp madera-Mano obra de 3 </t>
  </si>
  <si>
    <t xml:space="preserve">     5.01.01.09.34</t>
  </si>
  <si>
    <t>CarpinterÃ­a-Carp aluminio</t>
  </si>
  <si>
    <t xml:space="preserve">      5.01.01.09.34.0001</t>
  </si>
  <si>
    <t>CarpinterÃ­a-Carp aluminio-Materiales</t>
  </si>
  <si>
    <t xml:space="preserve">      5.01.01.09.34.0003</t>
  </si>
  <si>
    <t xml:space="preserve">CarpinterÃ­a-Carp aluminio-Mano obra de 3 </t>
  </si>
  <si>
    <t xml:space="preserve">     5.01.01.09.35</t>
  </si>
  <si>
    <t>CarpinterÃ­a-Carp metÃ¡licas</t>
  </si>
  <si>
    <t xml:space="preserve">      5.01.01.09.35.0001</t>
  </si>
  <si>
    <t>CarpinterÃ­a-Carp metÃ¡licas-Materiales</t>
  </si>
  <si>
    <t xml:space="preserve">      5.01.01.09.35.0003</t>
  </si>
  <si>
    <t xml:space="preserve">CarpinterÃ­a-Carp metÃ¡licas-Mano obra de 3 </t>
  </si>
  <si>
    <t xml:space="preserve">     5.01.01.09.36</t>
  </si>
  <si>
    <t>CarpinterÃ­a-Frentes placard</t>
  </si>
  <si>
    <t xml:space="preserve">      5.01.01.09.36.0001</t>
  </si>
  <si>
    <t>CarpinterÃ­a-Frentes placard-Materiales</t>
  </si>
  <si>
    <t xml:space="preserve">      5.01.01.09.36.0003</t>
  </si>
  <si>
    <t xml:space="preserve">CarpinterÃ­a-Frentes placard-Mano obra de 3 </t>
  </si>
  <si>
    <t xml:space="preserve">     5.01.01.09.37</t>
  </si>
  <si>
    <t>CarpinterÃ­a-Bajo mesadas y alacenas</t>
  </si>
  <si>
    <t xml:space="preserve">      5.01.01.09.37.0001</t>
  </si>
  <si>
    <t>CarpinterÃ­a-Bajo mesadas y -Materiales</t>
  </si>
  <si>
    <t xml:space="preserve">      5.01.01.09.37.0003</t>
  </si>
  <si>
    <t xml:space="preserve">CarpinterÃ­a-Bajo mesadas y -Mano obra de 3 </t>
  </si>
  <si>
    <t xml:space="preserve">     5.01.01.09.38</t>
  </si>
  <si>
    <t>CarpinterÃ­a-Barandas</t>
  </si>
  <si>
    <t xml:space="preserve">      5.01.01.09.38.0001</t>
  </si>
  <si>
    <t>CarpinterÃ­a-Barandas-Materiales</t>
  </si>
  <si>
    <t xml:space="preserve">      5.01.01.09.38.0003</t>
  </si>
  <si>
    <t xml:space="preserve">CarpinterÃ­a-Barandas-Mano obra de 3 </t>
  </si>
  <si>
    <t xml:space="preserve">     5.01.01.09.39</t>
  </si>
  <si>
    <t>CarpinterÃ­a-Herrajes</t>
  </si>
  <si>
    <t xml:space="preserve">      5.01.01.09.39.0001</t>
  </si>
  <si>
    <t>CarpinterÃ­a-Herrajes-Materiales</t>
  </si>
  <si>
    <t xml:space="preserve">      5.01.01.09.39.0002</t>
  </si>
  <si>
    <t>CarpinterÃ­a-Herrajes-Mano obra Batia</t>
  </si>
  <si>
    <t xml:space="preserve">      5.01.01.09.39.0003</t>
  </si>
  <si>
    <t xml:space="preserve">CarpinterÃ­a-Herrajes-Mano obra de 3 </t>
  </si>
  <si>
    <t xml:space="preserve">     5.01.01.09.59</t>
  </si>
  <si>
    <t>CarpinterÃ­a-Varios</t>
  </si>
  <si>
    <t xml:space="preserve">    5.01.01.10</t>
  </si>
  <si>
    <t>Sanitarios</t>
  </si>
  <si>
    <t xml:space="preserve">     5.01.01.10.43</t>
  </si>
  <si>
    <t>Sanitarios-Bachas de baÃ±o/</t>
  </si>
  <si>
    <t xml:space="preserve">      5.01.01.10.43.0001</t>
  </si>
  <si>
    <t>Sanitarios-Bachas de baÃ±o/-Materiales</t>
  </si>
  <si>
    <t xml:space="preserve">      5.01.01.10.43.0003</t>
  </si>
  <si>
    <t xml:space="preserve">Sanitarios-Bachas de baÃ±o/-Mano obra de 3 </t>
  </si>
  <si>
    <t xml:space="preserve">     5.01.01.10.44</t>
  </si>
  <si>
    <t>Sanitarios-Artef sanitario</t>
  </si>
  <si>
    <t xml:space="preserve">      5.01.01.10.44.0001</t>
  </si>
  <si>
    <t>Sanitarios-Artef sanitario-Materiales</t>
  </si>
  <si>
    <t xml:space="preserve">      5.01.01.10.44.0002</t>
  </si>
  <si>
    <t>Sanitarios-Artef sanitario-Mano obra Batia</t>
  </si>
  <si>
    <t xml:space="preserve">      5.01.01.10.44.0003</t>
  </si>
  <si>
    <t xml:space="preserve">Sanitarios-Artef sanitario-Mano obra de 3 </t>
  </si>
  <si>
    <t xml:space="preserve">     5.01.01.10.45</t>
  </si>
  <si>
    <t>Sanitarios-GriferÃ­as</t>
  </si>
  <si>
    <t xml:space="preserve">      5.01.01.10.45.0001</t>
  </si>
  <si>
    <t>Sanitarios-GriferÃ­as-Materiales</t>
  </si>
  <si>
    <t xml:space="preserve">      5.01.01.10.45.0003</t>
  </si>
  <si>
    <t xml:space="preserve">Sanitarios-GriferÃ­as-Mano obra de 3 </t>
  </si>
  <si>
    <t xml:space="preserve">     5.01.01.10.46</t>
  </si>
  <si>
    <t>Sanitarios-Acc p/baÃ±o</t>
  </si>
  <si>
    <t xml:space="preserve">      5.01.01.10.46.0001</t>
  </si>
  <si>
    <t>Sanitarios-Acc p/baÃ±o-Materiales</t>
  </si>
  <si>
    <t xml:space="preserve">      5.01.01.10.46.0003</t>
  </si>
  <si>
    <t xml:space="preserve">Sanitarios-Acc p/baÃ±o-Mano obra de 3 </t>
  </si>
  <si>
    <t xml:space="preserve">     5.01.01.10.47</t>
  </si>
  <si>
    <t>Sanitarios-Inst Sanitaria</t>
  </si>
  <si>
    <t xml:space="preserve">      5.01.01.10.47.0001</t>
  </si>
  <si>
    <t>Sanitarios-Inst Sanitaria-Materiales</t>
  </si>
  <si>
    <t xml:space="preserve">      5.01.01.10.47.0003</t>
  </si>
  <si>
    <t xml:space="preserve">Sanitarios-Inst Sanitaria-Mano obra de 3 </t>
  </si>
  <si>
    <t xml:space="preserve">     5.01.01.10.48</t>
  </si>
  <si>
    <t>Sanitarios-Inst gas natura</t>
  </si>
  <si>
    <t xml:space="preserve">      5.01.01.10.48.0001</t>
  </si>
  <si>
    <t>Sanitarios-Inst gas natura-Materiales</t>
  </si>
  <si>
    <t xml:space="preserve">      5.01.01.10.48.0003</t>
  </si>
  <si>
    <t xml:space="preserve">Sanitarios-Inst gas natura-Mano obra de 3 </t>
  </si>
  <si>
    <t xml:space="preserve">     5.01.01.10.49</t>
  </si>
  <si>
    <t>Sanitarios-Serv contra inc</t>
  </si>
  <si>
    <t xml:space="preserve">      5.01.01.10.49.0001</t>
  </si>
  <si>
    <t>Sanitarios-Serv contra inc-Materiales</t>
  </si>
  <si>
    <t xml:space="preserve">      5.01.01.10.49.0003</t>
  </si>
  <si>
    <t xml:space="preserve">Sanitarios-Serv contra inc-Mano obra de 3 </t>
  </si>
  <si>
    <t xml:space="preserve">     5.01.01.10.59</t>
  </si>
  <si>
    <t>Sanitarios-Varios</t>
  </si>
  <si>
    <t xml:space="preserve">    5.01.01.11</t>
  </si>
  <si>
    <t>Inst. ElÃ©ctrica</t>
  </si>
  <si>
    <t xml:space="preserve">     5.01.01.11.53</t>
  </si>
  <si>
    <t>Inst. ElÃ©ctrica-Inst elÃ©ctrica</t>
  </si>
  <si>
    <t xml:space="preserve">      5.01.01.11.53.0001</t>
  </si>
  <si>
    <t>Inst. ElÃ©ctrica-Inst elÃ©ctrica-Materiales</t>
  </si>
  <si>
    <t xml:space="preserve">      5.01.01.11.53.0002</t>
  </si>
  <si>
    <t>Inst. ElÃ©ctrica-Inst elÃ©ctrica-Mano obra Batia</t>
  </si>
  <si>
    <t xml:space="preserve">      5.01.01.11.53.0003</t>
  </si>
  <si>
    <t xml:space="preserve">Inst. ElÃ©ctrica-Inst elÃ©ctrica-Mano obra de 3 </t>
  </si>
  <si>
    <t xml:space="preserve">     5.01.01.11.54</t>
  </si>
  <si>
    <t>Inst. ElÃ©ctrica-Artef iluminaci</t>
  </si>
  <si>
    <t xml:space="preserve">      5.01.01.11.54.0001</t>
  </si>
  <si>
    <t>Inst. ElÃ©ctrica-Artef iluminaci-Materiales</t>
  </si>
  <si>
    <t xml:space="preserve">      5.01.01.11.54.0002</t>
  </si>
  <si>
    <t>Inst. ElÃ©ctrica-Artef iluminaci-Mano obra Batia</t>
  </si>
  <si>
    <t xml:space="preserve">      5.01.01.11.54.0003</t>
  </si>
  <si>
    <t xml:space="preserve">Inst. ElÃ©ctrica-Artef iluminaci-Mano obra de 3 </t>
  </si>
  <si>
    <t xml:space="preserve">     5.01.01.11.55</t>
  </si>
  <si>
    <t>Inst. ElÃ©ctrica-Inst telefÃ³nica</t>
  </si>
  <si>
    <t xml:space="preserve">      5.01.01.11.55.0001</t>
  </si>
  <si>
    <t>Inst. ElÃ©ctrica-Inst telefÃ³nica-Materiales</t>
  </si>
  <si>
    <t xml:space="preserve">      5.01.01.11.55.0002</t>
  </si>
  <si>
    <t>Inst. ElÃ©ctrica-Inst telefÃ³nica-Mano obra Batia</t>
  </si>
  <si>
    <t xml:space="preserve">      5.01.01.11.55.0003</t>
  </si>
  <si>
    <t xml:space="preserve">Inst. ElÃ©ctrica-Inst telefÃ³nica-Mano obra de 3 </t>
  </si>
  <si>
    <t xml:space="preserve">    5.01.01.12</t>
  </si>
  <si>
    <t>Vidrios</t>
  </si>
  <si>
    <t xml:space="preserve">     5.01.01.12.59</t>
  </si>
  <si>
    <t>Vidrios-Varios</t>
  </si>
  <si>
    <t xml:space="preserve">      5.01.01.12.59.0001</t>
  </si>
  <si>
    <t>Vidrios-Varios-Materiales</t>
  </si>
  <si>
    <t xml:space="preserve">      5.01.01.12.59.0002</t>
  </si>
  <si>
    <t>Vidrios-Varios-Mano obra Batia</t>
  </si>
  <si>
    <t xml:space="preserve">      5.01.01.12.59.0003</t>
  </si>
  <si>
    <t xml:space="preserve">Vidrios-Varios-Mano obra de 3 </t>
  </si>
  <si>
    <t xml:space="preserve">    5.01.01.13</t>
  </si>
  <si>
    <t>Pintura</t>
  </si>
  <si>
    <t xml:space="preserve">     5.01.01.13.59</t>
  </si>
  <si>
    <t>Pintura-Varios</t>
  </si>
  <si>
    <t xml:space="preserve">     5.01.01.13.63</t>
  </si>
  <si>
    <t>Pintura-Pinturas</t>
  </si>
  <si>
    <t xml:space="preserve">      5.01.01.13.63.0001</t>
  </si>
  <si>
    <t>Pintura-Pinturas-Materiales</t>
  </si>
  <si>
    <t xml:space="preserve">      5.01.01.13.63.0002</t>
  </si>
  <si>
    <t>Pintura-Pinturas-Mano obra Batia</t>
  </si>
  <si>
    <t xml:space="preserve">      5.01.01.13.63.0003</t>
  </si>
  <si>
    <t xml:space="preserve">Pintura-Pinturas-Mano obra de 3 </t>
  </si>
  <si>
    <t xml:space="preserve">    5.01.01.14</t>
  </si>
  <si>
    <t>Equipamiento y Ascensores</t>
  </si>
  <si>
    <t xml:space="preserve">     5.01.01.14.57</t>
  </si>
  <si>
    <t>Equipamiento y -Asensores</t>
  </si>
  <si>
    <t xml:space="preserve">      5.01.01.14.57.0001</t>
  </si>
  <si>
    <t>Equipamiento y -Asensores-Materiales</t>
  </si>
  <si>
    <t xml:space="preserve">      5.01.01.14.57.0002</t>
  </si>
  <si>
    <t>Equipamiento y -Asensores-Mano obra Batia</t>
  </si>
  <si>
    <t xml:space="preserve">      5.01.01.14.57.0003</t>
  </si>
  <si>
    <t xml:space="preserve">Equipamiento y -Asensores-Mano obra de 3 </t>
  </si>
  <si>
    <t xml:space="preserve">     5.01.01.14.58</t>
  </si>
  <si>
    <t>Equipamiento y -Equipos Vs</t>
  </si>
  <si>
    <t xml:space="preserve">      5.01.01.14.58.0001</t>
  </si>
  <si>
    <t>Equipamiento y -Equipos Vs-Materiales</t>
  </si>
  <si>
    <t xml:space="preserve">      5.01.01.14.58.0002</t>
  </si>
  <si>
    <t>Equipamiento y -Equipos Vs-Mano obra Batia</t>
  </si>
  <si>
    <t xml:space="preserve">      5.01.01.14.58.0003</t>
  </si>
  <si>
    <t xml:space="preserve">Equipamiento y -Equipos Vs-Mano obra de 3 </t>
  </si>
  <si>
    <t xml:space="preserve">    5.01.01.15</t>
  </si>
  <si>
    <t>Varios</t>
  </si>
  <si>
    <t xml:space="preserve">     5.01.01.15.59</t>
  </si>
  <si>
    <t>Varios-Varios</t>
  </si>
  <si>
    <t xml:space="preserve">      5.01.01.15.59.0069</t>
  </si>
  <si>
    <t>Varios-Varios-Seguros</t>
  </si>
  <si>
    <t xml:space="preserve">      5.01.01.15.59.0076</t>
  </si>
  <si>
    <t>Varios-Varios-Gastos Diversos</t>
  </si>
  <si>
    <t xml:space="preserve">      5.01.01.15.59.0306</t>
  </si>
  <si>
    <t>Construc. Ob. p-Fideicomisos-Varios-Varios-Fdo.reparac.y g</t>
  </si>
  <si>
    <t xml:space="preserve">     5.01.01.15.60</t>
  </si>
  <si>
    <t>Varios-Costos Vs MO--</t>
  </si>
  <si>
    <t xml:space="preserve">      5.01.01.15.60.0009</t>
  </si>
  <si>
    <t>Varios-Costos Vs MO-Herram de Consumo</t>
  </si>
  <si>
    <t xml:space="preserve">      5.01.01.15.60.0060</t>
  </si>
  <si>
    <t>Varios-Costo Vs MO-Uniformes Personal</t>
  </si>
  <si>
    <t xml:space="preserve">    5.01.01.40</t>
  </si>
  <si>
    <t>Est. Preliminares</t>
  </si>
  <si>
    <t xml:space="preserve">     5.01.01.40.80</t>
  </si>
  <si>
    <t>Est.preliminare-Est. y Gest.</t>
  </si>
  <si>
    <t xml:space="preserve">      5.01.01.40.80.0400</t>
  </si>
  <si>
    <t>Est.preliminare-Est. y Gest.-Relev.Planialtim Georef.</t>
  </si>
  <si>
    <t xml:space="preserve">      5.01.01.40.80.0401</t>
  </si>
  <si>
    <t>Est.preliminare-Est. y Gest.-Est.de Desagues Pluviales</t>
  </si>
  <si>
    <t xml:space="preserve">      5.01.01.40.80.0402</t>
  </si>
  <si>
    <t>Est.preliminare-Est. y Gest.-Est.de Suelos</t>
  </si>
  <si>
    <t xml:space="preserve">      5.01.01.40.80.0403</t>
  </si>
  <si>
    <t>Est.preliminare-Est. y Gest.-Est.de Inund. y Evac Aguas Pluv</t>
  </si>
  <si>
    <t xml:space="preserve">      5.01.01.40.80.0404</t>
  </si>
  <si>
    <t>Est.preliminare-Est. y Gest.-Certif de no Inundabilidad</t>
  </si>
  <si>
    <t xml:space="preserve">      5.01.01.40.80.0405</t>
  </si>
  <si>
    <t>Est.preliminare-Est. y Gest.-Est. de Impacto Ambiental</t>
  </si>
  <si>
    <t xml:space="preserve">    5.01.01.41</t>
  </si>
  <si>
    <t>Urbanismo</t>
  </si>
  <si>
    <t xml:space="preserve">     5.01.01.41.81</t>
  </si>
  <si>
    <t>Urbanismo-Hon.Urbanista</t>
  </si>
  <si>
    <t xml:space="preserve">      5.01.01.41.81.0406</t>
  </si>
  <si>
    <t>Urbanismo-Hon.Urbanista-Anteproy. y Proy Urbanistico</t>
  </si>
  <si>
    <t xml:space="preserve">      5.01.01.41.81.0407</t>
  </si>
  <si>
    <t>Urbanismo-Hon.Urbanista-Proy.y Pliego Tec Club House</t>
  </si>
  <si>
    <t xml:space="preserve">      5.01.01.41.81.0408</t>
  </si>
  <si>
    <t>Urbanismo-Hon.Urbanista-Proy.y Pliego Tec Campos Dep.</t>
  </si>
  <si>
    <t xml:space="preserve">     5.01.01.41.82</t>
  </si>
  <si>
    <t>Urbanismo-Hon.Paisajista</t>
  </si>
  <si>
    <t xml:space="preserve">      5.01.01.41.82.0409</t>
  </si>
  <si>
    <t>Urbanismo-Hon.Paisajista-Paisajismo</t>
  </si>
  <si>
    <t xml:space="preserve">      5.01.01.41.82.0410</t>
  </si>
  <si>
    <t>Urbanismo-Hon.Paisajista-Anteproy. y Proy Paisajista</t>
  </si>
  <si>
    <t xml:space="preserve">      5.01.01.41.82.0411</t>
  </si>
  <si>
    <t>Urbanismo-Hon.Paisajista-Varios</t>
  </si>
  <si>
    <t xml:space="preserve">    5.01.01.42</t>
  </si>
  <si>
    <t>Etapa1</t>
  </si>
  <si>
    <t xml:space="preserve">     5.01.01.42.80</t>
  </si>
  <si>
    <t>Etapa1-Est. y Gest.</t>
  </si>
  <si>
    <t xml:space="preserve">      5.01.01.42.80.0412</t>
  </si>
  <si>
    <t>Etapa1-Est. y Gest.-Anteproy. y Proy Loteo</t>
  </si>
  <si>
    <t xml:space="preserve">      5.01.01.42.80.0413</t>
  </si>
  <si>
    <t>Etapa1-Est. y Gest.-Factibilidad de Agua</t>
  </si>
  <si>
    <t xml:space="preserve">      5.01.01.42.80.0414</t>
  </si>
  <si>
    <t>Etapa1-Est. y Gest.-Factibilidad de Cloacas</t>
  </si>
  <si>
    <t xml:space="preserve">      5.01.01.42.80.0415</t>
  </si>
  <si>
    <t>Etapa1-Est. y Gest.-Factibilidad de Energ Electrica</t>
  </si>
  <si>
    <t xml:space="preserve">      5.01.01.42.80.0416</t>
  </si>
  <si>
    <t>Etapa1-Est. y Gest.-Factibilidad de Telefonia o Fibra Optica</t>
  </si>
  <si>
    <t xml:space="preserve">      5.01.01.42.80.0417</t>
  </si>
  <si>
    <t>Etapa1-Est. y Gest.-Proy.y Pliego Red Agua</t>
  </si>
  <si>
    <t xml:space="preserve">      5.01.01.42.80.0418</t>
  </si>
  <si>
    <t>Etapa1-Est. y Gest.-Proy.y Pliego Red Cloacas</t>
  </si>
  <si>
    <t xml:space="preserve">      5.01.01.42.80.0419</t>
  </si>
  <si>
    <t>Etapa1-Est. y Gest.-Proy.y Pliego Red Electrica</t>
  </si>
  <si>
    <t xml:space="preserve">      5.01.01.42.80.0420</t>
  </si>
  <si>
    <t>Etapa1-Est. y Gest.-Proy.y Pliego Red Telef o Fibra Opt.</t>
  </si>
  <si>
    <t xml:space="preserve">      5.01.01.42.80.0421</t>
  </si>
  <si>
    <t>Etapa1-Est. y Gest.-Proy.y Pliego Red Vial</t>
  </si>
  <si>
    <t xml:space="preserve">     5.01.01.42.83</t>
  </si>
  <si>
    <t>Etapa1-Ob. de Infra.</t>
  </si>
  <si>
    <t xml:space="preserve">      5.01.01.42.83.0422</t>
  </si>
  <si>
    <t>Etapa1-Ob. de Infra.-Red de Agua</t>
  </si>
  <si>
    <t xml:space="preserve">      5.01.01.42.83.0423</t>
  </si>
  <si>
    <t>Etapa1-Ob. de Infra.-Desagues Cloacales</t>
  </si>
  <si>
    <t xml:space="preserve">      5.01.01.42.83.0424</t>
  </si>
  <si>
    <t>Etapa1-Ob. de Infra.-Desagues Pluviales</t>
  </si>
  <si>
    <t xml:space="preserve">      5.01.01.42.83.0425</t>
  </si>
  <si>
    <t>Etapa1-Ob. de Infra.-Red Electrica</t>
  </si>
  <si>
    <t xml:space="preserve">      5.01.01.42.83.0426</t>
  </si>
  <si>
    <t>Etapa1-Ob. de Infra.-Red Gas Natural</t>
  </si>
  <si>
    <t xml:space="preserve">      5.01.01.42.83.0427</t>
  </si>
  <si>
    <t>Etapa1-Ob. de Infra.-Red Vial</t>
  </si>
  <si>
    <t xml:space="preserve">      5.01.01.42.83.0428</t>
  </si>
  <si>
    <t>Etapa1-Ob. de Infra.-Red de Telefonia o Fib Optica</t>
  </si>
  <si>
    <t xml:space="preserve">     5.01.01.42.84</t>
  </si>
  <si>
    <t>Etapa1-Varios</t>
  </si>
  <si>
    <t xml:space="preserve">      5.01.01.42.84.0411</t>
  </si>
  <si>
    <t>Etapa1-Varios-Varios</t>
  </si>
  <si>
    <t xml:space="preserve">    5.01.01.46</t>
  </si>
  <si>
    <t>O.Complem.de Infra.</t>
  </si>
  <si>
    <t xml:space="preserve">     5.01.01.46.94</t>
  </si>
  <si>
    <t>O.Complem.de Infa.-Ob.Complem. de Infra.</t>
  </si>
  <si>
    <t xml:space="preserve">      5.01.01.46.94.0411</t>
  </si>
  <si>
    <t>Ob.Complem. Infra-Ob.Complem. Infra-Varios</t>
  </si>
  <si>
    <t xml:space="preserve">      5.01.01.46.94.0429</t>
  </si>
  <si>
    <t>O.Complem. Infra-Ob.Complem. Infra -Planta de Tratam Cloacal</t>
  </si>
  <si>
    <t xml:space="preserve">      5.01.01.46.94.0430</t>
  </si>
  <si>
    <t>Ob.Complem. Infra-Ob.Complem. Infra -Bombeo Cloacal</t>
  </si>
  <si>
    <t xml:space="preserve">      5.01.01.46.94.0431</t>
  </si>
  <si>
    <t>Ob.Complem. Infra-Ob.Complem. Infra-Perf y Trat Agua Potable</t>
  </si>
  <si>
    <t xml:space="preserve">      5.01.01.46.94.0432</t>
  </si>
  <si>
    <t>Ob.Complem. Infra-Ob.Complem. Infra -Reserva de Agua</t>
  </si>
  <si>
    <t xml:space="preserve">      5.01.01.46.94.0433</t>
  </si>
  <si>
    <t>Ob.Complem. Infra-Ob.Complem. Infra -Planta de Regul Gas</t>
  </si>
  <si>
    <t xml:space="preserve">      5.01.01.46.94.0434</t>
  </si>
  <si>
    <t>Ob.Complem. Infra-Ob.Complem. Infra -Red Vial Complement-Acceso</t>
  </si>
  <si>
    <t xml:space="preserve">      5.01.01.46.94.0435</t>
  </si>
  <si>
    <t>Ob.Complem. Infra-Ob.Complem. Infra -Red Vial Complem-Visita y Recorrido</t>
  </si>
  <si>
    <t xml:space="preserve">      5.01.01.46.94.0436</t>
  </si>
  <si>
    <t>Ob.Complem. Infra-Ob.Complem. Infra -Arbolados y Forestacion</t>
  </si>
  <si>
    <t xml:space="preserve">    5.01.01.47</t>
  </si>
  <si>
    <t>Ob. de Arquitectura</t>
  </si>
  <si>
    <t xml:space="preserve">     5.01.01.47.95</t>
  </si>
  <si>
    <t>Ob. de Arquitectura-Ob. de Arquitectura</t>
  </si>
  <si>
    <t xml:space="preserve">      5.01.01.47.95.0411</t>
  </si>
  <si>
    <t>Ob. de Arquitec-Ob. de Arquitec-Varios</t>
  </si>
  <si>
    <t xml:space="preserve">      5.01.01.47.95.0437</t>
  </si>
  <si>
    <t>Ob. de Arquitec-Ob. de Arquitec-Club House</t>
  </si>
  <si>
    <t xml:space="preserve">      5.01.01.47.95.0438</t>
  </si>
  <si>
    <t>Ob. de Arquitec-Ob. de Arquitec-Oficina de Atencion a Consorcistas</t>
  </si>
  <si>
    <t xml:space="preserve">      5.01.01.47.95.0439</t>
  </si>
  <si>
    <t>Ob. de Arquitec-Ob. de Arquitec-Campos y Circuitos Deportivos</t>
  </si>
  <si>
    <t xml:space="preserve">      5.01.01.47.95.0440</t>
  </si>
  <si>
    <t>Ob. de Arquitec-Ob. de Arquitec-Cercado Perimetral</t>
  </si>
  <si>
    <t xml:space="preserve">      5.01.01.47.95.0441</t>
  </si>
  <si>
    <t>Ob. de Arquitec-Ob. de Arquitec-Cabina y Puesto de Acceso</t>
  </si>
  <si>
    <t xml:space="preserve">      5.01.01.47.95.0442</t>
  </si>
  <si>
    <t>Ob. de Arquitec-Ob. de Arquitec-Seguridad y Vigil. Perimetral</t>
  </si>
  <si>
    <t xml:space="preserve">    5.01.01.48</t>
  </si>
  <si>
    <t>Obras de Nexo</t>
  </si>
  <si>
    <t xml:space="preserve">     5.01.01.48.96</t>
  </si>
  <si>
    <t>Ob. de Nexo-Ob. de Nexo</t>
  </si>
  <si>
    <t xml:space="preserve">      5.01.01.48.96.0411</t>
  </si>
  <si>
    <t>Ob. de Nexo-Ob. de Nexo-Varios</t>
  </si>
  <si>
    <t xml:space="preserve">      5.01.01.48.96.0443</t>
  </si>
  <si>
    <t>Ob. de Nexo-Ob. de Nexo-Nexo de Desagues Cloacales</t>
  </si>
  <si>
    <t xml:space="preserve">      5.01.01.48.96.0444</t>
  </si>
  <si>
    <t>Ob. de Nexo-Ob. de Nexo-Nexo de Desagues Pluviales</t>
  </si>
  <si>
    <t xml:space="preserve">      5.01.01.48.96.0445</t>
  </si>
  <si>
    <t>Ob. de Nexo-Ob. de Nexo-Nexo de Media Tension</t>
  </si>
  <si>
    <t xml:space="preserve">      5.01.01.48.96.0446</t>
  </si>
  <si>
    <t>Ob. de Nexo-Ob. de Nexo-Nexo de Gas</t>
  </si>
  <si>
    <t xml:space="preserve">      5.01.01.48.96.0447</t>
  </si>
  <si>
    <t>Ob. de Nexo-Ob. de Nexo-Nexo de Agua Potable</t>
  </si>
  <si>
    <t xml:space="preserve">   5.01.12</t>
  </si>
  <si>
    <t>Construc. Ob. p-Balcarce 146</t>
  </si>
  <si>
    <t xml:space="preserve">    5.01.12.17</t>
  </si>
  <si>
    <t>Construc. Ob. p-Balcarce 146-Fondo reparacio</t>
  </si>
  <si>
    <t xml:space="preserve">     5.01.12.17.93</t>
  </si>
  <si>
    <t>Construc. Ob. p-Balcarce 146-Fondo reparacio-Diversos</t>
  </si>
  <si>
    <t xml:space="preserve">      5.01.12.17.93.0059</t>
  </si>
  <si>
    <t>Construc. Ob. p-Balcarce 146-Fondo reparacio-Diversos-Indemnizaciones</t>
  </si>
  <si>
    <t xml:space="preserve">      5.01.12.17.93.0070</t>
  </si>
  <si>
    <t>Construc. Ob. p-Balcarce 146-Fondo reparacio-Diversos-Gs Escrituras</t>
  </si>
  <si>
    <t xml:space="preserve">      5.01.12.17.93.0076</t>
  </si>
  <si>
    <t>Construc. Ob. p-Balcarce 146-Fondo reparacio-Diversos-Gastos Diversos</t>
  </si>
  <si>
    <t xml:space="preserve">      5.01.12.17.93.0120</t>
  </si>
  <si>
    <t>Construc. Ob. p-Balcarce 146-Fondo reparacio-Diversos-Imp. a las Gcia</t>
  </si>
  <si>
    <t xml:space="preserve">      5.01.12.17.93.0126</t>
  </si>
  <si>
    <t>Construc. Ob. p-Balcarce 146-Fondo reparacio-Diversos-Otros Imp y Tas</t>
  </si>
  <si>
    <t xml:space="preserve">      5.01.12.17.93.0127</t>
  </si>
  <si>
    <t>Construc. Ob. p-Balcarce 146-Fondo reparacio-Diversos-Imp. Bs Persona</t>
  </si>
  <si>
    <t xml:space="preserve">      5.01.12.17.93.0302</t>
  </si>
  <si>
    <t>Construc. Ob. p-Balcarce 146-Fondo reparacio-Diversos-Edific.terminad</t>
  </si>
  <si>
    <t xml:space="preserve">      5.01.12.17.93.0307</t>
  </si>
  <si>
    <t>Construc. Ob. p-Balcarce 146-Fondo reparacio-Diversos-Consorcio-gtos.</t>
  </si>
  <si>
    <t xml:space="preserve">   5.01.14</t>
  </si>
  <si>
    <t>Construc. Ob. p-Balcarce 373</t>
  </si>
  <si>
    <t xml:space="preserve">    5.01.14.17</t>
  </si>
  <si>
    <t>Construc. Ob. p-Balcarce 373-Fondo reparacio</t>
  </si>
  <si>
    <t xml:space="preserve">     5.01.14.17.93</t>
  </si>
  <si>
    <t>Construc. Ob. p-Balcarce 373-Fondo reparacio-Diversos</t>
  </si>
  <si>
    <t xml:space="preserve">      5.01.14.17.93.0059</t>
  </si>
  <si>
    <t>Construc. Ob. p-Balcarce 373-Fondo reparacio-Diversos-Indemnizaciones</t>
  </si>
  <si>
    <t xml:space="preserve">      5.01.14.17.93.0070</t>
  </si>
  <si>
    <t>Construc. Ob. p-Balcarce 373-Fondo reparacio-Diversos-Gs Escrituras</t>
  </si>
  <si>
    <t xml:space="preserve">      5.01.14.17.93.0076</t>
  </si>
  <si>
    <t>Construc. Ob. p-Balcarce 373-Fondo reparacio-Diversos-Gastos Diversos</t>
  </si>
  <si>
    <t xml:space="preserve">      5.01.14.17.93.0120</t>
  </si>
  <si>
    <t>Construc. Ob. p-Balcarce 373-Fondo reparacio-Diversos-Imp. a las Gcia</t>
  </si>
  <si>
    <t xml:space="preserve">      5.01.14.17.93.0126</t>
  </si>
  <si>
    <t>Construc. Ob. p-Balcarce 373-Fondo reparacio-Diversos-Otros Imp y Tas</t>
  </si>
  <si>
    <t xml:space="preserve">      5.01.14.17.93.0127</t>
  </si>
  <si>
    <t>Construc. Ob. p-Balcarce 373-Fondo reparacio-Diversos-Imp. Bs Persona</t>
  </si>
  <si>
    <t xml:space="preserve">      5.01.14.17.93.0302</t>
  </si>
  <si>
    <t>Construc. Ob. p-Balcarce 373-Fondo reparacio-Diversos-Edific.terminad</t>
  </si>
  <si>
    <t xml:space="preserve">      5.01.14.17.93.0307</t>
  </si>
  <si>
    <t>Construc. Ob. p-Balcarce 373-Fondo reparacio-Diversos-Consorcio-gtos.</t>
  </si>
  <si>
    <t xml:space="preserve">   5.01.15</t>
  </si>
  <si>
    <t>Construc. Ob. p-Laprida 416</t>
  </si>
  <si>
    <t xml:space="preserve">    5.01.15.17</t>
  </si>
  <si>
    <t>Construc. Ob. p-Laprida 416-Fondo reparacio</t>
  </si>
  <si>
    <t xml:space="preserve">     5.01.15.17.93</t>
  </si>
  <si>
    <t>Construc. Ob. p-Laprida 416-Fondo reparacio-Diversos</t>
  </si>
  <si>
    <t xml:space="preserve">      5.01.15.17.93.0059</t>
  </si>
  <si>
    <t>Construc. Ob. p-Laprida 416-Fondo reparacio-Diversos-Indemnizaciones</t>
  </si>
  <si>
    <t xml:space="preserve">      5.01.15.17.93.0070</t>
  </si>
  <si>
    <t>Construc. Ob. p-Laprida 416-Fondo reparacio-Diversos-Gs Escrituras</t>
  </si>
  <si>
    <t xml:space="preserve">      5.01.15.17.93.0076</t>
  </si>
  <si>
    <t>Construc. Ob. p-Laprida 416-Fondo reparacio-Diversos-Gastos Diversos</t>
  </si>
  <si>
    <t xml:space="preserve">      5.01.15.17.93.0120</t>
  </si>
  <si>
    <t>Construc. Ob. p-Laprida 416-Fondo reparacio-Diversos-Imp. a las Gcia</t>
  </si>
  <si>
    <t xml:space="preserve">      5.01.15.17.93.0126</t>
  </si>
  <si>
    <t>Construc. Ob. p-Laprida 416-Fondo reparacio-Diversos-Otros Imp y Tas</t>
  </si>
  <si>
    <t xml:space="preserve">      5.01.15.17.93.0127</t>
  </si>
  <si>
    <t>Construc. Ob. p-Laprida 416-Fondo reparacio-Diversos-Imp. Bs Persona</t>
  </si>
  <si>
    <t xml:space="preserve">      5.01.15.17.93.0302</t>
  </si>
  <si>
    <t>Construc. Ob. p-Laprida 416-Fondo reparacio-Diversos-Edific.terminad</t>
  </si>
  <si>
    <t xml:space="preserve">      5.01.15.17.93.0307</t>
  </si>
  <si>
    <t>Construc. Ob. p-Laprida 416-Fondo reparacio-Diversos-Consorcio-gtos.</t>
  </si>
  <si>
    <t xml:space="preserve">   5.01.17</t>
  </si>
  <si>
    <t>Construc. Ob. p-Santiago 915</t>
  </si>
  <si>
    <t xml:space="preserve">    5.01.17.17</t>
  </si>
  <si>
    <t>Construc. Ob. p-Santiago 915-Fondo reparacio</t>
  </si>
  <si>
    <t xml:space="preserve">     5.01.17.17.93</t>
  </si>
  <si>
    <t>Construc. Ob. p-Santiago 915-Fondo reparacio-Diversos</t>
  </si>
  <si>
    <t xml:space="preserve">      5.01.17.17.93.0059</t>
  </si>
  <si>
    <t>Construc. Ob. p-Santiago 915-Fondo reparacio-Diversos-Indemnizaciones</t>
  </si>
  <si>
    <t xml:space="preserve">      5.01.17.17.93.0070</t>
  </si>
  <si>
    <t>Construc. Ob. p-Santiago 915-Fondo reparacio-Diversos-Gs Escrituras</t>
  </si>
  <si>
    <t xml:space="preserve">      5.01.17.17.93.0076</t>
  </si>
  <si>
    <t>Construc. Ob. p-Santiago 915-Fondo reparacio-Diversos-Gastos Diversos</t>
  </si>
  <si>
    <t xml:space="preserve">      5.01.17.17.93.0120</t>
  </si>
  <si>
    <t>Construc. Ob. p-Santiago 915-Fondo reparacio-Diversos-Imp. a las Gcia</t>
  </si>
  <si>
    <t xml:space="preserve">      5.01.17.17.93.0126</t>
  </si>
  <si>
    <t>Construc. Ob. p-Santiago 915-Fondo reparacio-Diversos-Otros Imp y Tas</t>
  </si>
  <si>
    <t xml:space="preserve">      5.01.17.17.93.0127</t>
  </si>
  <si>
    <t>Construc. Ob. p-Santiago 915-Fondo reparacio-Diversos-Imp. Bs Persona</t>
  </si>
  <si>
    <t xml:space="preserve">      5.01.17.17.93.0302</t>
  </si>
  <si>
    <t>Construc. Ob. p-Santiago 915-Fondo reparacio-Diversos-Edific.terminad</t>
  </si>
  <si>
    <t xml:space="preserve">      5.01.17.17.93.0307</t>
  </si>
  <si>
    <t>Construc. Ob. p-Santiago 915-Fondo reparacio-Diversos-Consorcio-gtos.</t>
  </si>
  <si>
    <t xml:space="preserve">   5.01.18</t>
  </si>
  <si>
    <t>Construc. Ob. p-Camino del Peru</t>
  </si>
  <si>
    <t xml:space="preserve">    5.01.18.17</t>
  </si>
  <si>
    <t>Construc. Ob. p-Camino del Peru-Fondo reparacio</t>
  </si>
  <si>
    <t xml:space="preserve">     5.01.18.17.93</t>
  </si>
  <si>
    <t>Construc. Ob. p-Camino del Peru-Fondo reparacio-Diversos</t>
  </si>
  <si>
    <t xml:space="preserve">      5.01.18.17.93.0059</t>
  </si>
  <si>
    <t>Construc. Ob. p-Camino del Peru-Fondo reparacio-Diversos-Indemnizaciones</t>
  </si>
  <si>
    <t xml:space="preserve">      5.01.18.17.93.0070</t>
  </si>
  <si>
    <t>Construc. Ob. p-Camino del Peru-Fondo reparacio-Diversos-Gs Escrituras</t>
  </si>
  <si>
    <t xml:space="preserve">      5.01.18.17.93.0076</t>
  </si>
  <si>
    <t>Construc. Ob. p-Camino del Peru-Fondo reparacio-Diversos-Gastos Diversos</t>
  </si>
  <si>
    <t xml:space="preserve">      5.01.18.17.93.0120</t>
  </si>
  <si>
    <t>Construc. Ob. p-Camino del Peru-Fondo reparacio-Diversos-Imp. a las Gcia</t>
  </si>
  <si>
    <t xml:space="preserve">      5.01.18.17.93.0126</t>
  </si>
  <si>
    <t>Construc. Ob. p-Camino del Peru-Fondo reparacio-Diversos-Otros Imp y Tas</t>
  </si>
  <si>
    <t xml:space="preserve">      5.01.18.17.93.0127</t>
  </si>
  <si>
    <t>Construc. Ob. p-Camino del Peru-Fondo reparacio-Diversos-Imp. Bs Persona</t>
  </si>
  <si>
    <t xml:space="preserve">      5.01.18.17.93.0302</t>
  </si>
  <si>
    <t>Construc. Ob. p-Camino del Peru-Fondo reparacio-Diversos-Edific.terminad</t>
  </si>
  <si>
    <t xml:space="preserve">      5.01.18.17.93.0307</t>
  </si>
  <si>
    <t>Construc. Ob. p-Camino del Peru-Fondo reparacio-Diversos-Consorcio-gtos.</t>
  </si>
  <si>
    <t xml:space="preserve">   5.01.20</t>
  </si>
  <si>
    <t>Construc. Ob. p-JUNIN 616</t>
  </si>
  <si>
    <t xml:space="preserve">    5.01.20.17</t>
  </si>
  <si>
    <t>Construc. Ob. p-JUNIN 616-Fondo reparacio</t>
  </si>
  <si>
    <t xml:space="preserve">     5.01.20.17.93</t>
  </si>
  <si>
    <t>Construc. Ob. p-JUNIN 616-Fondo reparacio-Diversos</t>
  </si>
  <si>
    <t xml:space="preserve">      5.01.20.17.93.0059</t>
  </si>
  <si>
    <t>Construc. Ob. p-JUNIN 616-Fondo reparacio-Diversos-Indemnizaciones</t>
  </si>
  <si>
    <t xml:space="preserve">      5.01.20.17.93.0070</t>
  </si>
  <si>
    <t>Construc. Ob. p-JUNIN 616-Fondo reparacio-Diversos-Gs Escrituras</t>
  </si>
  <si>
    <t xml:space="preserve">      5.01.20.17.93.0076</t>
  </si>
  <si>
    <t>Construc. Ob. p-JUNIN 616-Fondo reparacio-Diversos-Gastos Diversos</t>
  </si>
  <si>
    <t xml:space="preserve">      5.01.20.17.93.0120</t>
  </si>
  <si>
    <t>Construc. Ob. p-JUNIN 616-Fondo reparacio-Diversos-Imp. a las Gcia</t>
  </si>
  <si>
    <t xml:space="preserve">      5.01.20.17.93.0126</t>
  </si>
  <si>
    <t>Construc. Ob. p-JUNIN 616-Fondo reparacio-Diversos-Otros Imp y Tas</t>
  </si>
  <si>
    <t xml:space="preserve">      5.01.20.17.93.0127</t>
  </si>
  <si>
    <t>Construc. Ob. p-JUNIN 616-Fondo reparacio-Diversos-Imp. Bs Persona</t>
  </si>
  <si>
    <t xml:space="preserve">      5.01.20.17.93.0302</t>
  </si>
  <si>
    <t>Construc. Ob. p-JUNIN 616-Fondo reparacio-Diversos-Edific.terminad</t>
  </si>
  <si>
    <t xml:space="preserve">      5.01.20.17.93.0307</t>
  </si>
  <si>
    <t>Construc. Ob. p-JUNIN 616-Fondo reparacio-Diversos-Consorcio-gtos.</t>
  </si>
  <si>
    <t xml:space="preserve">   5.01.81</t>
  </si>
  <si>
    <t xml:space="preserve">    5.01.81.30</t>
  </si>
  <si>
    <t>Construc. Ob. p-Otros-Costos Inmueble</t>
  </si>
  <si>
    <t xml:space="preserve">     5.01.81.30.64</t>
  </si>
  <si>
    <t xml:space="preserve">Construc. Ob. p-Otros-Costos Inmueble-Costos Produc. </t>
  </si>
  <si>
    <t xml:space="preserve">      5.01.81.30.64.0305</t>
  </si>
  <si>
    <t>Construc. Ob. p-Otros-Costos Inmueble-Costos Produc. -Costo Vta Inmue</t>
  </si>
  <si>
    <t xml:space="preserve">    5.01.81.81</t>
  </si>
  <si>
    <t>Otros-AmortizaciÃ³n Bs</t>
  </si>
  <si>
    <t xml:space="preserve">     5.01.81.81.91</t>
  </si>
  <si>
    <t>Otros-AmortizaciÃ³n Bs-Amort otros B.U</t>
  </si>
  <si>
    <t xml:space="preserve">      5.01.81.81.91.0200</t>
  </si>
  <si>
    <t>Otros-AmortizaciÃ³n Bs-Amort otros B.U-Amortizaciones</t>
  </si>
  <si>
    <t xml:space="preserve">    5.01.81.83</t>
  </si>
  <si>
    <t>Otros-Otros gtos extr</t>
  </si>
  <si>
    <t xml:space="preserve">     5.01.81.83.93</t>
  </si>
  <si>
    <t>Otros-Otros gtos extr-Diversos</t>
  </si>
  <si>
    <t xml:space="preserve">      5.01.81.83.93.0302</t>
  </si>
  <si>
    <t>Otros-Otros gtos extr-Diversos-Edific.termindo</t>
  </si>
  <si>
    <t xml:space="preserve">   5.01.87</t>
  </si>
  <si>
    <t>Egresos-Construc. Ob. propia-----</t>
  </si>
  <si>
    <t xml:space="preserve">    5.01.87.17</t>
  </si>
  <si>
    <t>Egresos-Construc. Ob. propia--Fondo reparacion y gtos.finalizacion---</t>
  </si>
  <si>
    <t xml:space="preserve">     5.01.87.17.93</t>
  </si>
  <si>
    <t>Egresos-Construc. Ob. propia--Fondo reparacion y gtos.finalizacion-Diversos--</t>
  </si>
  <si>
    <t xml:space="preserve">      5.01.87.17.93.0076</t>
  </si>
  <si>
    <t>Fondo reparacion y gtos.finalizacion- Diversos-Gral Paz 253</t>
  </si>
  <si>
    <t>Egresos-Construc. a 3 -----</t>
  </si>
  <si>
    <t xml:space="preserve">   5.02.00</t>
  </si>
  <si>
    <t>Egresos-Construc. a 3 -Marcos Paz 888----</t>
  </si>
  <si>
    <t xml:space="preserve">    5.02.00.05</t>
  </si>
  <si>
    <t>Egresos-Construc. a 3 -Marcos Paz 888-Estructura---</t>
  </si>
  <si>
    <t xml:space="preserve">     5.02.00.05.59</t>
  </si>
  <si>
    <t>Egresos-Construc. a 3 -Marcos Paz 888-Estructura-Varios--</t>
  </si>
  <si>
    <t xml:space="preserve">      5.02.00.05.59.0056</t>
  </si>
  <si>
    <t>M. Paz 888-Estructura-Varios-Sueldos y Jorna</t>
  </si>
  <si>
    <t xml:space="preserve">      5.02.00.05.59.0057</t>
  </si>
  <si>
    <t>M. Paz 888-Estructura-Varios-Cargas Sociales</t>
  </si>
  <si>
    <t xml:space="preserve">      5.02.00.05.59.0095</t>
  </si>
  <si>
    <t>M. Paz 888-Estructura-Varios-Vacaciones y SAC</t>
  </si>
  <si>
    <t xml:space="preserve">    5.02.00.06</t>
  </si>
  <si>
    <t>M. Paz 888-AlbaÃ±ilerÃ­a---</t>
  </si>
  <si>
    <t xml:space="preserve">     5.02.00.06.59</t>
  </si>
  <si>
    <t>M. Paz 888-AlbaÃ±ilerÃ­a-Varios--</t>
  </si>
  <si>
    <t xml:space="preserve">      5.02.00.06.59.0056</t>
  </si>
  <si>
    <t>M. Paz 888-AlbaÃ±ilerÃ­a-Varios-Sueldos y Jorna</t>
  </si>
  <si>
    <t xml:space="preserve">      5.02.00.06.59.0057</t>
  </si>
  <si>
    <t>M. Paz 888-AlbaÃ±ilerÃ­a-Varios-Cargas Sociales</t>
  </si>
  <si>
    <t xml:space="preserve">      5.02.00.06.59.0095</t>
  </si>
  <si>
    <t>M. Paz 888-AlbaÃ±ilerÃ­a-Varios-Vacaciones y SAC</t>
  </si>
  <si>
    <t xml:space="preserve">    5.02.00.08</t>
  </si>
  <si>
    <t>M. Paz 888-YeserÃ­a---</t>
  </si>
  <si>
    <t xml:space="preserve">     5.02.00.08.59</t>
  </si>
  <si>
    <t>M. Paz 888-YeserÃ­a-Varios--</t>
  </si>
  <si>
    <t xml:space="preserve">      5.02.00.08.59.0056</t>
  </si>
  <si>
    <t>M. Paz 888-YeserÃ­a-Varios-Sueldos y Jornales</t>
  </si>
  <si>
    <t xml:space="preserve">      5.02.00.08.59.0057</t>
  </si>
  <si>
    <t>M. Paz 888-YeserÃ­a-Varios-Cargas Sociales</t>
  </si>
  <si>
    <t xml:space="preserve">      5.02.00.08.59.0095</t>
  </si>
  <si>
    <t>M. Paz 888-YeserÃ­a-Varios-Vacaciones y SAC</t>
  </si>
  <si>
    <t xml:space="preserve">    5.02.00.09</t>
  </si>
  <si>
    <t>M. Paz 888-CarpinterÃ­a---</t>
  </si>
  <si>
    <t xml:space="preserve">     5.02.00.09.59</t>
  </si>
  <si>
    <t>M. Paz 888-CarpinterÃ­a-Varios--</t>
  </si>
  <si>
    <t xml:space="preserve">      5.02.00.09.59.0056</t>
  </si>
  <si>
    <t>M. Paz 888-CarpinterÃ­a-Varios-Sueldos y Jorna</t>
  </si>
  <si>
    <t xml:space="preserve">      5.02.00.09.59.0057</t>
  </si>
  <si>
    <t>M. Paz 888-CarpinterÃ­a-Varios-Cargas Sociales</t>
  </si>
  <si>
    <t xml:space="preserve">      5.02.00.09.59.0095</t>
  </si>
  <si>
    <t>M. Paz 888-CarpinterÃ­a-Varios-Vacaciones y SAC</t>
  </si>
  <si>
    <t xml:space="preserve">    5.02.00.10</t>
  </si>
  <si>
    <t>M. Paz 888-Sanitarios---</t>
  </si>
  <si>
    <t xml:space="preserve">     5.02.00.10.59</t>
  </si>
  <si>
    <t>M. Paz 888-Sanitarios-Varios--</t>
  </si>
  <si>
    <t xml:space="preserve">      5.02.00.10.59.0056</t>
  </si>
  <si>
    <t>M. Paz 888-Sanitarios-Varios-Sueldos y Jorna</t>
  </si>
  <si>
    <t xml:space="preserve">      5.02.00.10.59.0057</t>
  </si>
  <si>
    <t>M. Paz 888-Sanitarios-Varios-Cargas Sociales</t>
  </si>
  <si>
    <t xml:space="preserve">      5.02.00.10.59.0095</t>
  </si>
  <si>
    <t>M. Paz 888-Sanitarios-Varios-Vacaciones y SAC</t>
  </si>
  <si>
    <t xml:space="preserve">    5.02.00.13</t>
  </si>
  <si>
    <t>M. Paz 888-Pintura---</t>
  </si>
  <si>
    <t xml:space="preserve">     5.02.00.13.59</t>
  </si>
  <si>
    <t>M. Paz 888-Pintura-Varios--</t>
  </si>
  <si>
    <t xml:space="preserve">      5.02.00.13.59.0056</t>
  </si>
  <si>
    <t>M. Paz 888-Pintura-Varios-Sueldos y Jorna</t>
  </si>
  <si>
    <t xml:space="preserve">      5.02.00.13.59.0057</t>
  </si>
  <si>
    <t>M. Paz 888-Pintura-Varios-Cargas Sociales</t>
  </si>
  <si>
    <t xml:space="preserve">      5.02.00.13.59.0095</t>
  </si>
  <si>
    <t>M. Paz 888-Pintura-Varios-Vacaciones y SAC</t>
  </si>
  <si>
    <t xml:space="preserve">    5.02.00.15</t>
  </si>
  <si>
    <t>M. Paz 888-Varios</t>
  </si>
  <si>
    <t xml:space="preserve">     5.02.00.15.59</t>
  </si>
  <si>
    <t>M. Paz 888-Varios-Varios</t>
  </si>
  <si>
    <t xml:space="preserve">      5.02.00.15.59.0302</t>
  </si>
  <si>
    <t>M. Paz 888-Varios-Varios-Edific.terminad</t>
  </si>
  <si>
    <t xml:space="preserve">     5.02.00.15.60</t>
  </si>
  <si>
    <t>M.Paz 888-Vs-Costos Vs MO--</t>
  </si>
  <si>
    <t xml:space="preserve">      5.02.00.15.60.0009</t>
  </si>
  <si>
    <t>M. Paz 888-Vs-Vs-Herr de Consumo</t>
  </si>
  <si>
    <t xml:space="preserve">      5.02.00.15.60.0060</t>
  </si>
  <si>
    <t>M. Paz 888-Vs-Vs-Uniformes Perso</t>
  </si>
  <si>
    <t xml:space="preserve">      5.02.00.15.60.0076</t>
  </si>
  <si>
    <t>M. Paz 888-Vs-Vs-Gastos Diversos</t>
  </si>
  <si>
    <t xml:space="preserve">   5.02.02</t>
  </si>
  <si>
    <t>Riv. 46----</t>
  </si>
  <si>
    <t xml:space="preserve">    5.02.02.05</t>
  </si>
  <si>
    <t>Riv. 46-Estructura---</t>
  </si>
  <si>
    <t xml:space="preserve">     5.02.02.05.59</t>
  </si>
  <si>
    <t>Riv. 46-Estructura-Varios--</t>
  </si>
  <si>
    <t xml:space="preserve">      5.02.02.05.59.0056</t>
  </si>
  <si>
    <t>Riv. 46-Estructura-Varios-Sueldos y Jorna</t>
  </si>
  <si>
    <t xml:space="preserve">      5.02.02.05.59.0057</t>
  </si>
  <si>
    <t>Riv. 46-Estructura-Varios-Cargas Sociales</t>
  </si>
  <si>
    <t xml:space="preserve">      5.02.02.05.59.0095</t>
  </si>
  <si>
    <t>Riv. 46-Estructura-Varios-Vacaciones y SAC</t>
  </si>
  <si>
    <t xml:space="preserve">    5.02.02.06</t>
  </si>
  <si>
    <t>Riv. 46-AlbaÃ±ilerÃ­a---</t>
  </si>
  <si>
    <t xml:space="preserve">     5.02.02.06.59</t>
  </si>
  <si>
    <t>Riv. 46-AlbaÃ±ilerÃ­a-Varios</t>
  </si>
  <si>
    <t xml:space="preserve">      5.02.02.06.59.0056</t>
  </si>
  <si>
    <t>Riv. 46-AlbaÃ±ilerÃ­a-Varios-Sueldos y Jornales</t>
  </si>
  <si>
    <t xml:space="preserve">      5.02.02.06.59.0057</t>
  </si>
  <si>
    <t>Riv. 46-AlbaÃ±ilerÃ­a-Varios-Cargas Sociales</t>
  </si>
  <si>
    <t xml:space="preserve">      5.02.02.06.59.0095</t>
  </si>
  <si>
    <t>Riv. 46-AlbaÃ±ilerÃ­a-Varios-Vacaciones y SAC</t>
  </si>
  <si>
    <t xml:space="preserve">    5.02.02.08</t>
  </si>
  <si>
    <t>Riv.  46-YeserÃ­a---</t>
  </si>
  <si>
    <t xml:space="preserve">     5.02.02.08.59</t>
  </si>
  <si>
    <t>Riv. 46-YeserÃ­a-Varios--</t>
  </si>
  <si>
    <t xml:space="preserve">      5.02.02.08.59.0056</t>
  </si>
  <si>
    <t>Riv. 46-YeserÃ­a-Varios-Sueldos y Jornales-</t>
  </si>
  <si>
    <t xml:space="preserve">      5.02.02.08.59.0057</t>
  </si>
  <si>
    <t>Riv. 46-YeserÃ­a-Varios-Cargas Sociales</t>
  </si>
  <si>
    <t xml:space="preserve">      5.02.02.08.59.0095</t>
  </si>
  <si>
    <t>Riv. 46-YeserÃ­a-Varios-Vacaciones y SAC</t>
  </si>
  <si>
    <t xml:space="preserve">    5.02.02.09</t>
  </si>
  <si>
    <t>Riv. 46-CarpinterÃ­a</t>
  </si>
  <si>
    <t xml:space="preserve">     5.02.02.09.59</t>
  </si>
  <si>
    <t>Riv. 46-CarpinterÃ­a-Varios</t>
  </si>
  <si>
    <t xml:space="preserve">      5.02.02.09.59.0056</t>
  </si>
  <si>
    <t>Riv. 46-CarpinterÃ­a-Varios-Sueldos y Jornales</t>
  </si>
  <si>
    <t xml:space="preserve">      5.02.02.09.59.0057</t>
  </si>
  <si>
    <t>Riv. 46-CarpinterÃ­a-Varios-Cargas Sociales</t>
  </si>
  <si>
    <t xml:space="preserve">      5.02.02.09.59.0095</t>
  </si>
  <si>
    <t>Riv. 46-CarpinterÃ­a-Varios-Vacaciones y SAC</t>
  </si>
  <si>
    <t xml:space="preserve">    5.02.02.10</t>
  </si>
  <si>
    <t>Riv. 46-Sanitarios</t>
  </si>
  <si>
    <t xml:space="preserve">     5.02.02.10.59</t>
  </si>
  <si>
    <t>Riv. 46-Sanitarios-Varios</t>
  </si>
  <si>
    <t xml:space="preserve">      5.02.02.10.59.0056</t>
  </si>
  <si>
    <t>Riv. 46-Sanitarios-Varios-Sueldos y Jornales</t>
  </si>
  <si>
    <t xml:space="preserve">      5.02.02.10.59.0057</t>
  </si>
  <si>
    <t>Riv. 46-Sanitarios-Varios-Cargas Sociales</t>
  </si>
  <si>
    <t xml:space="preserve">      5.02.02.10.59.0095</t>
  </si>
  <si>
    <t>Riv. 46-Sanitarios-Varios-Vacaciones y SAC</t>
  </si>
  <si>
    <t xml:space="preserve">    5.02.02.13</t>
  </si>
  <si>
    <t>Riv. 46-Pintura</t>
  </si>
  <si>
    <t xml:space="preserve">     5.02.02.13.59</t>
  </si>
  <si>
    <t>Riv. 46-Pintura-Varios</t>
  </si>
  <si>
    <t xml:space="preserve">      5.02.02.13.59.0056</t>
  </si>
  <si>
    <t>Riv. 46-Pintura-Varios-Sueldos y Jornales</t>
  </si>
  <si>
    <t xml:space="preserve">      5.02.02.13.59.0057</t>
  </si>
  <si>
    <t>Riv. 46-Pintura-Varios-Cargas Sociales</t>
  </si>
  <si>
    <t xml:space="preserve">      5.02.02.13.59.0095</t>
  </si>
  <si>
    <t>Riv. 46-Pintura-Varios-Vacaciones y SAC</t>
  </si>
  <si>
    <t xml:space="preserve">    5.02.02.15</t>
  </si>
  <si>
    <t>Riv. 46-Varios</t>
  </si>
  <si>
    <t xml:space="preserve">     5.02.02.15.59</t>
  </si>
  <si>
    <t>Riv. 46-Varios-Varios</t>
  </si>
  <si>
    <t xml:space="preserve">      5.02.02.15.59.0302</t>
  </si>
  <si>
    <t>Riv. 46-Varios-Varios-Edific.terminad</t>
  </si>
  <si>
    <t xml:space="preserve">     5.02.02.15.60</t>
  </si>
  <si>
    <t>Riv. 46-Vs-Costos Vs MO--</t>
  </si>
  <si>
    <t xml:space="preserve">      5.02.02.15.60.0009</t>
  </si>
  <si>
    <t>Riv. 46-Vs-Vs-Herram de Consumo</t>
  </si>
  <si>
    <t xml:space="preserve">      5.02.02.15.60.0060</t>
  </si>
  <si>
    <t>Riv. 46-Vs-Vs-Uniformes Personal</t>
  </si>
  <si>
    <t xml:space="preserve">      5.02.02.15.60.0076</t>
  </si>
  <si>
    <t>Riv. 46-Vs-Vs-Gastos Diversos</t>
  </si>
  <si>
    <t xml:space="preserve">   5.02.03</t>
  </si>
  <si>
    <t>Mont. 847----</t>
  </si>
  <si>
    <t xml:space="preserve">    5.02.03.05</t>
  </si>
  <si>
    <t>Mont. 847-Estructura---</t>
  </si>
  <si>
    <t xml:space="preserve">     5.02.03.05.59</t>
  </si>
  <si>
    <t>Mont. 847-Estructura-Vs-</t>
  </si>
  <si>
    <t xml:space="preserve">      5.02.03.05.59.0056</t>
  </si>
  <si>
    <t>Mont. 847-Estructura-Varios-Sueldos y Jornales</t>
  </si>
  <si>
    <t xml:space="preserve">      5.02.03.05.59.0057</t>
  </si>
  <si>
    <t>Mont. 847-Estructura-Varios-Cargas Sociales</t>
  </si>
  <si>
    <t xml:space="preserve">      5.02.03.05.59.0095</t>
  </si>
  <si>
    <t>Mont. 847-Estructura-Varios-Vacaciones y SAC</t>
  </si>
  <si>
    <t xml:space="preserve">    5.02.03.06</t>
  </si>
  <si>
    <t>Mont. 847-AlbaÃ±ilerÃ­a---</t>
  </si>
  <si>
    <t xml:space="preserve">     5.02.03.06.59</t>
  </si>
  <si>
    <t>Mont. 847-AlbaÃ±ilerÃ­a-Varios</t>
  </si>
  <si>
    <t xml:space="preserve">      5.02.03.06.59.0056</t>
  </si>
  <si>
    <t>Mont. 847-AlbaÃ±ilerÃ­a-Varios-Sueldos y Jornales</t>
  </si>
  <si>
    <t xml:space="preserve">      5.02.03.06.59.0057</t>
  </si>
  <si>
    <t>Mont. 847-AlbaÃ±ilerÃ­a-Varios-Cargas Sociales</t>
  </si>
  <si>
    <t xml:space="preserve">      5.02.03.06.59.0095</t>
  </si>
  <si>
    <t>Mont. 847-AlbaÃ±ilerÃ­a-Varios-Vacaciones y SAC</t>
  </si>
  <si>
    <t xml:space="preserve">    5.02.03.08</t>
  </si>
  <si>
    <t>Mont. 847-YeserÃ­a---</t>
  </si>
  <si>
    <t xml:space="preserve">     5.02.03.08.59</t>
  </si>
  <si>
    <t>Mont. 847-YeserÃ­a-Varios--</t>
  </si>
  <si>
    <t xml:space="preserve">      5.02.03.08.59.0056</t>
  </si>
  <si>
    <t>Mont. 847-YeserÃ­a-Varios-Sueldos y Jornales</t>
  </si>
  <si>
    <t xml:space="preserve">      5.02.03.08.59.0057</t>
  </si>
  <si>
    <t>Mont. 847-YeserÃ­a-Varios-Cargas Sociales</t>
  </si>
  <si>
    <t xml:space="preserve">      5.02.03.08.59.0095</t>
  </si>
  <si>
    <t>Mont. 847-YeserÃ­a-Varios-Vacaciones y SAC</t>
  </si>
  <si>
    <t xml:space="preserve">    5.02.03.09</t>
  </si>
  <si>
    <t>Mont. 847-CarpinterÃ­a</t>
  </si>
  <si>
    <t xml:space="preserve">     5.02.03.09.59</t>
  </si>
  <si>
    <t>Mont. 847-CarpinterÃ­a-Varios</t>
  </si>
  <si>
    <t xml:space="preserve">      5.02.03.09.59.0056</t>
  </si>
  <si>
    <t>Mont. 847-CarpinterÃ­a-Varios-Sueldos y Jornales</t>
  </si>
  <si>
    <t xml:space="preserve">      5.02.03.09.59.0057</t>
  </si>
  <si>
    <t>Mont. 847-CarpinterÃ­a-Varios-Cargas Sociales</t>
  </si>
  <si>
    <t xml:space="preserve">      5.02.03.09.59.0095</t>
  </si>
  <si>
    <t>Mont. 847-CarpinterÃ­a-Varios-Vacaciones y SAC</t>
  </si>
  <si>
    <t xml:space="preserve">    5.02.03.10</t>
  </si>
  <si>
    <t>Mont. 847-Sanitarios</t>
  </si>
  <si>
    <t xml:space="preserve">     5.02.03.10.59</t>
  </si>
  <si>
    <t>Mont. 847-Sanitarios-Varios</t>
  </si>
  <si>
    <t xml:space="preserve">      5.02.03.10.59.0056</t>
  </si>
  <si>
    <t>Mont. 847-Sanitarios-Varios-Sueldos y Jornales</t>
  </si>
  <si>
    <t xml:space="preserve">      5.02.03.10.59.0057</t>
  </si>
  <si>
    <t>Mont. 847-Sanitarios-Varios-Cargas Sociales</t>
  </si>
  <si>
    <t xml:space="preserve">      5.02.03.10.59.0095</t>
  </si>
  <si>
    <t>Mont. 847-Sanitarios-Varios-Vacaciones y SAC</t>
  </si>
  <si>
    <t xml:space="preserve">    5.02.03.13</t>
  </si>
  <si>
    <t>Mont. 847-Pintura</t>
  </si>
  <si>
    <t xml:space="preserve">     5.02.03.13.59</t>
  </si>
  <si>
    <t>Mont. 847-Pintura-Varios</t>
  </si>
  <si>
    <t xml:space="preserve">      5.02.03.13.59.0056</t>
  </si>
  <si>
    <t>Mont. 847-Pintura-Varios-Sueldos y Jornales</t>
  </si>
  <si>
    <t xml:space="preserve">      5.02.03.13.59.0057</t>
  </si>
  <si>
    <t>Mont. 847-Pintura-Varios-Cargas Sociales</t>
  </si>
  <si>
    <t xml:space="preserve">      5.02.03.13.59.0095</t>
  </si>
  <si>
    <t>Mont. 847-Pintura-Varios-Vacaciones y SAC</t>
  </si>
  <si>
    <t xml:space="preserve">    5.02.03.15</t>
  </si>
  <si>
    <t>Mont. 847-Varios</t>
  </si>
  <si>
    <t xml:space="preserve">     5.02.03.15.59</t>
  </si>
  <si>
    <t>Mont. 847-Varios-Varios</t>
  </si>
  <si>
    <t xml:space="preserve">      5.02.03.15.59.0302</t>
  </si>
  <si>
    <t>Mont. 847-Varios-Varios-Edific.terminad</t>
  </si>
  <si>
    <t xml:space="preserve">     5.02.03.15.60</t>
  </si>
  <si>
    <t>Mont. 847-Vs-Costos Vs MO--</t>
  </si>
  <si>
    <t xml:space="preserve">      5.02.03.15.60.0009</t>
  </si>
  <si>
    <t>Mont. 847-Vs-Vs-Herram de Consumo</t>
  </si>
  <si>
    <t xml:space="preserve">      5.02.03.15.60.0060</t>
  </si>
  <si>
    <t>Mont. 847-Vs-Vs-Uniformes Personal</t>
  </si>
  <si>
    <t xml:space="preserve">      5.02.03.15.60.0076</t>
  </si>
  <si>
    <t>Mont. 847-Vs-Vs-Gastos Diversos</t>
  </si>
  <si>
    <t xml:space="preserve">   5.02.04</t>
  </si>
  <si>
    <t>Balc. 375----</t>
  </si>
  <si>
    <t xml:space="preserve">    5.02.04.05</t>
  </si>
  <si>
    <t>Balc. 375-Estructura---</t>
  </si>
  <si>
    <t xml:space="preserve">     5.02.04.05.59</t>
  </si>
  <si>
    <t>Balc. 375-Estructura-Vs-</t>
  </si>
  <si>
    <t xml:space="preserve">      5.02.04.05.59.0056</t>
  </si>
  <si>
    <t>Balc. 375-Estructura-Varios-Sueldos y Jornales</t>
  </si>
  <si>
    <t xml:space="preserve">      5.02.04.05.59.0057</t>
  </si>
  <si>
    <t>Balc. 375-Estructura-Varios-Cargas Sociales</t>
  </si>
  <si>
    <t xml:space="preserve">      5.02.04.05.59.0095</t>
  </si>
  <si>
    <t>Balc. 375-Estructura-Varios-Vacaciones y SAC</t>
  </si>
  <si>
    <t xml:space="preserve">    5.02.04.06</t>
  </si>
  <si>
    <t>Balc. 375-AlbaÃ±ilerÃ­a---</t>
  </si>
  <si>
    <t xml:space="preserve">     5.02.04.06.59</t>
  </si>
  <si>
    <t>Balc. 375-AlbaÃ±ilerÃ­a-Varios</t>
  </si>
  <si>
    <t xml:space="preserve">      5.02.04.06.59.0056</t>
  </si>
  <si>
    <t>Balc. 375-AlbaÃ±ilerÃ­a-Varios-Sueldos y Jorna</t>
  </si>
  <si>
    <t xml:space="preserve">      5.02.04.06.59.0057</t>
  </si>
  <si>
    <t>Balc. 375-AlbaÃ±ilerÃ­a-Varios-Cargas Sociales</t>
  </si>
  <si>
    <t xml:space="preserve">      5.02.04.06.59.0095</t>
  </si>
  <si>
    <t>Balc. 375-AlbaÃ±ilerÃ­a-Varios-Vacaciones y SAC</t>
  </si>
  <si>
    <t xml:space="preserve">    5.02.04.08</t>
  </si>
  <si>
    <t>Balc. 375-YeserÃ­a---</t>
  </si>
  <si>
    <t xml:space="preserve">     5.02.04.08.59</t>
  </si>
  <si>
    <t>Balc. 375-YeserÃ­a-Varios--</t>
  </si>
  <si>
    <t xml:space="preserve">      5.02.04.08.59.0056</t>
  </si>
  <si>
    <t>Balc. 375-YeserÃ­a-Varios-Sueldos y Jornales</t>
  </si>
  <si>
    <t xml:space="preserve">      5.02.04.08.59.0057</t>
  </si>
  <si>
    <t>Balc. 375-YeserÃ­a-Varios-Cargas Sociales</t>
  </si>
  <si>
    <t xml:space="preserve">      5.02.04.08.59.0095</t>
  </si>
  <si>
    <t>Balc. 375-YeserÃ­a-Varios-Vacaciones y SAC</t>
  </si>
  <si>
    <t xml:space="preserve">    5.02.04.09</t>
  </si>
  <si>
    <t>Balc. 375-CarpinterÃ­a</t>
  </si>
  <si>
    <t xml:space="preserve">     5.02.04.09.59</t>
  </si>
  <si>
    <t>Balc. 375-CarpinterÃ­a-Varios</t>
  </si>
  <si>
    <t xml:space="preserve">      5.02.04.09.59.0056</t>
  </si>
  <si>
    <t>Balc. 375-CarpinterÃ­a-Varios-Sueldos y Jornales</t>
  </si>
  <si>
    <t xml:space="preserve">      5.02.04.09.59.0057</t>
  </si>
  <si>
    <t>Balc. 375-CarpinterÃ­a-Varios-Cargas Sociales</t>
  </si>
  <si>
    <t xml:space="preserve">      5.02.04.09.59.0095</t>
  </si>
  <si>
    <t>Balc. 375-CarpinterÃ­a-Varios-Vacaciones y SAC</t>
  </si>
  <si>
    <t xml:space="preserve">    5.02.04.10</t>
  </si>
  <si>
    <t>Balc 375-Sanitarios</t>
  </si>
  <si>
    <t xml:space="preserve">     5.02.04.10.59</t>
  </si>
  <si>
    <t>Balc. 375-Sanitarios-Varios</t>
  </si>
  <si>
    <t xml:space="preserve">      5.02.04.10.59.0056</t>
  </si>
  <si>
    <t>Balc. 375-Sanitarios-Varios-Sueldos y Jorna</t>
  </si>
  <si>
    <t xml:space="preserve">      5.02.04.10.59.0057</t>
  </si>
  <si>
    <t>Balc. 375-Sanitarios-Varios-Cargas Sociales</t>
  </si>
  <si>
    <t xml:space="preserve">      5.02.04.10.59.0095</t>
  </si>
  <si>
    <t>Balc. 375-Sanitarios-Varios-Vacaciones y SAC</t>
  </si>
  <si>
    <t xml:space="preserve">    5.02.04.13</t>
  </si>
  <si>
    <t>Balc. 375-Pintura</t>
  </si>
  <si>
    <t xml:space="preserve">     5.02.04.13.59</t>
  </si>
  <si>
    <t>Balc. 375-Pintura-Varios</t>
  </si>
  <si>
    <t xml:space="preserve">      5.02.04.13.59.0056</t>
  </si>
  <si>
    <t>Balc. 375-Pintura-Varios-Sueldos y Jorna</t>
  </si>
  <si>
    <t xml:space="preserve">      5.02.04.13.59.0057</t>
  </si>
  <si>
    <t>Balc. 375-Pintura-Varios-Cargas Sociales</t>
  </si>
  <si>
    <t xml:space="preserve">      5.02.04.13.59.0095</t>
  </si>
  <si>
    <t>Balc. 375-Pintura-Varios-Vacaciones y SAC</t>
  </si>
  <si>
    <t xml:space="preserve">    5.02.04.15</t>
  </si>
  <si>
    <t>Balc. 375-Varios</t>
  </si>
  <si>
    <t xml:space="preserve">     5.02.04.15.59</t>
  </si>
  <si>
    <t>Balc. 375-Varios-Varios</t>
  </si>
  <si>
    <t xml:space="preserve">      5.02.04.15.59.0302</t>
  </si>
  <si>
    <t>Balc. 375-Varios-Varios-Edific.terminad</t>
  </si>
  <si>
    <t xml:space="preserve">     5.02.04.15.60</t>
  </si>
  <si>
    <t>Balc. 375-Varios-Costos Vs MO--</t>
  </si>
  <si>
    <t xml:space="preserve">      5.02.04.15.60.0009</t>
  </si>
  <si>
    <t>Balc. 375-Vs-Vs-Herram de Consumo</t>
  </si>
  <si>
    <t xml:space="preserve">      5.02.04.15.60.0060</t>
  </si>
  <si>
    <t>Balc. 375-Vs-Vs-Uniformes Personal</t>
  </si>
  <si>
    <t xml:space="preserve">      5.02.04.15.60.0076</t>
  </si>
  <si>
    <t>Balc. 375-Vs-Vs-Gastos Diversos</t>
  </si>
  <si>
    <t xml:space="preserve">   5.02.05</t>
  </si>
  <si>
    <t>Egresos-Construc. a 3 -Corrientes 133----</t>
  </si>
  <si>
    <t xml:space="preserve">    5.02.05.05</t>
  </si>
  <si>
    <t>Egresos-Construc. a 3 -Las piedras 302-Estructura---</t>
  </si>
  <si>
    <t xml:space="preserve">     5.02.05.05.59</t>
  </si>
  <si>
    <t>Egresos-Construc. a 3 -Corrientes 133-Estructura-Vs-</t>
  </si>
  <si>
    <t xml:space="preserve">      5.02.05.05.59.0056</t>
  </si>
  <si>
    <t>Corr. 133-Estructura-Varios-Sueldos y Jornales</t>
  </si>
  <si>
    <t xml:space="preserve">      5.02.05.05.59.0057</t>
  </si>
  <si>
    <t>Corr. 133-Estructura-Varios-Cargas Sociales</t>
  </si>
  <si>
    <t xml:space="preserve">      5.02.05.05.59.0095</t>
  </si>
  <si>
    <t>Corr. 133-Estructura-Varios-Vacaciones y SA</t>
  </si>
  <si>
    <t xml:space="preserve">    5.02.05.06</t>
  </si>
  <si>
    <t>Egresos-Construc. a 3 -Corr. 133-AlbaÃ±ilerÃ­a---</t>
  </si>
  <si>
    <t xml:space="preserve">     5.02.05.06.59</t>
  </si>
  <si>
    <t>Corr. 133-AlbaÃ±ilerÃ­a-Varios</t>
  </si>
  <si>
    <t xml:space="preserve">      5.02.05.06.59.0056</t>
  </si>
  <si>
    <t>Corr. 133-AlbaÃ±ilerÃ­a-Varios-Sueldos y Jornales</t>
  </si>
  <si>
    <t xml:space="preserve">      5.02.05.06.59.0057</t>
  </si>
  <si>
    <t>Corr. 133-AlbaÃ±ilerÃ­a-Varios-Cargas Sociales</t>
  </si>
  <si>
    <t xml:space="preserve">      5.02.05.06.59.0095</t>
  </si>
  <si>
    <t>Corr. 133-AlbaÃ±ilerÃ­a-Varios-Vacaciones y SA</t>
  </si>
  <si>
    <t xml:space="preserve">    5.02.05.08</t>
  </si>
  <si>
    <t>Egresos-Construc. a 3  Corr. 133-YeserÃ­a---</t>
  </si>
  <si>
    <t xml:space="preserve">     5.02.05.08.59</t>
  </si>
  <si>
    <t>Egresos-Construc. a 3 -Corr. 133-YeserÃ­a-Varios--</t>
  </si>
  <si>
    <t xml:space="preserve">      5.02.05.08.59.0056</t>
  </si>
  <si>
    <t>Corr. 133-YeserÃ­a-Varios-Sueldos y Jornales</t>
  </si>
  <si>
    <t xml:space="preserve">      5.02.05.08.59.0057</t>
  </si>
  <si>
    <t>Corr. 133-YeserÃ­a-Varios-Cargas Sociales</t>
  </si>
  <si>
    <t xml:space="preserve">      5.02.05.08.59.0095</t>
  </si>
  <si>
    <t>Corr. 133-YeserÃ­a-Varios-Vacaciones y SA</t>
  </si>
  <si>
    <t xml:space="preserve">    5.02.05.09</t>
  </si>
  <si>
    <t>Corr. 133-CarpinterÃ­a</t>
  </si>
  <si>
    <t xml:space="preserve">     5.02.05.09.59</t>
  </si>
  <si>
    <t>Corr. 133-CarpinterÃ­a-Varios</t>
  </si>
  <si>
    <t xml:space="preserve">      5.02.05.09.59.0056</t>
  </si>
  <si>
    <t>Corr. 133-CarpinterÃ­a-Varios-Sueldos y Jorna</t>
  </si>
  <si>
    <t xml:space="preserve">      5.02.05.09.59.0057</t>
  </si>
  <si>
    <t>Corr. 133-CarpinterÃ­a-Varios-Cargas Sociales</t>
  </si>
  <si>
    <t xml:space="preserve">      5.02.05.09.59.0095</t>
  </si>
  <si>
    <t>Corr. 133-CarpinterÃ­a-Varios-Vacaciones y SA</t>
  </si>
  <si>
    <t xml:space="preserve">    5.02.05.10</t>
  </si>
  <si>
    <t>Corr. 133-Sanitarios</t>
  </si>
  <si>
    <t xml:space="preserve">     5.02.05.10.59</t>
  </si>
  <si>
    <t>Corr. 133-Sanitarios-Varios</t>
  </si>
  <si>
    <t xml:space="preserve">      5.02.05.10.59.0056</t>
  </si>
  <si>
    <t>Corr. 133-Sanitarios-Varios-Sueldos y Jorna</t>
  </si>
  <si>
    <t xml:space="preserve">      5.02.05.10.59.0057</t>
  </si>
  <si>
    <t>Corr. 133-Sanitarios-Varios-Cargas Sociales</t>
  </si>
  <si>
    <t xml:space="preserve">      5.02.05.10.59.0095</t>
  </si>
  <si>
    <t>Corr. 133-Sanitarios-Varios-Vacaciones y SA</t>
  </si>
  <si>
    <t xml:space="preserve">    5.02.05.13</t>
  </si>
  <si>
    <t>Corr. 133-Pintura</t>
  </si>
  <si>
    <t xml:space="preserve">     5.02.05.13.59</t>
  </si>
  <si>
    <t>Corr. 133-Pintura-Varios</t>
  </si>
  <si>
    <t xml:space="preserve">      5.02.05.13.59.0056</t>
  </si>
  <si>
    <t>Corr. 133-Pintura-Varios-Sueldos y Jorna</t>
  </si>
  <si>
    <t xml:space="preserve">      5.02.05.13.59.0057</t>
  </si>
  <si>
    <t>Corr. 133-Pintura-Varios-Cargas Sociales</t>
  </si>
  <si>
    <t xml:space="preserve">      5.02.05.13.59.0095</t>
  </si>
  <si>
    <t>Corr. 133-Pintura-Varios-Vacaciones y SA</t>
  </si>
  <si>
    <t xml:space="preserve">    5.02.05.15</t>
  </si>
  <si>
    <t>Corr. 133-Varios</t>
  </si>
  <si>
    <t xml:space="preserve">     5.02.05.15.59</t>
  </si>
  <si>
    <t>Corr. 133-Varios-Varios</t>
  </si>
  <si>
    <t xml:space="preserve">      5.02.05.15.59.0302</t>
  </si>
  <si>
    <t>Corr. 133-Varios-Varios-Edific.terminad</t>
  </si>
  <si>
    <t xml:space="preserve">     5.02.05.15.60</t>
  </si>
  <si>
    <t>Corr. 133-Vs-Costos Vs MO--</t>
  </si>
  <si>
    <t xml:space="preserve">      5.02.05.15.60.0009</t>
  </si>
  <si>
    <t>Corr. 133-Vs-Vs-Herram de Consumo</t>
  </si>
  <si>
    <t xml:space="preserve">      5.02.05.15.60.0060</t>
  </si>
  <si>
    <t>Corr. 133-Vs-Vs-Uniformes Personal</t>
  </si>
  <si>
    <t xml:space="preserve">      5.02.05.15.60.0076</t>
  </si>
  <si>
    <t>Corr. 133-Vs-Vs-Gastos Diversos</t>
  </si>
  <si>
    <t xml:space="preserve">      5.02.05.15.60.0097</t>
  </si>
  <si>
    <t>Construc. a 3 -Corrientes 133-Varios-Costos Vs MO-Vacaciones</t>
  </si>
  <si>
    <t xml:space="preserve">      5.02.05.15.60.0098</t>
  </si>
  <si>
    <t>Construc. a 3 -Corrientes 133-Varios-Costos Vs MO-Aguinaldo</t>
  </si>
  <si>
    <t xml:space="preserve">   5.02.06</t>
  </si>
  <si>
    <t>Egresos-Construc. a 3 -Balc. 665---</t>
  </si>
  <si>
    <t xml:space="preserve">    5.02.06.05</t>
  </si>
  <si>
    <t>Egresos-Construc. a 3 -Balc. 665-Estructura---</t>
  </si>
  <si>
    <t xml:space="preserve">     5.02.06.05.59</t>
  </si>
  <si>
    <t>Egresos-Construc. a 3 -Balc. 665-Estructura-Vs-</t>
  </si>
  <si>
    <t xml:space="preserve">      5.02.06.05.59.0056</t>
  </si>
  <si>
    <t>Balc. 665-Estructura-Varios-Sueldos y Jornales</t>
  </si>
  <si>
    <t xml:space="preserve">      5.02.06.05.59.0057</t>
  </si>
  <si>
    <t>Balc. 665-Estructura-Varios-Cargas Sociales</t>
  </si>
  <si>
    <t xml:space="preserve">      5.02.06.05.59.0095</t>
  </si>
  <si>
    <t>Balc. 665-Estructura-Varios-Vacaciones y SA</t>
  </si>
  <si>
    <t xml:space="preserve">    5.02.06.06</t>
  </si>
  <si>
    <t>Balc. 665-AlbaÃ±ilerÃ­a</t>
  </si>
  <si>
    <t xml:space="preserve">     5.02.06.06.59</t>
  </si>
  <si>
    <t>Balc. 665-AlbaÃ±ilerÃ­a-Varios</t>
  </si>
  <si>
    <t xml:space="preserve">      5.02.06.06.59.0056</t>
  </si>
  <si>
    <t>Balc. 665-AlbaÃ±ilerÃ­a-Varios-Sueldos y Jorna</t>
  </si>
  <si>
    <t xml:space="preserve">      5.02.06.06.59.0057</t>
  </si>
  <si>
    <t>Balc. 665-AlbaÃ±ilerÃ­a-Varios-Cargas Sociales</t>
  </si>
  <si>
    <t xml:space="preserve">      5.02.06.06.59.0095</t>
  </si>
  <si>
    <t>Balc. 665-AlbaÃ±ilerÃ­a-Varios-Vacaciones y SA</t>
  </si>
  <si>
    <t xml:space="preserve">    5.02.06.08</t>
  </si>
  <si>
    <t>Egresos-Construc. a 3  Balc. 665-YeserÃ­a---</t>
  </si>
  <si>
    <t xml:space="preserve">     5.02.06.08.59</t>
  </si>
  <si>
    <t>Egresos-Construc. a 3 -Balc. 665-YeserÃ­a-Varios--</t>
  </si>
  <si>
    <t xml:space="preserve">      5.02.06.08.59.0056</t>
  </si>
  <si>
    <t>Balc. 665-YeserÃ­a-Varios-Sueldos y Jornales</t>
  </si>
  <si>
    <t xml:space="preserve">      5.02.06.08.59.0057</t>
  </si>
  <si>
    <t>Balc. 665-YeserÃ­a-Varios-Cargas Sociales</t>
  </si>
  <si>
    <t xml:space="preserve">      5.02.06.08.59.0095</t>
  </si>
  <si>
    <t>Balc. 665-YeserÃ­a-Varios-Vacaciones y SA</t>
  </si>
  <si>
    <t xml:space="preserve">    5.02.06.09</t>
  </si>
  <si>
    <t>Balc. 665-CarpinterÃ­a</t>
  </si>
  <si>
    <t xml:space="preserve">     5.02.06.09.59</t>
  </si>
  <si>
    <t>Balc. 665-CarpinterÃ­a-Varios</t>
  </si>
  <si>
    <t xml:space="preserve">      5.02.06.09.59.0056</t>
  </si>
  <si>
    <t>Balc. 665-CarpinterÃ­a-Varios-Sueldos y Jorna</t>
  </si>
  <si>
    <t xml:space="preserve">      5.02.06.09.59.0057</t>
  </si>
  <si>
    <t>Balc. 665-CarpinterÃ­a-Varios-Cargas Sociales</t>
  </si>
  <si>
    <t xml:space="preserve">      5.02.06.09.59.0095</t>
  </si>
  <si>
    <t>Balc. 665-CarpinterÃ­a-Varios-Vacaciones y SA</t>
  </si>
  <si>
    <t xml:space="preserve">    5.02.06.10</t>
  </si>
  <si>
    <t>Balc. 665-Sanitarios</t>
  </si>
  <si>
    <t xml:space="preserve">     5.02.06.10.59</t>
  </si>
  <si>
    <t>Balc. 665-Sanitarios-Varios</t>
  </si>
  <si>
    <t xml:space="preserve">      5.02.06.10.59.0056</t>
  </si>
  <si>
    <t>Balc. 665-Sanitarios-Varios-Sueldos y Jorna</t>
  </si>
  <si>
    <t xml:space="preserve">      5.02.06.10.59.0057</t>
  </si>
  <si>
    <t>Balc. 665-Sanitarios-Varios-Cargas Sociales</t>
  </si>
  <si>
    <t xml:space="preserve">      5.02.06.10.59.0095</t>
  </si>
  <si>
    <t>Balc. 665-Sanitarios-Varios-Vacaciones y SA</t>
  </si>
  <si>
    <t xml:space="preserve">    5.02.06.13</t>
  </si>
  <si>
    <t>Balc. 665-Pintura</t>
  </si>
  <si>
    <t xml:space="preserve">     5.02.06.13.59</t>
  </si>
  <si>
    <t>Balc. 665-Pintura-Varios</t>
  </si>
  <si>
    <t xml:space="preserve">      5.02.06.13.59.0056</t>
  </si>
  <si>
    <t>Balc. 665-Pintura-Varios-Sueldos y Jorna</t>
  </si>
  <si>
    <t xml:space="preserve">      5.02.06.13.59.0057</t>
  </si>
  <si>
    <t>Balc. 665-Pintura-Varios-Cargas Sociales</t>
  </si>
  <si>
    <t xml:space="preserve">      5.02.06.13.59.0095</t>
  </si>
  <si>
    <t>Balc. 665-Pintura-Varios-Vacaciones y SA</t>
  </si>
  <si>
    <t xml:space="preserve">    5.02.06.15</t>
  </si>
  <si>
    <t>Balc. 665-Varios</t>
  </si>
  <si>
    <t xml:space="preserve">     5.02.06.15.59</t>
  </si>
  <si>
    <t>Balc. 665-Varios-Varios</t>
  </si>
  <si>
    <t xml:space="preserve">      5.02.06.15.59.0302</t>
  </si>
  <si>
    <t>Balc. 665-Varios-Varios-Edific.terminad</t>
  </si>
  <si>
    <t xml:space="preserve">     5.02.06.15.60</t>
  </si>
  <si>
    <t>Balc. 665-Vs-Costos Vs MO--</t>
  </si>
  <si>
    <t xml:space="preserve">      5.02.06.15.60.0009</t>
  </si>
  <si>
    <t>Balc. 665-Vs-Vs-Herram de Consumo</t>
  </si>
  <si>
    <t xml:space="preserve">      5.02.06.15.60.0060</t>
  </si>
  <si>
    <t>Balc. 665-Vs-Vs-Uniformes Perso</t>
  </si>
  <si>
    <t xml:space="preserve">      5.02.06.15.60.0076</t>
  </si>
  <si>
    <t>Balc. 665-Vs-Vs-Gastos Diversos</t>
  </si>
  <si>
    <t xml:space="preserve">      5.02.06.15.60.0097</t>
  </si>
  <si>
    <t>Construc. a 3 -Balcarce 665-Varios-Costos Vs MO-Vacaciones</t>
  </si>
  <si>
    <t xml:space="preserve">      5.02.06.15.60.0098</t>
  </si>
  <si>
    <t>Construc. a 3 -Balcarce 665-Varios-Costos Vs MO-Aguinaldo</t>
  </si>
  <si>
    <t xml:space="preserve">   5.02.07</t>
  </si>
  <si>
    <t>Egresos-Construc. a 3 -L. Pied. 302---</t>
  </si>
  <si>
    <t xml:space="preserve">    5.02.07.05</t>
  </si>
  <si>
    <t>Egresos-Construc. a 3 -L. Pied. 302-Estructura---</t>
  </si>
  <si>
    <t xml:space="preserve">     5.02.07.05.59</t>
  </si>
  <si>
    <t>Egresos-Construc. a 3 -L. Pied. 302-Estructura-Vs-</t>
  </si>
  <si>
    <t xml:space="preserve">      5.02.07.05.59.0056</t>
  </si>
  <si>
    <t>L. Pied. 302-Estructura-Varios-Sueldos y Jornales</t>
  </si>
  <si>
    <t xml:space="preserve">      5.02.07.05.59.0057</t>
  </si>
  <si>
    <t>L. Pied. 302-Estructura-Varios-Cargas Sociales</t>
  </si>
  <si>
    <t xml:space="preserve">      5.02.07.05.59.0095</t>
  </si>
  <si>
    <t>L. Pied. 302-Estructura-Varios-Vacaciones y SA</t>
  </si>
  <si>
    <t xml:space="preserve">    5.02.07.06</t>
  </si>
  <si>
    <t>L. Pied. 302-AlbaÃ±ilerÃ­a</t>
  </si>
  <si>
    <t xml:space="preserve">     5.02.07.06.59</t>
  </si>
  <si>
    <t>L. Pied. 302-AlbaÃ±ilerÃ­a-Varios</t>
  </si>
  <si>
    <t xml:space="preserve">      5.02.07.06.59.0056</t>
  </si>
  <si>
    <t>L. Pied. 302-AlbaÃ±ilerÃ­a-Varios-Sueldos y Jorna</t>
  </si>
  <si>
    <t xml:space="preserve">      5.02.07.06.59.0057</t>
  </si>
  <si>
    <t>L. Pied. 302-AlbaÃ±ilerÃ­a-Varios-Cargas Sociales</t>
  </si>
  <si>
    <t xml:space="preserve">      5.02.07.06.59.0095</t>
  </si>
  <si>
    <t>L. Pied. 302-AlbaÃ±ilerÃ­a-Varios-Vacaciones y SA</t>
  </si>
  <si>
    <t xml:space="preserve">    5.02.07.08</t>
  </si>
  <si>
    <t>Egresos-Construc. a 3  L. Pied. 302-YeserÃ­a---</t>
  </si>
  <si>
    <t xml:space="preserve">     5.02.07.08.59</t>
  </si>
  <si>
    <t>Egresos-Construc. a 3 -L. Pied.  302-YeserÃ­a-Varios--</t>
  </si>
  <si>
    <t xml:space="preserve">      5.02.07.08.59.0056</t>
  </si>
  <si>
    <t>L. Pied. 302-YeserÃ­a-Varios-Sueldos y Jornales</t>
  </si>
  <si>
    <t xml:space="preserve">      5.02.07.08.59.0057</t>
  </si>
  <si>
    <t>L. Pied. 302-YeserÃ­a-Varios-Cargas Sociales</t>
  </si>
  <si>
    <t xml:space="preserve">      5.02.07.08.59.0095</t>
  </si>
  <si>
    <t>L. Pied. 302-YeserÃ­a-Varios-Vacaciones y SA</t>
  </si>
  <si>
    <t xml:space="preserve">    5.02.07.09</t>
  </si>
  <si>
    <t>L. Pied. 302-CarpinterÃ­a</t>
  </si>
  <si>
    <t xml:space="preserve">     5.02.07.09.59</t>
  </si>
  <si>
    <t>L. Pied. 302-CarpinterÃ­a-Varios</t>
  </si>
  <si>
    <t xml:space="preserve">      5.02.07.09.59.0056</t>
  </si>
  <si>
    <t>L. Pied. 302-CarpinterÃ­a-Varios-Sueldos y Jorna</t>
  </si>
  <si>
    <t xml:space="preserve">      5.02.07.09.59.0057</t>
  </si>
  <si>
    <t>L. Pied. 302-CarpinterÃ­a-Varios-Cargas Sociales</t>
  </si>
  <si>
    <t xml:space="preserve">      5.02.07.09.59.0095</t>
  </si>
  <si>
    <t>L. Pied. 302-CarpinterÃ­a-Varios-Vacaciones y SA</t>
  </si>
  <si>
    <t xml:space="preserve">    5.02.07.10</t>
  </si>
  <si>
    <t>L. Pied. 302-Sanitarios</t>
  </si>
  <si>
    <t xml:space="preserve">     5.02.07.10.59</t>
  </si>
  <si>
    <t>L. Pied. 302-Sanitarios-Varios</t>
  </si>
  <si>
    <t xml:space="preserve">      5.02.07.10.59.0056</t>
  </si>
  <si>
    <t>L. Pied. 302-Sanitarios-Varios-Sueldos y Jorna</t>
  </si>
  <si>
    <t xml:space="preserve">      5.02.07.10.59.0057</t>
  </si>
  <si>
    <t>L. Pied. 302-Sanitarios-Varios-Cargas Sociales</t>
  </si>
  <si>
    <t xml:space="preserve">      5.02.07.10.59.0095</t>
  </si>
  <si>
    <t>L. Pied. 302-Sanitarios-Varios-Vacaciones y SA</t>
  </si>
  <si>
    <t xml:space="preserve">    5.02.07.13</t>
  </si>
  <si>
    <t>L. Pied. 302-Pintura</t>
  </si>
  <si>
    <t xml:space="preserve">     5.02.07.13.59</t>
  </si>
  <si>
    <t>L. Pied. 302-Pintura-Varios</t>
  </si>
  <si>
    <t xml:space="preserve">      5.02.07.13.59.0056</t>
  </si>
  <si>
    <t>L. Pied. 302-Pintura-Varios-Sueldos y Jorna</t>
  </si>
  <si>
    <t xml:space="preserve">      5.02.07.13.59.0057</t>
  </si>
  <si>
    <t>L. Pied. 302-Pintura-Varios-Cargas Sociales</t>
  </si>
  <si>
    <t xml:space="preserve">      5.02.07.13.59.0095</t>
  </si>
  <si>
    <t>L. Pied. 302-Pintura-Varios-Vacaciones y SA</t>
  </si>
  <si>
    <t xml:space="preserve">    5.02.07.15</t>
  </si>
  <si>
    <t>L. Pied. 302-Varios</t>
  </si>
  <si>
    <t xml:space="preserve">     5.02.07.15.59</t>
  </si>
  <si>
    <t>L. Pied. 302-Varios-Varios</t>
  </si>
  <si>
    <t xml:space="preserve">      5.02.07.15.59.0302</t>
  </si>
  <si>
    <t>L. Pied. 302-Varios-Varios-Edific.terminad</t>
  </si>
  <si>
    <t xml:space="preserve">     5.02.07.15.60</t>
  </si>
  <si>
    <t>L. Pied. 302-Varios-Costos Vs MO--</t>
  </si>
  <si>
    <t xml:space="preserve">      5.02.07.15.60.0009</t>
  </si>
  <si>
    <t>L. Pied. 302-Vs-Vs-Herram de Consumo</t>
  </si>
  <si>
    <t xml:space="preserve">      5.02.07.15.60.0060</t>
  </si>
  <si>
    <t>L. Pied. 302-Vs-Vs-Uniformes Personal</t>
  </si>
  <si>
    <t xml:space="preserve">      5.02.07.15.60.0076</t>
  </si>
  <si>
    <t>L. Pied. 302-Vs-Vs-Gastos Diversos</t>
  </si>
  <si>
    <t xml:space="preserve">   5.02.08</t>
  </si>
  <si>
    <t>Egresos-Construc. a 3 -Mont. 740---</t>
  </si>
  <si>
    <t xml:space="preserve">    5.02.08.05</t>
  </si>
  <si>
    <t>Egresos-Construc. a 3 -Mont. 740-Estructura---</t>
  </si>
  <si>
    <t xml:space="preserve">     5.02.08.05.59</t>
  </si>
  <si>
    <t>Egresos-Construc. a 3 -Mont. 740-Estructura-Vs-</t>
  </si>
  <si>
    <t xml:space="preserve">      5.02.08.05.59.0056</t>
  </si>
  <si>
    <t>Mont. 740-Estructura-Varios-Sueldos y Jorna</t>
  </si>
  <si>
    <t xml:space="preserve">      5.02.08.05.59.0057</t>
  </si>
  <si>
    <t>Mont. 740-Estructura-Varios-Cargas Sociales</t>
  </si>
  <si>
    <t xml:space="preserve">      5.02.08.05.59.0095</t>
  </si>
  <si>
    <t>Mont. 740-Estructura-Varios-Vacaciones y SA</t>
  </si>
  <si>
    <t xml:space="preserve">    5.02.08.06</t>
  </si>
  <si>
    <t>Mont. 740-AlbaÃ±ilerÃ­a</t>
  </si>
  <si>
    <t xml:space="preserve">     5.02.08.06.59</t>
  </si>
  <si>
    <t>Mont. 740-AlbaÃ±ilerÃ­a-Varios</t>
  </si>
  <si>
    <t xml:space="preserve">      5.02.08.06.59.0056</t>
  </si>
  <si>
    <t>Mont. 740-AlbaÃ±ilerÃ­a-Varios-Sueldos y Jorna</t>
  </si>
  <si>
    <t xml:space="preserve">      5.02.08.06.59.0057</t>
  </si>
  <si>
    <t>Mont. 740-AlbaÃ±ilerÃ­a-Varios-Cargas Sociales</t>
  </si>
  <si>
    <t xml:space="preserve">      5.02.08.06.59.0095</t>
  </si>
  <si>
    <t>Mont. 740-AlbaÃ±ilerÃ­a-Varios-Vacaciones y SA</t>
  </si>
  <si>
    <t xml:space="preserve">    5.02.08.08</t>
  </si>
  <si>
    <t>Egresos-Construc. a 3  Mont. 740-YeserÃ­a---</t>
  </si>
  <si>
    <t xml:space="preserve">     5.02.08.08.59</t>
  </si>
  <si>
    <t>Egresos-Construc. a 3 -Mont. 740-YeserÃ­a-Varios--</t>
  </si>
  <si>
    <t xml:space="preserve">      5.02.08.08.59.0056</t>
  </si>
  <si>
    <t>Mont. 740-YeserÃ­a-Varios-Sueldos y Jornales</t>
  </si>
  <si>
    <t xml:space="preserve">      5.02.08.08.59.0057</t>
  </si>
  <si>
    <t>Mont. 740-YeserÃ­a-Varios-Cargas Sociales</t>
  </si>
  <si>
    <t xml:space="preserve">      5.02.08.08.59.0095</t>
  </si>
  <si>
    <t>Mont. 740-YeserÃ­a-Varios-Vacaciones y SA</t>
  </si>
  <si>
    <t xml:space="preserve">    5.02.08.09</t>
  </si>
  <si>
    <t>Mont. 740-CarpinterÃ­a</t>
  </si>
  <si>
    <t xml:space="preserve">     5.02.08.09.59</t>
  </si>
  <si>
    <t>Mont. 740-CarpinterÃ­a-Varios</t>
  </si>
  <si>
    <t xml:space="preserve">      5.02.08.09.59.0056</t>
  </si>
  <si>
    <t>Mont. 740-CarpinterÃ­a-Varios-Sueldos y Jorna</t>
  </si>
  <si>
    <t xml:space="preserve">      5.02.08.09.59.0057</t>
  </si>
  <si>
    <t>Mont. 740-CarpinterÃ­a-Varios-Cargas Sociales</t>
  </si>
  <si>
    <t xml:space="preserve">      5.02.08.09.59.0095</t>
  </si>
  <si>
    <t>Mont. 740-CarpinterÃ­a-Varios-Vacaciones y SA</t>
  </si>
  <si>
    <t xml:space="preserve">    5.02.08.10</t>
  </si>
  <si>
    <t>Mont. 740-Sanitarios</t>
  </si>
  <si>
    <t xml:space="preserve">     5.02.08.10.59</t>
  </si>
  <si>
    <t>Mont. 740-Sanitarios-Varios</t>
  </si>
  <si>
    <t xml:space="preserve">      5.02.08.10.59.0056</t>
  </si>
  <si>
    <t>Mont. 740-Sanitarios-Varios-Sueldos y Jorna</t>
  </si>
  <si>
    <t xml:space="preserve">      5.02.08.10.59.0057</t>
  </si>
  <si>
    <t>Mont. 740-Sanitarios-Varios-Cargas Sociales</t>
  </si>
  <si>
    <t xml:space="preserve">      5.02.08.10.59.0095</t>
  </si>
  <si>
    <t>Mont. 740-Sanitarios-Varios-Vacaciones y SA</t>
  </si>
  <si>
    <t xml:space="preserve">    5.02.08.13</t>
  </si>
  <si>
    <t>Mont. 740-Pintura</t>
  </si>
  <si>
    <t xml:space="preserve">     5.02.08.13.59</t>
  </si>
  <si>
    <t>Mont. 740-Pintura-Varios</t>
  </si>
  <si>
    <t xml:space="preserve">      5.02.08.13.59.0056</t>
  </si>
  <si>
    <t>Mont. 740-Pintura-Varios-Sueldos y Jorna</t>
  </si>
  <si>
    <t xml:space="preserve">      5.02.08.13.59.0057</t>
  </si>
  <si>
    <t>Mont. 740-Pintura-Varios-Cargas Sociales</t>
  </si>
  <si>
    <t xml:space="preserve">      5.02.08.13.59.0095</t>
  </si>
  <si>
    <t>Mont. 740-Pintura-Varios-Vacaciones y SA</t>
  </si>
  <si>
    <t xml:space="preserve">    5.02.08.15</t>
  </si>
  <si>
    <t>Mont. 740-Varios</t>
  </si>
  <si>
    <t xml:space="preserve">     5.02.08.15.59</t>
  </si>
  <si>
    <t>Mont. 740-Varios-Varios</t>
  </si>
  <si>
    <t xml:space="preserve">      5.02.08.15.59.0302</t>
  </si>
  <si>
    <t>Mont. 740-Varios-Varios-Edific.terminad</t>
  </si>
  <si>
    <t xml:space="preserve">     5.02.08.15.60</t>
  </si>
  <si>
    <t>Mont. 740-Vs-Costos Vs MO--</t>
  </si>
  <si>
    <t xml:space="preserve">      5.02.08.15.60.0009</t>
  </si>
  <si>
    <t>Mont. 740-Vs-Vs-Herram de Consumo</t>
  </si>
  <si>
    <t xml:space="preserve">      5.02.08.15.60.0060</t>
  </si>
  <si>
    <t>Mont. 740-Vs-Vs-Uniformes Personal</t>
  </si>
  <si>
    <t xml:space="preserve">      5.02.08.15.60.0076</t>
  </si>
  <si>
    <t>Mont. 740-Vs-Vs-Gastos Diversos</t>
  </si>
  <si>
    <t xml:space="preserve">      5.02.08.15.60.0097</t>
  </si>
  <si>
    <t>Construc. a 3 -Monteagudo 740-Varios-Costos Vs MO-Vacaciones</t>
  </si>
  <si>
    <t xml:space="preserve">      5.02.08.15.60.0098</t>
  </si>
  <si>
    <t>Construc. a 3 -Monteagudo 740-Varios-Costos Vs MO-Aguinaldo</t>
  </si>
  <si>
    <t xml:space="preserve">   5.02.09</t>
  </si>
  <si>
    <t>Egresos-Construc. a 3  Lapr. 401---</t>
  </si>
  <si>
    <t xml:space="preserve">    5.02.09.16</t>
  </si>
  <si>
    <t>Lapr. 401-ConstrucciÃ³n---</t>
  </si>
  <si>
    <t xml:space="preserve">     5.02.09.16.59</t>
  </si>
  <si>
    <t>Lapr. 401-ConstrucciÃ³n-Varios--</t>
  </si>
  <si>
    <t xml:space="preserve">      5.02.09.16.59.0056</t>
  </si>
  <si>
    <t>Lapr. 401-ConstrucciÃ³n-Varios-Sueldos y Jorna</t>
  </si>
  <si>
    <t xml:space="preserve">      5.02.09.16.59.0057</t>
  </si>
  <si>
    <t>Lapr. 401-ConstrucciÃ³n-Varios-Cargas Sociales</t>
  </si>
  <si>
    <t xml:space="preserve">   5.02.10</t>
  </si>
  <si>
    <t>Egresos-Construc. a 3  Maipu 605---</t>
  </si>
  <si>
    <t xml:space="preserve">    5.02.10.16</t>
  </si>
  <si>
    <t>MaipÃ  605-Construc.---</t>
  </si>
  <si>
    <t xml:space="preserve">     5.02.10.16.59</t>
  </si>
  <si>
    <t>MaipÃ  605-Construc.-Varios--</t>
  </si>
  <si>
    <t xml:space="preserve">      5.02.10.16.59.0056</t>
  </si>
  <si>
    <t>MaipÃ  605-Construc.-Varios-Sueldos y Jorna</t>
  </si>
  <si>
    <t xml:space="preserve">      5.02.10.16.59.0057</t>
  </si>
  <si>
    <t>MaipÃ  605-Construc.-Varios-Cargas Sociales</t>
  </si>
  <si>
    <t xml:space="preserve">   5.02.11</t>
  </si>
  <si>
    <t>Construc. a 3 -Casa Fernandez</t>
  </si>
  <si>
    <t xml:space="preserve">    5.02.11.01</t>
  </si>
  <si>
    <t>Casa Fernandez-Proyecto y dire</t>
  </si>
  <si>
    <t xml:space="preserve">     5.02.11.01.01</t>
  </si>
  <si>
    <t>Casa Fernandez-Proyecto y dire-Honorarios proy</t>
  </si>
  <si>
    <t xml:space="preserve">      5.02.11.01.01.0075</t>
  </si>
  <si>
    <t>Casa Fernandez-Proyecto y dire-Honorarios proy-Honorarios</t>
  </si>
  <si>
    <t xml:space="preserve">    5.02.11.02</t>
  </si>
  <si>
    <t>Casa Fernandez-Tasas  der y se</t>
  </si>
  <si>
    <t xml:space="preserve">     5.02.11.02.02</t>
  </si>
  <si>
    <t>Casa Fernandez-Tasas  der y se-Trab. prelimina</t>
  </si>
  <si>
    <t xml:space="preserve">      5.02.11.02.02.0004</t>
  </si>
  <si>
    <t>Casa Fernandez-Tasas  der y se-Trab. prel-Per municipale</t>
  </si>
  <si>
    <t xml:space="preserve">      5.02.11.02.02.0005</t>
  </si>
  <si>
    <t>Casa Fernandez-Tasas  der y se-Trab. prelimina-Sellados</t>
  </si>
  <si>
    <t xml:space="preserve">      5.02.11.02.02.0006</t>
  </si>
  <si>
    <t>Casa Fernandez-Tasas  der y se-Trab. prelimina-Otros Gtos Inic</t>
  </si>
  <si>
    <t xml:space="preserve">      5.02.11.02.02.0008</t>
  </si>
  <si>
    <t>Casa Fernandez-Tasas  der y se-Trab. prelimina-Luz Agua Otros</t>
  </si>
  <si>
    <t xml:space="preserve">    5.02.11.03</t>
  </si>
  <si>
    <t>Casa Fernandez-Movilidad y fle</t>
  </si>
  <si>
    <t xml:space="preserve">     5.02.11.03.03</t>
  </si>
  <si>
    <t>Casa Fernandez-Movilidad y fle-Movilidad y Fle</t>
  </si>
  <si>
    <t xml:space="preserve">      5.02.11.03.03.0007</t>
  </si>
  <si>
    <t>Casa Fernandez-Movilidad y fle-Movilidad y Fle-Fletes</t>
  </si>
  <si>
    <t xml:space="preserve">    5.02.11.04</t>
  </si>
  <si>
    <t>Casa Fernandez-Mov. suelo  exc</t>
  </si>
  <si>
    <t xml:space="preserve">     5.02.11.04.04</t>
  </si>
  <si>
    <t>Casa Fernandez-Mov. suelo  exc-Demoliciones</t>
  </si>
  <si>
    <t xml:space="preserve">      5.02.11.04.04.0002</t>
  </si>
  <si>
    <t>Casa Fernandez-Mov. suelo  exc-Demoliciones-Mano obra Batia</t>
  </si>
  <si>
    <t xml:space="preserve">      5.02.11.04.04.0003</t>
  </si>
  <si>
    <t xml:space="preserve">Casa Fernandez-Mov. suelo  exc-Demoliciones-Mano obra de 3 </t>
  </si>
  <si>
    <t xml:space="preserve">    5.02.11.05</t>
  </si>
  <si>
    <t>Casa Fernandez-Estructura</t>
  </si>
  <si>
    <t xml:space="preserve">     5.02.11.05.59</t>
  </si>
  <si>
    <t>Casa Fernandez-Estructura-Varios</t>
  </si>
  <si>
    <t xml:space="preserve">      5.02.11.05.59.0001</t>
  </si>
  <si>
    <t>Casa Fernandez-Estructura-Varios-Materiales</t>
  </si>
  <si>
    <t xml:space="preserve">      5.02.11.05.59.0002</t>
  </si>
  <si>
    <t>Casa Fernandez-Estructura-Varios-Mano obra Batia</t>
  </si>
  <si>
    <t xml:space="preserve">      5.02.11.05.59.0003</t>
  </si>
  <si>
    <t xml:space="preserve">Casa Fernandez-Estructura-Varios-Mano obra de 3 </t>
  </si>
  <si>
    <t xml:space="preserve">      5.02.11.05.59.0056</t>
  </si>
  <si>
    <t>Casa Fernandez-Estructura-Varios-Sueldos y Jorna</t>
  </si>
  <si>
    <t xml:space="preserve">      5.02.11.05.59.0057</t>
  </si>
  <si>
    <t>Casa Fernandez-Estructura-Varios-Cargas Sociales</t>
  </si>
  <si>
    <t xml:space="preserve">    5.02.11.06</t>
  </si>
  <si>
    <t>Casa Fernandez-AlbaÃ±ilerÃ­a</t>
  </si>
  <si>
    <t xml:space="preserve">     5.02.11.06.14</t>
  </si>
  <si>
    <t>Casa Fernandez-AlbaÃ±ilerÃ­a-MamposterÃ­a</t>
  </si>
  <si>
    <t xml:space="preserve">      5.02.11.06.14.0003</t>
  </si>
  <si>
    <t xml:space="preserve">Casa Fernandez-AlbaÃ±ilerÃ­a-MamposterÃ­a-Mano obra de 3 </t>
  </si>
  <si>
    <t xml:space="preserve">     5.02.11.06.15</t>
  </si>
  <si>
    <t>Casa Fernandez-AlbaÃ±ilerÃ­a-Aislaciones hid</t>
  </si>
  <si>
    <t xml:space="preserve">      5.02.11.06.15.0003</t>
  </si>
  <si>
    <t xml:space="preserve">Casa Fernandez-AlbaÃ±ilerÃ­a-Aislaciones hid-Mano obra de 3 </t>
  </si>
  <si>
    <t xml:space="preserve">     5.02.11.06.16</t>
  </si>
  <si>
    <t>Casa Fernandez-AlbaÃ±ilerÃ­a-Revoques</t>
  </si>
  <si>
    <t xml:space="preserve">      5.02.11.06.16.0003</t>
  </si>
  <si>
    <t xml:space="preserve">Casa Fernandez-AlbaÃ±ilerÃ­a-Revoques-Mano obra de 3 </t>
  </si>
  <si>
    <t xml:space="preserve">     5.02.11.06.17</t>
  </si>
  <si>
    <t>Casa Fernandez-AlbaÃ±ilerÃ­a-Contrapisos y c</t>
  </si>
  <si>
    <t xml:space="preserve">      5.02.11.06.17.0003</t>
  </si>
  <si>
    <t xml:space="preserve">Casa Fernandez-AlbaÃ±ilerÃ­a-Contrapisos y c-Mano obra de 3 </t>
  </si>
  <si>
    <t xml:space="preserve">     5.02.11.06.18</t>
  </si>
  <si>
    <t>Casa Fernandez-AlbaÃ±ilerÃ­a-Cubiertas</t>
  </si>
  <si>
    <t xml:space="preserve">      5.02.11.06.18.0001</t>
  </si>
  <si>
    <t>Casa Fernandez-AlbaÃ±ilerÃ­a-Cubiertas-Materiales</t>
  </si>
  <si>
    <t xml:space="preserve">      5.02.11.06.18.0002</t>
  </si>
  <si>
    <t>Casa Fernandez-AlbaÃ±ilerÃ­a-Cubiertas-Mano obra Batia</t>
  </si>
  <si>
    <t xml:space="preserve">      5.02.11.06.18.0003</t>
  </si>
  <si>
    <t xml:space="preserve">Casa Fernandez-AlbaÃ±ilerÃ­a-Cubiertas-Mano obra de 3 </t>
  </si>
  <si>
    <t xml:space="preserve">     5.02.11.06.59</t>
  </si>
  <si>
    <t>Casa Fernandez-AlbaÃ±ilerÃ­a-Varios</t>
  </si>
  <si>
    <t xml:space="preserve">      5.02.11.06.59.0056</t>
  </si>
  <si>
    <t>Casa Fernandez-AlbaÃ±ilerÃ­a-Varios-Sueldos y Jorna</t>
  </si>
  <si>
    <t xml:space="preserve">      5.02.11.06.59.0057</t>
  </si>
  <si>
    <t>Casa Fernandez-AlbaÃ±ilerÃ­a-Varios-Cargas Sociales</t>
  </si>
  <si>
    <t xml:space="preserve">    5.02.11.07</t>
  </si>
  <si>
    <t>Casa Fernandez-Revestimiento</t>
  </si>
  <si>
    <t xml:space="preserve">     5.02.11.07.21</t>
  </si>
  <si>
    <t>Casa Fernandez-Revestimiento-Pisos</t>
  </si>
  <si>
    <t xml:space="preserve">      5.02.11.07.21.0001</t>
  </si>
  <si>
    <t>Casa Fernandez-Revestimiento-Pisos-Materiales</t>
  </si>
  <si>
    <t xml:space="preserve">      5.02.11.07.21.0003</t>
  </si>
  <si>
    <t xml:space="preserve">Casa Fernandez-Revestimiento-Pisos-Mano obra de 3 </t>
  </si>
  <si>
    <t xml:space="preserve">     5.02.11.07.22</t>
  </si>
  <si>
    <t>Casa Fernandez-Revestimiento-ZÃ³calos</t>
  </si>
  <si>
    <t xml:space="preserve">      5.02.11.07.22.0001</t>
  </si>
  <si>
    <t>Casa Fernandez-Revestimiento-ZÃ³calos-Materiales</t>
  </si>
  <si>
    <t xml:space="preserve">      5.02.11.07.22.0003</t>
  </si>
  <si>
    <t xml:space="preserve">Casa Fernandez-Revestimiento-ZÃ³calos-Mano obra de 3 </t>
  </si>
  <si>
    <t xml:space="preserve">     5.02.11.07.23</t>
  </si>
  <si>
    <t>Casa Fernandez-Revestimiento-Revestimiento</t>
  </si>
  <si>
    <t xml:space="preserve">      5.02.11.07.23.0001</t>
  </si>
  <si>
    <t>Casa Fernandez-Revestimiento-Revestimiento-Materiales</t>
  </si>
  <si>
    <t xml:space="preserve">      5.02.11.07.23.0002</t>
  </si>
  <si>
    <t>Casa Fernandez-Revestimiento-Revestimiento-Mano obra Batia</t>
  </si>
  <si>
    <t xml:space="preserve">      5.02.11.07.23.0003</t>
  </si>
  <si>
    <t xml:space="preserve">Casa Fernandez-Revestimiento-Revestimiento-Mano obra de 3 </t>
  </si>
  <si>
    <t xml:space="preserve">     5.02.11.07.24</t>
  </si>
  <si>
    <t>Casa Fernandez-Revestimiento-Revest granÃ­tic</t>
  </si>
  <si>
    <t xml:space="preserve">      5.02.11.07.24.0001</t>
  </si>
  <si>
    <t>Casa Fernandez-Revestimiento-Revest granÃ­tic-Materiales</t>
  </si>
  <si>
    <t xml:space="preserve">      5.02.11.07.24.0003</t>
  </si>
  <si>
    <t xml:space="preserve">Casa Fernandez-Revestimiento-Revest granÃ­tic-Mano obra de 3 </t>
  </si>
  <si>
    <t xml:space="preserve">    5.02.11.08</t>
  </si>
  <si>
    <t>Casa Fernandez-YeserÃ­a</t>
  </si>
  <si>
    <t xml:space="preserve">     5.02.11.08.28</t>
  </si>
  <si>
    <t>Casa Fernandez-YeserÃ­a-Cielorrasos</t>
  </si>
  <si>
    <t xml:space="preserve">      5.02.11.08.28.0001</t>
  </si>
  <si>
    <t>Casa Fernandez-YeserÃ­a-Cielorrasos-Materiales</t>
  </si>
  <si>
    <t xml:space="preserve">      5.02.11.08.28.0003</t>
  </si>
  <si>
    <t xml:space="preserve">Casa Fernandez-YeserÃ­a-Cielorrasos-Mano obra de 3 </t>
  </si>
  <si>
    <t xml:space="preserve">     5.02.11.08.29</t>
  </si>
  <si>
    <t>Casa Fernandez-YeserÃ­a-Tabiques y ciel</t>
  </si>
  <si>
    <t xml:space="preserve">      5.02.11.08.29.0001</t>
  </si>
  <si>
    <t>Casa Fernandez-YeserÃ­a-Tabiques y ciel-Materiales</t>
  </si>
  <si>
    <t xml:space="preserve">      5.02.11.08.29.0002</t>
  </si>
  <si>
    <t>Casa Fernandez-YeserÃ­a-Tabiques y ciel-Mano obra Batia</t>
  </si>
  <si>
    <t xml:space="preserve">      5.02.11.08.29.0003</t>
  </si>
  <si>
    <t xml:space="preserve">Casa Fernandez-YeserÃ­a-Tabiques y ciel-Mano obra de 3 </t>
  </si>
  <si>
    <t xml:space="preserve">     5.02.11.08.59</t>
  </si>
  <si>
    <t>Casa Fernandez-YeserÃ­a-Varios</t>
  </si>
  <si>
    <t xml:space="preserve">      5.02.11.08.59.0056</t>
  </si>
  <si>
    <t>Casa Fernandez-YeserÃ­a-Varios-Sueldos y Jorna</t>
  </si>
  <si>
    <t xml:space="preserve">      5.02.11.08.59.0057</t>
  </si>
  <si>
    <t>Casa Fernandez-YeserÃ­a-Varios-Cargas Sociales</t>
  </si>
  <si>
    <t xml:space="preserve">    5.02.11.09</t>
  </si>
  <si>
    <t>Casa Fernandez-CarpinterÃ­a</t>
  </si>
  <si>
    <t xml:space="preserve">     5.02.11.09.33</t>
  </si>
  <si>
    <t>Casa Fernandez-CarpinterÃ­a-Carp madera</t>
  </si>
  <si>
    <t xml:space="preserve">      5.02.11.09.33.0001</t>
  </si>
  <si>
    <t>Casa Fernandez-CarpinterÃ­a-Carp madera-Materiales</t>
  </si>
  <si>
    <t xml:space="preserve">      5.02.11.09.33.0003</t>
  </si>
  <si>
    <t xml:space="preserve">Casa Fernandez-CarpinterÃ­a-Carp madera-Mano obra de 3 </t>
  </si>
  <si>
    <t xml:space="preserve">     5.02.11.09.34</t>
  </si>
  <si>
    <t>Casa Fernandez-CarpinterÃ­a-Carp aluminio</t>
  </si>
  <si>
    <t xml:space="preserve">      5.02.11.09.34.0001</t>
  </si>
  <si>
    <t>Casa Fernandez-CarpinterÃ­a-Carp aluminio-Materiales</t>
  </si>
  <si>
    <t xml:space="preserve">      5.02.11.09.34.0003</t>
  </si>
  <si>
    <t xml:space="preserve">Casa Fernandez-CarpinterÃ­a-Carp aluminio-Mano obra de 3 </t>
  </si>
  <si>
    <t xml:space="preserve">     5.02.11.09.35</t>
  </si>
  <si>
    <t>Casa Fernandez-CarpinterÃ­a-Carp metÃ¡licas</t>
  </si>
  <si>
    <t xml:space="preserve">      5.02.11.09.35.0001</t>
  </si>
  <si>
    <t>Casa Fernandez-CarpinterÃ­a-Carp metÃ¡licas-Materiales</t>
  </si>
  <si>
    <t xml:space="preserve">      5.02.11.09.35.0003</t>
  </si>
  <si>
    <t xml:space="preserve">Casa Fernandez-CarpinterÃ­a-Carp metÃ¡licas-Mano obra de 3 </t>
  </si>
  <si>
    <t xml:space="preserve">     5.02.11.09.36</t>
  </si>
  <si>
    <t>Casa Fernandez-CarpinterÃ­a-Frentes placard</t>
  </si>
  <si>
    <t xml:space="preserve">      5.02.11.09.36.0001</t>
  </si>
  <si>
    <t>Casa Fernandez-CarpinterÃ­a-Frentes placard-Materiales</t>
  </si>
  <si>
    <t xml:space="preserve">      5.02.11.09.36.0003</t>
  </si>
  <si>
    <t xml:space="preserve">Casa Fernandez-CarpinterÃ­a-Frentes placard-Mano obra de 3 </t>
  </si>
  <si>
    <t xml:space="preserve">     5.02.11.09.37</t>
  </si>
  <si>
    <t>Casa Fernandez-CarpinterÃ­a-Bajo mesadas y</t>
  </si>
  <si>
    <t xml:space="preserve">      5.02.11.09.37.0001</t>
  </si>
  <si>
    <t>Casa Fernandez-CarpinterÃ­a-Bajo mesadas y -Materiales</t>
  </si>
  <si>
    <t xml:space="preserve">      5.02.11.09.37.0003</t>
  </si>
  <si>
    <t xml:space="preserve">Casa Fernandez-CarpinterÃ­a-Bajo mesadas y -Mano obra de 3 </t>
  </si>
  <si>
    <t xml:space="preserve">     5.02.11.09.38</t>
  </si>
  <si>
    <t>Casa Fernandez-CarpinterÃ­a-Barandas</t>
  </si>
  <si>
    <t xml:space="preserve">      5.02.11.09.38.0001</t>
  </si>
  <si>
    <t>Casa Fernandez-CarpinterÃ­a-Barandas-Materiales</t>
  </si>
  <si>
    <t xml:space="preserve">      5.02.11.09.38.0003</t>
  </si>
  <si>
    <t xml:space="preserve">Casa Fernandez-CarpinterÃ­a-Barandas-Mano obra de 3 </t>
  </si>
  <si>
    <t xml:space="preserve">     5.02.11.09.39</t>
  </si>
  <si>
    <t>Casa Fernandez-CarpinterÃ­a-Herrajes</t>
  </si>
  <si>
    <t xml:space="preserve">      5.02.11.09.39.0001</t>
  </si>
  <si>
    <t>Casa Fernandez-CarpinterÃ­a-Herrajes-Materiales</t>
  </si>
  <si>
    <t xml:space="preserve">      5.02.11.09.39.0002</t>
  </si>
  <si>
    <t>Casa Fernandez-CarpinterÃ­a-Herrajes-Mano obra Batia</t>
  </si>
  <si>
    <t xml:space="preserve">      5.02.11.09.39.0003</t>
  </si>
  <si>
    <t xml:space="preserve">Casa Fernandez-CarpinterÃ­a-Herrajes-Mano obra de 3 </t>
  </si>
  <si>
    <t xml:space="preserve">     5.02.11.09.59</t>
  </si>
  <si>
    <t>Casa Fernandez-CarpinterÃ­a-Varios</t>
  </si>
  <si>
    <t xml:space="preserve">      5.02.11.09.59.0056</t>
  </si>
  <si>
    <t>Casa Fernandez-CarpinterÃ­a-Varios-Sueldos y Jorna</t>
  </si>
  <si>
    <t xml:space="preserve">      5.02.11.09.59.0057</t>
  </si>
  <si>
    <t>Casa Fernandez-CarpinterÃ­a-Varios-Cargas Sociales</t>
  </si>
  <si>
    <t xml:space="preserve">    5.02.11.10</t>
  </si>
  <si>
    <t>Casa Fernandez-Sanitarios</t>
  </si>
  <si>
    <t xml:space="preserve">     5.02.11.10.43</t>
  </si>
  <si>
    <t>Casa Fernandez-Sanitarios-Bachas de baÃ±o/</t>
  </si>
  <si>
    <t xml:space="preserve">      5.02.11.10.43.0001</t>
  </si>
  <si>
    <t>Casa Fernandez-Sanitarios-Bachas de baÃ±o/-Materiales</t>
  </si>
  <si>
    <t xml:space="preserve">      5.02.11.10.43.0003</t>
  </si>
  <si>
    <t xml:space="preserve">Casa Fernandez-Sanitarios-Bachas de baÃ±o/-Mano obra de 3 </t>
  </si>
  <si>
    <t xml:space="preserve">     5.02.11.10.44</t>
  </si>
  <si>
    <t>Casa Fernandez-Sanitarios-Artef sanitario</t>
  </si>
  <si>
    <t xml:space="preserve">      5.02.11.10.44.0001</t>
  </si>
  <si>
    <t>Casa Fernandez-Sanitarios-Artef sanitario-Materiales</t>
  </si>
  <si>
    <t xml:space="preserve">      5.02.11.10.44.0002</t>
  </si>
  <si>
    <t>Casa Fernandez-Sanitarios-Artef sanitario-Mano obra Batia</t>
  </si>
  <si>
    <t xml:space="preserve">      5.02.11.10.44.0003</t>
  </si>
  <si>
    <t xml:space="preserve">Casa Fernandez-Sanitarios-Artef sanitario-Mano obra de 3 </t>
  </si>
  <si>
    <t xml:space="preserve">     5.02.11.10.45</t>
  </si>
  <si>
    <t>Casa Fernandez-Sanitarios-GriferÃ­as</t>
  </si>
  <si>
    <t xml:space="preserve">      5.02.11.10.45.0001</t>
  </si>
  <si>
    <t>Casa Fernandez-Sanitarios-GriferÃ­as-Materiales</t>
  </si>
  <si>
    <t xml:space="preserve">      5.02.11.10.45.0003</t>
  </si>
  <si>
    <t xml:space="preserve">Casa Fernandez-Sanitarios-GriferÃ­as-Mano obra de 3 </t>
  </si>
  <si>
    <t xml:space="preserve">     5.02.11.10.46</t>
  </si>
  <si>
    <t>Casa Fernandez-Sanitarios-Acc p/baÃ±o</t>
  </si>
  <si>
    <t xml:space="preserve">      5.02.11.10.46.0001</t>
  </si>
  <si>
    <t>Casa Fernandez-Sanitarios-Acc p/baÃ±o-Materiales</t>
  </si>
  <si>
    <t xml:space="preserve">      5.02.11.10.46.0003</t>
  </si>
  <si>
    <t xml:space="preserve">Casa Fernandez-Sanitarios-Acc p/baÃ±o-Mano obra de 3 </t>
  </si>
  <si>
    <t xml:space="preserve">     5.02.11.10.47</t>
  </si>
  <si>
    <t>Casa Fernandez-Sanitarios-Inst Sanitaria</t>
  </si>
  <si>
    <t xml:space="preserve">      5.02.11.10.47.0001</t>
  </si>
  <si>
    <t>Casa Fernandez-Sanitarios-Inst Sanitaria-Materiales</t>
  </si>
  <si>
    <t xml:space="preserve">      5.02.11.10.47.0003</t>
  </si>
  <si>
    <t xml:space="preserve">Casa Fernandez-Sanitarios-Inst Sanitaria-Mano obra de 3 </t>
  </si>
  <si>
    <t xml:space="preserve">     5.02.11.10.48</t>
  </si>
  <si>
    <t>Casa Fernandez-Sanitarios-Inst gas natura</t>
  </si>
  <si>
    <t xml:space="preserve">      5.02.11.10.48.0001</t>
  </si>
  <si>
    <t>Casa Fernandez-Sanitarios-Inst gas natura-Materiales</t>
  </si>
  <si>
    <t xml:space="preserve">      5.02.11.10.48.0003</t>
  </si>
  <si>
    <t xml:space="preserve">Casa Fernandez-Sanitarios-Inst gas natura-Mano obra de 3 </t>
  </si>
  <si>
    <t xml:space="preserve">     5.02.11.10.49</t>
  </si>
  <si>
    <t>Casa Fernandez-Sanitarios-Serv contra inc</t>
  </si>
  <si>
    <t xml:space="preserve">      5.02.11.10.49.0001</t>
  </si>
  <si>
    <t>Casa Fernandez-Sanitarios-Serv contra inc-Materiales</t>
  </si>
  <si>
    <t xml:space="preserve">      5.02.11.10.49.0003</t>
  </si>
  <si>
    <t xml:space="preserve">Casa Fernandez-Sanitarios-Serv contra inc-Mano obra de 3 </t>
  </si>
  <si>
    <t xml:space="preserve">     5.02.11.10.59</t>
  </si>
  <si>
    <t>Casa Fernandez-Sanitarios-Varios</t>
  </si>
  <si>
    <t xml:space="preserve">      5.02.11.10.59.0056</t>
  </si>
  <si>
    <t>Casa Fernandez-Sanitarios-Varios-Sueldos y Jorna</t>
  </si>
  <si>
    <t xml:space="preserve">      5.02.11.10.59.0057</t>
  </si>
  <si>
    <t>Casa Fernandez-Sanitarios-Varios-Cargas Sociales</t>
  </si>
  <si>
    <t xml:space="preserve">    5.02.11.11</t>
  </si>
  <si>
    <t>Casa Fernandez-Inst. ElÃ©ctrica</t>
  </si>
  <si>
    <t xml:space="preserve">     5.02.11.11.53</t>
  </si>
  <si>
    <t>Casa Fernandez-Inst. ElÃ©ctrica-Inst elÃ©ctrica</t>
  </si>
  <si>
    <t xml:space="preserve">      5.02.11.11.53.0001</t>
  </si>
  <si>
    <t>Casa Fernandez-Inst. ElÃ©ctrica-Inst elÃ©ctrica-Materiales</t>
  </si>
  <si>
    <t xml:space="preserve">      5.02.11.11.53.0002</t>
  </si>
  <si>
    <t>Casa Fernandez-Inst. ElÃ©ctrica-Inst elÃ©ctrica-Mano obra Batia</t>
  </si>
  <si>
    <t xml:space="preserve">      5.02.11.11.53.0003</t>
  </si>
  <si>
    <t xml:space="preserve">Casa Fernandez-Inst. ElÃ©ctrica-Inst elÃ©ctrica-Mano obra de 3 </t>
  </si>
  <si>
    <t xml:space="preserve">     5.02.11.11.54</t>
  </si>
  <si>
    <t>Casa Fernandez-Inst. ElÃ©ctrica-Artef iluminaci</t>
  </si>
  <si>
    <t xml:space="preserve">      5.02.11.11.54.0001</t>
  </si>
  <si>
    <t>Casa Fernandez-Inst. ElÃ©ctrica-Artef iluminaci-Materiales</t>
  </si>
  <si>
    <t xml:space="preserve">      5.02.11.11.54.0002</t>
  </si>
  <si>
    <t>Casa Fernandez-Inst. ElÃ©ctrica-Artef iluminaci-Mano obra Batia</t>
  </si>
  <si>
    <t xml:space="preserve">      5.02.11.11.54.0003</t>
  </si>
  <si>
    <t xml:space="preserve">Casa Fernandez-Inst. ElÃ©ctrica-Artef iluminaci-Mano obra de 3 </t>
  </si>
  <si>
    <t xml:space="preserve">     5.02.11.11.55</t>
  </si>
  <si>
    <t>Casa Fernandez-Inst. ElÃ©ctrica-Inst telefÃ³nica</t>
  </si>
  <si>
    <t xml:space="preserve">      5.02.11.11.55.0001</t>
  </si>
  <si>
    <t>Casa Fernandez-Inst. ElÃ©ctrica-Inst telefÃ³nica-Materiales</t>
  </si>
  <si>
    <t xml:space="preserve">      5.02.11.11.55.0002</t>
  </si>
  <si>
    <t>Casa Fernandez-Inst. ElÃ©ctrica-Inst telefÃ³nica-Mano obra Batia</t>
  </si>
  <si>
    <t xml:space="preserve">      5.02.11.11.55.0003</t>
  </si>
  <si>
    <t xml:space="preserve">Casa Fernandez-Inst. ElÃ©ctrica-Inst telefÃ³nica-Mano obra de 3 </t>
  </si>
  <si>
    <t xml:space="preserve">    5.02.11.12</t>
  </si>
  <si>
    <t>Casa Fernandez-Vidrios</t>
  </si>
  <si>
    <t xml:space="preserve">     5.02.11.12.59</t>
  </si>
  <si>
    <t>Casa Fernandez-Vidrios-Varios</t>
  </si>
  <si>
    <t xml:space="preserve">      5.02.11.12.59.0001</t>
  </si>
  <si>
    <t>Casa Fernandez-Vidrios-Varios-Materiales</t>
  </si>
  <si>
    <t xml:space="preserve">      5.02.11.12.59.0002</t>
  </si>
  <si>
    <t>Casa Fernandez-Vidrios-Varios-Mano obra Batia</t>
  </si>
  <si>
    <t xml:space="preserve">      5.02.11.12.59.0003</t>
  </si>
  <si>
    <t xml:space="preserve">Casa Fernandez-Vidrios-Varios-Mano obra de 3 </t>
  </si>
  <si>
    <t xml:space="preserve">    5.02.11.13</t>
  </si>
  <si>
    <t>Casa Fernandez-Pintura</t>
  </si>
  <si>
    <t xml:space="preserve">     5.02.11.13.56</t>
  </si>
  <si>
    <t>Casa Fernandez-Pintura-Pinturas</t>
  </si>
  <si>
    <t xml:space="preserve">      5.02.11.13.56.0001</t>
  </si>
  <si>
    <t>Casa Fernandez-Pintura-Pinturas-Materiales</t>
  </si>
  <si>
    <t xml:space="preserve">      5.02.11.13.56.0002</t>
  </si>
  <si>
    <t>Casa Fernandez-Pintura-Pinturas-Mano obra Batia</t>
  </si>
  <si>
    <t xml:space="preserve">      5.02.11.13.56.0003</t>
  </si>
  <si>
    <t xml:space="preserve">Casa Fernandez-Pintura-Pinturas-Mano obra de 3 </t>
  </si>
  <si>
    <t xml:space="preserve">     5.02.11.13.59</t>
  </si>
  <si>
    <t>Casa Fernandez-Pintura-Varios</t>
  </si>
  <si>
    <t xml:space="preserve">      5.02.11.13.59.0056</t>
  </si>
  <si>
    <t>Casa Fernandez-Pintura-Varios-Sueldos y Jorna</t>
  </si>
  <si>
    <t xml:space="preserve">      5.02.11.13.59.0057</t>
  </si>
  <si>
    <t>Casa Fernandez-Pintura-Varios-Cargas Sociales</t>
  </si>
  <si>
    <t xml:space="preserve">    5.02.11.14</t>
  </si>
  <si>
    <t>Casa Fernandez-Equipamiento y</t>
  </si>
  <si>
    <t xml:space="preserve">     5.02.11.14.57</t>
  </si>
  <si>
    <t>Casa Fernandez-Equipamiento y -Asensores</t>
  </si>
  <si>
    <t xml:space="preserve">      5.02.11.14.57.0001</t>
  </si>
  <si>
    <t>Casa Fernandez-Equipamiento y -Asensores-Materiales</t>
  </si>
  <si>
    <t xml:space="preserve">      5.02.11.14.57.0002</t>
  </si>
  <si>
    <t>Casa Fernandez-Equipamiento y -Asensores-Mano obra Batia</t>
  </si>
  <si>
    <t xml:space="preserve">      5.02.11.14.57.0003</t>
  </si>
  <si>
    <t xml:space="preserve">Casa Fernandez-Equipamiento y -Asensores-Mano obra de 3 </t>
  </si>
  <si>
    <t xml:space="preserve">     5.02.11.14.58</t>
  </si>
  <si>
    <t>Casa Fernandez-Equipamiento y -Equipos Vs.</t>
  </si>
  <si>
    <t xml:space="preserve">      5.02.11.14.58.0001</t>
  </si>
  <si>
    <t>Casa Fernandez-Equipamiento y -Equipos Vs.-Materiales</t>
  </si>
  <si>
    <t xml:space="preserve">      5.02.11.14.58.0002</t>
  </si>
  <si>
    <t>Casa Fernandez-Equipamiento y -Equipos Vs.-Mano obra Batia</t>
  </si>
  <si>
    <t xml:space="preserve">      5.02.11.14.58.0003</t>
  </si>
  <si>
    <t xml:space="preserve">Casa Fernandez-Equipamiento y -Equipos Vs.-Mano obra de 3 </t>
  </si>
  <si>
    <t xml:space="preserve">    5.02.11.15</t>
  </si>
  <si>
    <t>Casa Fernandez-Varios</t>
  </si>
  <si>
    <t xml:space="preserve">     5.02.11.15.59</t>
  </si>
  <si>
    <t>Casa Fernandez-Varios-Varios</t>
  </si>
  <si>
    <t xml:space="preserve">      5.02.11.15.59.0009</t>
  </si>
  <si>
    <t>Casa Fernandez-Varios-Varios-Herram de Consu</t>
  </si>
  <si>
    <t xml:space="preserve">      5.02.11.15.59.0060</t>
  </si>
  <si>
    <t>Casa Fernandez-Varios-Varios-Uniformes Perso</t>
  </si>
  <si>
    <t xml:space="preserve">      5.02.11.15.59.0069</t>
  </si>
  <si>
    <t>Casa Fernandez-Varios-Varios-Seguros</t>
  </si>
  <si>
    <t xml:space="preserve">      5.02.11.15.59.0076</t>
  </si>
  <si>
    <t>Casa Fernandez-Varios-Varios-Gastos Diversos</t>
  </si>
  <si>
    <t xml:space="preserve">      5.02.11.15.59.0079</t>
  </si>
  <si>
    <t>Casa Fernandez-Varios-Varios-Rep. y Mant. Ro</t>
  </si>
  <si>
    <t xml:space="preserve">   5.02.12</t>
  </si>
  <si>
    <t xml:space="preserve">    5.02.12.04</t>
  </si>
  <si>
    <t>Construc. a 3 -Balcarce 146-Mov. suelo  exc</t>
  </si>
  <si>
    <t xml:space="preserve">     5.02.12.04.59</t>
  </si>
  <si>
    <t>Construc. a 3 -Balcarce 146-Mov. suelo  exc-Varios</t>
  </si>
  <si>
    <t xml:space="preserve">      5.02.12.04.59.0056</t>
  </si>
  <si>
    <t>Construc. a 3 -Balcarce 146-Mov. suelo  exc-Varios-Sueldos y Jorna</t>
  </si>
  <si>
    <t xml:space="preserve">      5.02.12.04.59.0057</t>
  </si>
  <si>
    <t>Construc. a 3 -Balcarce 146-Mov. suelo  exc-Varios-Cargas Sociales</t>
  </si>
  <si>
    <t xml:space="preserve">      5.02.12.04.59.0095</t>
  </si>
  <si>
    <t>Construc. a 3 -Balcarce 146-Mov. suelo  exc-Varios-Vacaciones y SA</t>
  </si>
  <si>
    <t xml:space="preserve">    5.02.12.05</t>
  </si>
  <si>
    <t>Construc. a 3 -Balcarce 146-Estructura</t>
  </si>
  <si>
    <t xml:space="preserve">     5.02.12.05.59</t>
  </si>
  <si>
    <t>Construc. a 3 -Balcarce 146-Estructura-Varios</t>
  </si>
  <si>
    <t xml:space="preserve">      5.02.12.05.59.0056</t>
  </si>
  <si>
    <t>Construc. a 3 -Balcarce 146-Estructura-Varios-Sueldos y Jorna</t>
  </si>
  <si>
    <t xml:space="preserve">      5.02.12.05.59.0057</t>
  </si>
  <si>
    <t>Construc. a 3 -Balcarce 146-Estructura-Varios-Cargas Sociales</t>
  </si>
  <si>
    <t xml:space="preserve">      5.02.12.05.59.0095</t>
  </si>
  <si>
    <t>Construc. a 3 -Balcarce 146-Estructura-Varios-Vacaciones y SA</t>
  </si>
  <si>
    <t xml:space="preserve">    5.02.12.06</t>
  </si>
  <si>
    <t>Construc. a 3 -Balcarce 146-AlbaÃ±ilerÃ­a</t>
  </si>
  <si>
    <t xml:space="preserve">     5.02.12.06.59</t>
  </si>
  <si>
    <t>Construc. a 3 -Balcarce 146-AlbaÃ±ilerÃ­a-Varios</t>
  </si>
  <si>
    <t xml:space="preserve">      5.02.12.06.59.0056</t>
  </si>
  <si>
    <t>Construc. a 3 -Balcarce 146-AlbaÃ±ilerÃ­a-Varios-Sueldos y Jorna</t>
  </si>
  <si>
    <t xml:space="preserve">      5.02.12.06.59.0057</t>
  </si>
  <si>
    <t>Construc. a 3 -Balcarce 146-AlbaÃ±ilerÃ­a-Varios-Cargas Sociales</t>
  </si>
  <si>
    <t xml:space="preserve">      5.02.12.06.59.0095</t>
  </si>
  <si>
    <t>Construc. a 3 -Balcarce 146-AlbaÃ±ilerÃ­a-Varios-Vacaciones y SA</t>
  </si>
  <si>
    <t xml:space="preserve">    5.02.12.08</t>
  </si>
  <si>
    <t>Construc. a 3 -Balcarce 146-YeserÃ­a</t>
  </si>
  <si>
    <t xml:space="preserve">     5.02.12.08.59</t>
  </si>
  <si>
    <t>Construc. a 3 -Balcarce 146-YeserÃ­a-Varios</t>
  </si>
  <si>
    <t xml:space="preserve">      5.02.12.08.59.0056</t>
  </si>
  <si>
    <t>Construc. a 3 -Balcarce 146-YeserÃ­a-Varios-Sueldos y Jorna</t>
  </si>
  <si>
    <t xml:space="preserve">      5.02.12.08.59.0057</t>
  </si>
  <si>
    <t>Construc. a 3 -Balcarce 146-YeserÃ­a-Varios-Cargas Sociales</t>
  </si>
  <si>
    <t xml:space="preserve">      5.02.12.08.59.0095</t>
  </si>
  <si>
    <t>Construc. a 3 -Balcarce 146-YeserÃ­a-Varios-Vacaciones y SA</t>
  </si>
  <si>
    <t xml:space="preserve">    5.02.12.09</t>
  </si>
  <si>
    <t>Construc. a 3 -Balcarce 146-CarpinterÃ­a</t>
  </si>
  <si>
    <t xml:space="preserve">     5.02.12.09.59</t>
  </si>
  <si>
    <t>Construc. a 3 -Balcarce 146-CarpinterÃ­a-Varios</t>
  </si>
  <si>
    <t xml:space="preserve">      5.02.12.09.59.0056</t>
  </si>
  <si>
    <t>Construc. a 3 -Balcarce 146-CarpinterÃ­a-Varios-Sueldos y Jorna</t>
  </si>
  <si>
    <t xml:space="preserve">      5.02.12.09.59.0057</t>
  </si>
  <si>
    <t>Construc. a 3 -Balcarce 146-CarpinterÃ­a-Varios-Cargas Sociales</t>
  </si>
  <si>
    <t xml:space="preserve">      5.02.12.09.59.0095</t>
  </si>
  <si>
    <t>Construc. a 3 -Balcarce 146-CarpinterÃ­a-Varios-Vacaciones y SA</t>
  </si>
  <si>
    <t xml:space="preserve">    5.02.12.10</t>
  </si>
  <si>
    <t>Construc. a 3 -Balcarce 146-Sanitarios</t>
  </si>
  <si>
    <t xml:space="preserve">     5.02.12.10.59</t>
  </si>
  <si>
    <t>Construc. a 3 -Balcarce 146-Sanitarios-Varios</t>
  </si>
  <si>
    <t xml:space="preserve">      5.02.12.10.59.0056</t>
  </si>
  <si>
    <t>Construc. a 3 -Balcarce 146-Sanitarios-Varios-Sueldos y Jorna</t>
  </si>
  <si>
    <t xml:space="preserve">      5.02.12.10.59.0057</t>
  </si>
  <si>
    <t>Construc. a 3 -Balcarce 146-Sanitarios-Varios-Cargas Sociales</t>
  </si>
  <si>
    <t xml:space="preserve">      5.02.12.10.59.0095</t>
  </si>
  <si>
    <t>Construc. a 3 -Balcarce 146-Sanitarios-Varios-Vacaciones y SA</t>
  </si>
  <si>
    <t xml:space="preserve">    5.02.12.13</t>
  </si>
  <si>
    <t>Construc. a 3 -Balcarce 146-Pintura</t>
  </si>
  <si>
    <t xml:space="preserve">     5.02.12.13.59</t>
  </si>
  <si>
    <t>Construc. a 3 -Balcarce 146-Pintura-Varios</t>
  </si>
  <si>
    <t xml:space="preserve">      5.02.12.13.59.0056</t>
  </si>
  <si>
    <t>Construc. a 3 -Balcarce 146-Pintura-Varios-Sueldos y Jorna</t>
  </si>
  <si>
    <t xml:space="preserve">      5.02.12.13.59.0057</t>
  </si>
  <si>
    <t>Construc. a 3 -Balcarce 146-Pintura-Varios-Cargas Sociales</t>
  </si>
  <si>
    <t xml:space="preserve">      5.02.12.13.59.0095</t>
  </si>
  <si>
    <t>Construc. a 3 -Balcarce 146-Pintura-Varios-Vacaciones y SA</t>
  </si>
  <si>
    <t xml:space="preserve">    5.02.12.15</t>
  </si>
  <si>
    <t>Construc. a 3 -Balcarce 146-Varios</t>
  </si>
  <si>
    <t xml:space="preserve">     5.02.12.15.59</t>
  </si>
  <si>
    <t>Construc. a 3 -Balcarce 146-Varios-Varios</t>
  </si>
  <si>
    <t xml:space="preserve">      5.02.12.15.59.0302</t>
  </si>
  <si>
    <t>Construc. a 3 -Balcarce 146-Varios-Varios-Edific.terminad</t>
  </si>
  <si>
    <t xml:space="preserve">     5.02.12.15.60</t>
  </si>
  <si>
    <t>Construc. a 3 -Balcarce 146-Varios-Costos Vs MO</t>
  </si>
  <si>
    <t xml:space="preserve">      5.02.12.15.60.0009</t>
  </si>
  <si>
    <t>Construc. a 3 -Balcarce 146-Varios-Costos Vs MO-Herram de Consu</t>
  </si>
  <si>
    <t xml:space="preserve">      5.02.12.15.60.0060</t>
  </si>
  <si>
    <t>Construc. a 3 -Balcarce 146-Varios-Costos Vs MO-Uniformes Perso</t>
  </si>
  <si>
    <t xml:space="preserve">      5.02.12.15.60.0076</t>
  </si>
  <si>
    <t>Construc. a 3 -Balcarce 146-Varios-Costos Vs MO-Gastos Diversos</t>
  </si>
  <si>
    <t xml:space="preserve">      5.02.12.15.60.0097</t>
  </si>
  <si>
    <t>Construc. a 3 -Balcarce 146-Varios-Costos Vs MO-Vacaciones</t>
  </si>
  <si>
    <t xml:space="preserve">      5.02.12.15.60.0098</t>
  </si>
  <si>
    <t>Construc. a 3 -Balcarce 146-Varios-Costos Vs MO-Aguinaldo</t>
  </si>
  <si>
    <t xml:space="preserve">   5.02.14</t>
  </si>
  <si>
    <t xml:space="preserve">    5.02.14.04</t>
  </si>
  <si>
    <t>Construc. a 3 -Balcarce 373-Mov. suelo  exc</t>
  </si>
  <si>
    <t xml:space="preserve">     5.02.14.04.04</t>
  </si>
  <si>
    <t>Construc. a 3 -Balcarce 373-Mov. suelo  exc-Demoliciones</t>
  </si>
  <si>
    <t xml:space="preserve">      5.02.14.04.04.0056</t>
  </si>
  <si>
    <t>Construc. a 3 -Balcarce 373-Mov. suelo  exc-Demoliciones-Sueldos y Jorna</t>
  </si>
  <si>
    <t xml:space="preserve">      5.02.14.04.04.0057</t>
  </si>
  <si>
    <t>Construc. a 3 -Balcarce 373-Mov. suelo  exc-Demoliciones-Cargas Sociales</t>
  </si>
  <si>
    <t xml:space="preserve">     5.02.14.04.59</t>
  </si>
  <si>
    <t>Construc. a 3 -Balcarce 373-Mov. suelo  exc-Varios</t>
  </si>
  <si>
    <t xml:space="preserve">      5.02.14.04.59.0056</t>
  </si>
  <si>
    <t>Construc. a 3 -Balcarce 373-Mov. suelo  exc-Varios-Sueldos y Jorna</t>
  </si>
  <si>
    <t xml:space="preserve">      5.02.14.04.59.0057</t>
  </si>
  <si>
    <t>Construc. a 3 -Balcarce 373-Mov. suelo  exc-Varios-Cargas Sociales</t>
  </si>
  <si>
    <t xml:space="preserve">    5.02.14.05</t>
  </si>
  <si>
    <t>Construc. a 3 -Balcarce 373-Estructura</t>
  </si>
  <si>
    <t xml:space="preserve">     5.02.14.05.59</t>
  </si>
  <si>
    <t>Construc. a 3 -Balcarce 373-Estructura-Varios</t>
  </si>
  <si>
    <t xml:space="preserve">      5.02.14.05.59.0056</t>
  </si>
  <si>
    <t>Construc. a 3 -Balcarce 373-Estructura-Varios-Sueldos y Jorna</t>
  </si>
  <si>
    <t xml:space="preserve">      5.02.14.05.59.0057</t>
  </si>
  <si>
    <t>Construc. a 3 -Balcarce 373-Estructura-Varios-Cargas Sociales</t>
  </si>
  <si>
    <t xml:space="preserve">    5.02.14.06</t>
  </si>
  <si>
    <t>Construc. a 3 -Balcarce 373-AlbaÃ±ilerÃ­a</t>
  </si>
  <si>
    <t xml:space="preserve">     5.02.14.06.59</t>
  </si>
  <si>
    <t>Construc. a 3 -Balcarce 373-AlbaÃ±ilerÃ­a-Varios</t>
  </si>
  <si>
    <t xml:space="preserve">      5.02.14.06.59.0056</t>
  </si>
  <si>
    <t>Construc. a 3 -Balcarce 373-AlbaÃ±ilerÃ­a-Varios-Sueldos y Jorna</t>
  </si>
  <si>
    <t xml:space="preserve">      5.02.14.06.59.0057</t>
  </si>
  <si>
    <t>Construc. a 3 -Balcarce 373-AlbaÃ±ilerÃ­a-Varios-Cargas Sociales</t>
  </si>
  <si>
    <t xml:space="preserve">    5.02.14.08</t>
  </si>
  <si>
    <t>Construc. a 3 -Balcarce 373-YeserÃ­a</t>
  </si>
  <si>
    <t xml:space="preserve">     5.02.14.08.59</t>
  </si>
  <si>
    <t>Construc. a 3 -Balcarce 373-YeserÃ­a-Varios</t>
  </si>
  <si>
    <t xml:space="preserve">      5.02.14.08.59.0056</t>
  </si>
  <si>
    <t>Construc. a 3 -Balcarce 373-YeserÃ­a-Varios-Sueldos y Jorna</t>
  </si>
  <si>
    <t xml:space="preserve">      5.02.14.08.59.0057</t>
  </si>
  <si>
    <t>Construc. a 3 -Balcarce 373-YeserÃ­a-Varios-Cargas Sociales</t>
  </si>
  <si>
    <t xml:space="preserve">    5.02.14.09</t>
  </si>
  <si>
    <t>Construc. a 3 -Balcarce 373-CarpinterÃ­a</t>
  </si>
  <si>
    <t xml:space="preserve">     5.02.14.09.59</t>
  </si>
  <si>
    <t>Construc. a 3 -Balcarce 373-CarpinterÃ­a-Varios</t>
  </si>
  <si>
    <t xml:space="preserve">      5.02.14.09.59.0056</t>
  </si>
  <si>
    <t>Construc. a 3 -Balcarce 373-CarpinterÃ­a-Varios-Sueldos y Jorna</t>
  </si>
  <si>
    <t xml:space="preserve">      5.02.14.09.59.0057</t>
  </si>
  <si>
    <t>Construc. a 3 -Balcarce 373-CarpinterÃ­a-Varios-Cargas Sociales</t>
  </si>
  <si>
    <t xml:space="preserve">    5.02.14.10</t>
  </si>
  <si>
    <t>Construc. a 3 -Balcarce 373-Sanitarios</t>
  </si>
  <si>
    <t xml:space="preserve">     5.02.14.10.59</t>
  </si>
  <si>
    <t>Construc. a 3 -Balcarce 373-Sanitarios-Varios</t>
  </si>
  <si>
    <t xml:space="preserve">      5.02.14.10.59.0056</t>
  </si>
  <si>
    <t>Construc. a 3 -Balcarce 373-Sanitarios-Varios-Sueldos y Jorna</t>
  </si>
  <si>
    <t xml:space="preserve">      5.02.14.10.59.0057</t>
  </si>
  <si>
    <t>Construc. a 3 -Balcarce 373-Sanitarios-Varios-Cargas Sociales</t>
  </si>
  <si>
    <t xml:space="preserve">    5.02.14.13</t>
  </si>
  <si>
    <t>Construc. a 3 -Balcarce 373-Pintura</t>
  </si>
  <si>
    <t xml:space="preserve">     5.02.14.13.59</t>
  </si>
  <si>
    <t>Construc. a 3 -Balcarce 373-Pintura-Varios</t>
  </si>
  <si>
    <t xml:space="preserve">      5.02.14.13.59.0056</t>
  </si>
  <si>
    <t>Construc. a 3 -Balcarce 373-Pintura-Varios-Sueldos y Jorna</t>
  </si>
  <si>
    <t xml:space="preserve">      5.02.14.13.59.0057</t>
  </si>
  <si>
    <t>Construc. a 3 -Balcarce 373-Pintura-Varios-Cargas Sociales</t>
  </si>
  <si>
    <t xml:space="preserve">    5.02.14.15</t>
  </si>
  <si>
    <t>Construc. a 3 -Balcarce 373-Varios</t>
  </si>
  <si>
    <t xml:space="preserve">     5.02.14.15.59</t>
  </si>
  <si>
    <t>Construc. a 3 -Balcarce 373-Varios-Varios</t>
  </si>
  <si>
    <t xml:space="preserve">      5.02.14.15.59.0075</t>
  </si>
  <si>
    <t>Construc. a 3 -Balcarce 373-Varios-Varios-Honorarios</t>
  </si>
  <si>
    <t xml:space="preserve">      5.02.14.15.59.0302</t>
  </si>
  <si>
    <t>Construc. a 3 -Balcarce 373-Varios-Varios-Edific.terminad</t>
  </si>
  <si>
    <t xml:space="preserve">     5.02.14.15.60</t>
  </si>
  <si>
    <t>Construc. a 3 -Balcarce 373-Varios-Costos Vs MO</t>
  </si>
  <si>
    <t xml:space="preserve">      5.02.14.15.60.0009</t>
  </si>
  <si>
    <t>Construc. a 3 -Balcarce 373-Varios-Costos Vs MO-Herram de Consu</t>
  </si>
  <si>
    <t xml:space="preserve">      5.02.14.15.60.0060</t>
  </si>
  <si>
    <t>Construc. a 3 -Balcarce 373-Varios-Costos Vs MO-Uniformes Perso</t>
  </si>
  <si>
    <t xml:space="preserve">      5.02.14.15.60.0076</t>
  </si>
  <si>
    <t>Construc. a 3 -Balcarce 373-Varios-Costos Vs MO-Gastos Diversos</t>
  </si>
  <si>
    <t xml:space="preserve">      5.02.14.15.60.0097</t>
  </si>
  <si>
    <t>Construc. a 3 -Balcarce 373-Varios-Costos Vs MO-Vacaciones</t>
  </si>
  <si>
    <t xml:space="preserve">      5.02.14.15.60.0098</t>
  </si>
  <si>
    <t>Construc. a 3 -Balcarce 373-Varios-Costos Vs MO-Aguinaldo</t>
  </si>
  <si>
    <t xml:space="preserve">    5.02.14.16</t>
  </si>
  <si>
    <t xml:space="preserve">     5.02.14.16.60</t>
  </si>
  <si>
    <t>Construc. a 3 -Balcarce 373-ConstrucciÃ³n-Costos Vs MO</t>
  </si>
  <si>
    <t xml:space="preserve">      5.02.14.16.60.0097</t>
  </si>
  <si>
    <t>Construc. a 3 -Balcarce 373-ConstrucciÃ³n-Costos Vs MO-Vacaciones</t>
  </si>
  <si>
    <t xml:space="preserve">      5.02.14.16.60.0098</t>
  </si>
  <si>
    <t>Construc. a 3 -Balcarce 373-ConstrucciÃ³n-Costos Vs MO-Aguinaldo</t>
  </si>
  <si>
    <t xml:space="preserve">   5.02.15</t>
  </si>
  <si>
    <t xml:space="preserve">    5.02.15.04</t>
  </si>
  <si>
    <t>Construc. a 3 -Laprida 416-Mov. suelo  exc</t>
  </si>
  <si>
    <t xml:space="preserve">     5.02.15.04.04</t>
  </si>
  <si>
    <t>Construc. a 3 -Laprida 416-Mov. suelo  exc-Demoliciones</t>
  </si>
  <si>
    <t xml:space="preserve">      5.02.15.04.04.0056</t>
  </si>
  <si>
    <t>Construc. a 3 -Laprida 416-Mov. suelo  exc-Demoliciones-Sueldos y Jorna</t>
  </si>
  <si>
    <t xml:space="preserve">      5.02.15.04.04.0057</t>
  </si>
  <si>
    <t>Construc. a 3 -Laprida 416-Mov. suelo  exc-Demoliciones-Cargas Sociales</t>
  </si>
  <si>
    <t xml:space="preserve">     5.02.15.04.59</t>
  </si>
  <si>
    <t>Construc. a 3 -Laprida 416-Mov. suelo  exc-Varios</t>
  </si>
  <si>
    <t xml:space="preserve">      5.02.15.04.59.0056</t>
  </si>
  <si>
    <t>Construc. a 3 -Laprida 416-Mov. suelo  exc-Varios-Sueldos y Jorna</t>
  </si>
  <si>
    <t xml:space="preserve">      5.02.15.04.59.0057</t>
  </si>
  <si>
    <t>Construc. a 3 -Laprida 416-Mov. suelo  exc-Varios-Cargas Sociales</t>
  </si>
  <si>
    <t xml:space="preserve">    5.02.15.05</t>
  </si>
  <si>
    <t>Construc. a 3 -Laprida 416-Estructura</t>
  </si>
  <si>
    <t xml:space="preserve">     5.02.15.05.59</t>
  </si>
  <si>
    <t>Construc. a 3 -Laprida 416-Estructura-Varios</t>
  </si>
  <si>
    <t xml:space="preserve">      5.02.15.05.59.0056</t>
  </si>
  <si>
    <t>Construc. a 3 -Laprida 416-Estructura-Varios-Sueldos y Jorna</t>
  </si>
  <si>
    <t xml:space="preserve">      5.02.15.05.59.0057</t>
  </si>
  <si>
    <t>Construc. a 3 -Laprida 416-Estructura-Varios-Cargas Sociales</t>
  </si>
  <si>
    <t xml:space="preserve">    5.02.15.06</t>
  </si>
  <si>
    <t>Construc. a 3 -Laprida 416-AlbaÃ±ilerÃ­a</t>
  </si>
  <si>
    <t xml:space="preserve">     5.02.15.06.59</t>
  </si>
  <si>
    <t>Construc. a 3 -Laprida 416-AlbaÃ±ilerÃ­a-Varios</t>
  </si>
  <si>
    <t xml:space="preserve">      5.02.15.06.59.0056</t>
  </si>
  <si>
    <t>Construc. a 3 -Laprida 416-AlbaÃ±ilerÃ­a-Varios-Sueldos y Jorna</t>
  </si>
  <si>
    <t xml:space="preserve">      5.02.15.06.59.0057</t>
  </si>
  <si>
    <t>Construc. a 3 -Laprida 416-AlbaÃ±ilerÃ­a-Varios-Cargas Sociales</t>
  </si>
  <si>
    <t xml:space="preserve">    5.02.15.08</t>
  </si>
  <si>
    <t>Construc. a 3 -Laprida 416-YeserÃ­a</t>
  </si>
  <si>
    <t xml:space="preserve">     5.02.15.08.59</t>
  </si>
  <si>
    <t>Construc. a 3 -Laprida 416-YeserÃ­a-Varios</t>
  </si>
  <si>
    <t xml:space="preserve">      5.02.15.08.59.0056</t>
  </si>
  <si>
    <t>Construc. a 3 -Laprida 416-YeserÃ­a-Varios-Sueldos y Jorna</t>
  </si>
  <si>
    <t xml:space="preserve">      5.02.15.08.59.0057</t>
  </si>
  <si>
    <t>Construc. a 3 -Laprida 416-YeserÃ­a-Varios-Cargas Sociales</t>
  </si>
  <si>
    <t xml:space="preserve">    5.02.15.09</t>
  </si>
  <si>
    <t>Construc. a 3 -Laprida 416-CarpinterÃ­a</t>
  </si>
  <si>
    <t xml:space="preserve">     5.02.15.09.59</t>
  </si>
  <si>
    <t>Construc. a 3 -Laprida 416-CarpinterÃ­a-Varios</t>
  </si>
  <si>
    <t xml:space="preserve">      5.02.15.09.59.0056</t>
  </si>
  <si>
    <t>Construc. a 3 -Laprida 416-CarpinterÃ­a-Varios-Sueldos y Jorna</t>
  </si>
  <si>
    <t xml:space="preserve">      5.02.15.09.59.0057</t>
  </si>
  <si>
    <t>Construc. a 3 -Laprida 416-CarpinterÃ­a-Varios-Cargas Sociales</t>
  </si>
  <si>
    <t xml:space="preserve">    5.02.15.10</t>
  </si>
  <si>
    <t>Construc. a 3 -Laprida 416-Sanitarios</t>
  </si>
  <si>
    <t xml:space="preserve">     5.02.15.10.59</t>
  </si>
  <si>
    <t>Construc. a 3 -Laprida 416-Sanitarios-Varios</t>
  </si>
  <si>
    <t xml:space="preserve">      5.02.15.10.59.0056</t>
  </si>
  <si>
    <t>Construc. a 3 -Laprida 416-Sanitarios-Varios-Sueldos y Jorna</t>
  </si>
  <si>
    <t xml:space="preserve">      5.02.15.10.59.0057</t>
  </si>
  <si>
    <t>Construc. a 3 -Laprida 416-Sanitarios-Varios-Cargas Sociales</t>
  </si>
  <si>
    <t xml:space="preserve">    5.02.15.13</t>
  </si>
  <si>
    <t>Construc. a 3 -Laprida 416-Pintura</t>
  </si>
  <si>
    <t xml:space="preserve">     5.02.15.13.59</t>
  </si>
  <si>
    <t>Construc. a 3 -Laprida 416-Pintura-Varios</t>
  </si>
  <si>
    <t xml:space="preserve">      5.02.15.13.59.0056</t>
  </si>
  <si>
    <t>Construc. a 3 -Laprida 416-Pintura-Varios-Sueldos y Jorna</t>
  </si>
  <si>
    <t xml:space="preserve">      5.02.15.13.59.0057</t>
  </si>
  <si>
    <t>Construc. a 3 -Laprida 416-Pintura-Varios-Cargas Sociales</t>
  </si>
  <si>
    <t xml:space="preserve">    5.02.15.15</t>
  </si>
  <si>
    <t>Construc. a 3 -Laprida 416-Varios</t>
  </si>
  <si>
    <t xml:space="preserve">     5.02.15.15.59</t>
  </si>
  <si>
    <t>Construc. a 3 -Laprida 416-Varios-Varios</t>
  </si>
  <si>
    <t xml:space="preserve">      5.02.15.15.59.0302</t>
  </si>
  <si>
    <t>Construc. a 3 -Laprida 416-Varios-Varios-Edific.terminad</t>
  </si>
  <si>
    <t xml:space="preserve">     5.02.15.15.60</t>
  </si>
  <si>
    <t>Construc. a 3 -Laprida 416-Varios-Costos Vs MO</t>
  </si>
  <si>
    <t xml:space="preserve">      5.02.15.15.60.0009</t>
  </si>
  <si>
    <t>Construc. a 3 -Laprida 416-Varios-Costos Vs MO-Herram de Consu</t>
  </si>
  <si>
    <t xml:space="preserve">      5.02.15.15.60.0060</t>
  </si>
  <si>
    <t>Construc. a 3 -Laprida 416-Varios-Costos Vs MO-Uniformes Perso</t>
  </si>
  <si>
    <t xml:space="preserve">      5.02.15.15.60.0076</t>
  </si>
  <si>
    <t>Construc. a 3 -Laprida 416-Varios-Costos Vs MO-Gastos Diversos</t>
  </si>
  <si>
    <t xml:space="preserve">      5.02.15.15.60.0097</t>
  </si>
  <si>
    <t>Construc. a 3 -Laprida 416-Varios-Costos Vs MO-Vacaciones</t>
  </si>
  <si>
    <t xml:space="preserve">      5.02.15.15.60.0098</t>
  </si>
  <si>
    <t>Construc. a 3 -Laprida 416-Varios-Costos Vs MO-Aguinaldo</t>
  </si>
  <si>
    <t xml:space="preserve">   5.02.16</t>
  </si>
  <si>
    <t xml:space="preserve">    5.02.16.04</t>
  </si>
  <si>
    <t>Construc. a 3 -Mate de Luna 34-Mov. suelo  exc</t>
  </si>
  <si>
    <t xml:space="preserve">     5.02.16.04.04</t>
  </si>
  <si>
    <t>Construc. a 3 -Mate de Luna 34-Mov. suelo  exc-Demoliciones</t>
  </si>
  <si>
    <t xml:space="preserve">      5.02.16.04.04.0056</t>
  </si>
  <si>
    <t>Construc. a 3 -Mate de Luna 34-Mov. suelo  exc-Demoliciones-Sueldos y Jorna</t>
  </si>
  <si>
    <t xml:space="preserve">      5.02.16.04.04.0057</t>
  </si>
  <si>
    <t>Construc. a 3 -Mate de Luna 34-Mov. suelo  exc-Demoliciones-Cargas Sociales</t>
  </si>
  <si>
    <t xml:space="preserve">     5.02.16.04.59</t>
  </si>
  <si>
    <t>Construc. a 3 -Mate de Luna 34-Mov. suelo  exc-Varios</t>
  </si>
  <si>
    <t xml:space="preserve">      5.02.16.04.59.0056</t>
  </si>
  <si>
    <t>Construc. a 3 -Mate de Luna 34-Mov. suelo  exc-Varios-Sueldos y Jorna</t>
  </si>
  <si>
    <t xml:space="preserve">      5.02.16.04.59.0057</t>
  </si>
  <si>
    <t>Construc. a 3 -Mate de Luna 34-Mov. suelo  exc-Varios-Cargas Sociales</t>
  </si>
  <si>
    <t xml:space="preserve">    5.02.16.05</t>
  </si>
  <si>
    <t>Construc. a 3 -Mate de Luna 34-Estructura</t>
  </si>
  <si>
    <t xml:space="preserve">     5.02.16.05.59</t>
  </si>
  <si>
    <t>Construc. a 3 -Mate de Luna 34-Estructura-Varios</t>
  </si>
  <si>
    <t xml:space="preserve">      5.02.16.05.59.0056</t>
  </si>
  <si>
    <t>Construc. a 3 -Mate de Luna 34-Estructura-Varios-Sueldos y Jorna</t>
  </si>
  <si>
    <t xml:space="preserve">      5.02.16.05.59.0057</t>
  </si>
  <si>
    <t>Construc. a 3 -Mate de Luna 34-Estructura-Varios-Cargas Sociales</t>
  </si>
  <si>
    <t xml:space="preserve">    5.02.16.06</t>
  </si>
  <si>
    <t>Construc. a 3 -Mate de Luna 34-AlbaÃ±ilerÃ­a</t>
  </si>
  <si>
    <t xml:space="preserve">     5.02.16.06.59</t>
  </si>
  <si>
    <t>Construc. a 3 -Mate de Luna 34-AlbaÃ±ilerÃ­a-Varios</t>
  </si>
  <si>
    <t xml:space="preserve">      5.02.16.06.59.0056</t>
  </si>
  <si>
    <t>Construc. a 3 -Mate de Luna 34-AlbaÃ±ilerÃ­a-Varios-Sueldos y Jorna</t>
  </si>
  <si>
    <t xml:space="preserve">      5.02.16.06.59.0057</t>
  </si>
  <si>
    <t>Construc. a 3 -Mate de Luna 34-AlbaÃ±ilerÃ­a-Varios-Cargas Sociales</t>
  </si>
  <si>
    <t xml:space="preserve">    5.02.16.08</t>
  </si>
  <si>
    <t>Construc. a 3 -Mate de Luna 34-YeserÃ­a</t>
  </si>
  <si>
    <t xml:space="preserve">     5.02.16.08.59</t>
  </si>
  <si>
    <t>Construc. a 3 -Mate de Luna 34-YeserÃ­a-Varios</t>
  </si>
  <si>
    <t xml:space="preserve">      5.02.16.08.59.0056</t>
  </si>
  <si>
    <t>Construc. a 3 -Mate de Luna 34-YeserÃ­a-Varios-Sueldos y Jorna</t>
  </si>
  <si>
    <t xml:space="preserve">      5.02.16.08.59.0057</t>
  </si>
  <si>
    <t>Construc. a 3 -Mate de Luna 34-YeserÃ­a-Varios-Cargas Sociales</t>
  </si>
  <si>
    <t xml:space="preserve">    5.02.16.09</t>
  </si>
  <si>
    <t>Construc. a 3 -Mate de Luna 34-CarpinterÃ­a</t>
  </si>
  <si>
    <t xml:space="preserve">     5.02.16.09.59</t>
  </si>
  <si>
    <t>Construc. a 3 -Mate de Luna 34-CarpinterÃ­a-Varios</t>
  </si>
  <si>
    <t xml:space="preserve">      5.02.16.09.59.0056</t>
  </si>
  <si>
    <t>Construc. a 3 -Mate de Luna 34-CarpinterÃ­a-Varios-Sueldos y Jorna</t>
  </si>
  <si>
    <t xml:space="preserve">      5.02.16.09.59.0057</t>
  </si>
  <si>
    <t>Construc. a 3 -Mate de Luna 34-CarpinterÃ­a-Varios-Cargas Sociales</t>
  </si>
  <si>
    <t xml:space="preserve">    5.02.16.10</t>
  </si>
  <si>
    <t>Construc. a 3 -Mate de Luna 34-Sanitarios</t>
  </si>
  <si>
    <t xml:space="preserve">     5.02.16.10.59</t>
  </si>
  <si>
    <t>Construc. a 3 -Mate de Luna 34-Sanitarios-Varios</t>
  </si>
  <si>
    <t xml:space="preserve">      5.02.16.10.59.0056</t>
  </si>
  <si>
    <t>Construc. a 3 -Mate de Luna 34-Sanitarios-Varios-Sueldos y Jorna</t>
  </si>
  <si>
    <t xml:space="preserve">      5.02.16.10.59.0057</t>
  </si>
  <si>
    <t>Construc. a 3 -Mate de Luna 34-Sanitarios-Varios-Cargas Sociales</t>
  </si>
  <si>
    <t xml:space="preserve">    5.02.16.13</t>
  </si>
  <si>
    <t>Construc. a 3 -Mate de Luna 34-Pintura</t>
  </si>
  <si>
    <t xml:space="preserve">     5.02.16.13.59</t>
  </si>
  <si>
    <t>Construc. a 3 -Mate de Luna 34-Pintura-Varios</t>
  </si>
  <si>
    <t xml:space="preserve">      5.02.16.13.59.0056</t>
  </si>
  <si>
    <t>Construc. a 3 -Mate de Luna 34-Pintura-Varios-Sueldos y Jorna</t>
  </si>
  <si>
    <t xml:space="preserve">      5.02.16.13.59.0057</t>
  </si>
  <si>
    <t>Construc. a 3 -Mate de Luna 34-Pintura-Varios-Cargas Sociales</t>
  </si>
  <si>
    <t xml:space="preserve">    5.02.16.15</t>
  </si>
  <si>
    <t>Construc. a 3 -Mate de Luna 34-Varios</t>
  </si>
  <si>
    <t xml:space="preserve">     5.02.16.15.59</t>
  </si>
  <si>
    <t>Construc. a 3 -Mate de Luna 34-Varios-Varios</t>
  </si>
  <si>
    <t xml:space="preserve">      5.02.16.15.59.0302</t>
  </si>
  <si>
    <t>Construc. a 3 -Mate de Luna 34-Varios-Varios-Edific.terminad</t>
  </si>
  <si>
    <t xml:space="preserve">     5.02.16.15.60</t>
  </si>
  <si>
    <t>Construc. a 3 -Mate de Luna 34-Varios-Costos Vs MO</t>
  </si>
  <si>
    <t xml:space="preserve">      5.02.16.15.60.0009</t>
  </si>
  <si>
    <t>Construc. a 3 -Mate de Luna 34-Varios-Costos Vs MO-Herram de Consu</t>
  </si>
  <si>
    <t xml:space="preserve">      5.02.16.15.60.0060</t>
  </si>
  <si>
    <t>Construc. a 3 -Mate de Luna 34-Varios-Costos Vs MO-Uniformes Perso</t>
  </si>
  <si>
    <t xml:space="preserve">      5.02.16.15.60.0076</t>
  </si>
  <si>
    <t>Construc. a 3 -Mate de Luna 34-Varios-Costos Vs MO-Gastos Diversos</t>
  </si>
  <si>
    <t xml:space="preserve">   5.02.17</t>
  </si>
  <si>
    <t xml:space="preserve">    5.02.17.04</t>
  </si>
  <si>
    <t>Construc. a 3 -Santiago 915-Mov. suelo  exc</t>
  </si>
  <si>
    <t xml:space="preserve">     5.02.17.04.04</t>
  </si>
  <si>
    <t>Construc. a 3 -Santiago 915-Mov. suelo  exc-Demoliciones</t>
  </si>
  <si>
    <t xml:space="preserve">      5.02.17.04.04.0056</t>
  </si>
  <si>
    <t>Construc. a 3 -Santiago 915-Mov. suelo  exc-Demoliciones-Sueldos y Jorna</t>
  </si>
  <si>
    <t xml:space="preserve">      5.02.17.04.04.0057</t>
  </si>
  <si>
    <t>Construc. a 3 -Santiago 915-Mov. suelo  exc-Demoliciones-Cargas Sociales</t>
  </si>
  <si>
    <t xml:space="preserve">     5.02.17.04.59</t>
  </si>
  <si>
    <t>Construc. a 3 -Santiago 915-Mov. suelo  exc-Varios</t>
  </si>
  <si>
    <t xml:space="preserve">      5.02.17.04.59.0056</t>
  </si>
  <si>
    <t>Construc. a 3 -Santiago 915-Mov. suelo  exc-Varios-Sueldos y Jorna</t>
  </si>
  <si>
    <t xml:space="preserve">      5.02.17.04.59.0057</t>
  </si>
  <si>
    <t>Construc. a 3 -Santiago 915-Mov. suelo  exc-Varios-Cargas Sociales</t>
  </si>
  <si>
    <t xml:space="preserve">    5.02.17.05</t>
  </si>
  <si>
    <t>Construc. a 3 -Santiago 915-Estructura</t>
  </si>
  <si>
    <t xml:space="preserve">     5.02.17.05.59</t>
  </si>
  <si>
    <t>Construc. a 3 -Santiago 915-Estructura-Varios</t>
  </si>
  <si>
    <t xml:space="preserve">      5.02.17.05.59.0056</t>
  </si>
  <si>
    <t>Construc. a 3 -Santiago 915-Estructura-Varios-Sueldos y Jorna</t>
  </si>
  <si>
    <t xml:space="preserve">      5.02.17.05.59.0057</t>
  </si>
  <si>
    <t>Construc. a 3 -Santiago 915-Estructura-Varios-Cargas Sociales</t>
  </si>
  <si>
    <t xml:space="preserve">    5.02.17.06</t>
  </si>
  <si>
    <t>Construc. a 3 -Santiago 915-AlbaÃ±ilerÃ­a</t>
  </si>
  <si>
    <t xml:space="preserve">     5.02.17.06.59</t>
  </si>
  <si>
    <t>Construc. a 3 -Santiago 915-AlbaÃ±ilerÃ­a-Varios</t>
  </si>
  <si>
    <t xml:space="preserve">      5.02.17.06.59.0056</t>
  </si>
  <si>
    <t>Construc. a 3 -Santiago 915-AlbaÃ±ilerÃ­a-Varios-Sueldos y Jorna</t>
  </si>
  <si>
    <t xml:space="preserve">      5.02.17.06.59.0057</t>
  </si>
  <si>
    <t>Construc. a 3 -Santiago 915-AlbaÃ±ilerÃ­a-Varios-Cargas Sociales</t>
  </si>
  <si>
    <t xml:space="preserve">    5.02.17.08</t>
  </si>
  <si>
    <t>Construc. a 3 -Santiago 915-YeserÃ­a</t>
  </si>
  <si>
    <t xml:space="preserve">     5.02.17.08.59</t>
  </si>
  <si>
    <t>Construc. a 3 -Santiago 915-YeserÃ­a-Varios</t>
  </si>
  <si>
    <t xml:space="preserve">      5.02.17.08.59.0056</t>
  </si>
  <si>
    <t>Construc. a 3 -Santiago 915-YeserÃ­a-Varios-Sueldos y Jorna</t>
  </si>
  <si>
    <t xml:space="preserve">      5.02.17.08.59.0057</t>
  </si>
  <si>
    <t>Construc. a 3 -Santiago 915-YeserÃ­a-Varios-Cargas Sociales</t>
  </si>
  <si>
    <t xml:space="preserve">    5.02.17.09</t>
  </si>
  <si>
    <t>Construc. a 3 -Santiago 915-CarpinterÃ­a</t>
  </si>
  <si>
    <t xml:space="preserve">     5.02.17.09.59</t>
  </si>
  <si>
    <t>Construc. a 3 -Santiago 915-CarpinterÃ­a-Varios</t>
  </si>
  <si>
    <t xml:space="preserve">      5.02.17.09.59.0056</t>
  </si>
  <si>
    <t>Construc. a 3 -Santiago 915-CarpinterÃ­a-Varios-Sueldos y Jorna</t>
  </si>
  <si>
    <t xml:space="preserve">      5.02.17.09.59.0057</t>
  </si>
  <si>
    <t>Construc. a 3 -Santiago 915-CarpinterÃ­a-Varios-Cargas Sociales</t>
  </si>
  <si>
    <t xml:space="preserve">    5.02.17.10</t>
  </si>
  <si>
    <t>Construc. a 3 -Santiago 915-Sanitarios</t>
  </si>
  <si>
    <t xml:space="preserve">     5.02.17.10.59</t>
  </si>
  <si>
    <t>Construc. a 3 -Santiago 915-Sanitarios-Varios</t>
  </si>
  <si>
    <t xml:space="preserve">      5.02.17.10.59.0056</t>
  </si>
  <si>
    <t>Construc. a 3 -Santiago 915-Sanitarios-Varios-Sueldos y Jorna</t>
  </si>
  <si>
    <t xml:space="preserve">      5.02.17.10.59.0057</t>
  </si>
  <si>
    <t>Construc. a 3 -Santiago 915-Sanitarios-Varios-Cargas Sociales</t>
  </si>
  <si>
    <t xml:space="preserve">    5.02.17.13</t>
  </si>
  <si>
    <t>Construc. a 3 -Santiago 915-Pintura</t>
  </si>
  <si>
    <t xml:space="preserve">     5.02.17.13.59</t>
  </si>
  <si>
    <t>Construc. a 3 -Santiago 915-Pintura-Varios</t>
  </si>
  <si>
    <t xml:space="preserve">      5.02.17.13.59.0056</t>
  </si>
  <si>
    <t>Construc. a 3 -Santiago 915-Pintura-Varios-Sueldos y Jorna</t>
  </si>
  <si>
    <t xml:space="preserve">      5.02.17.13.59.0057</t>
  </si>
  <si>
    <t>Construc. a 3 -Santiago 915-Pintura-Varios-Cargas Sociales</t>
  </si>
  <si>
    <t xml:space="preserve">    5.02.17.15</t>
  </si>
  <si>
    <t>Construc. a 3 -Santiago 915-Varios</t>
  </si>
  <si>
    <t xml:space="preserve">     5.02.17.15.59</t>
  </si>
  <si>
    <t>Construc. a 3 -Santiago 915-Varios-Varios</t>
  </si>
  <si>
    <t xml:space="preserve">      5.02.17.15.59.0302</t>
  </si>
  <si>
    <t>Construc. a 3 -Santiago 915-Varios-Varios-Edific.terminad</t>
  </si>
  <si>
    <t xml:space="preserve">     5.02.17.15.60</t>
  </si>
  <si>
    <t>Construc. a 3 -Santiago 915-Varios-Costos Vs MO</t>
  </si>
  <si>
    <t xml:space="preserve">      5.02.17.15.60.0009</t>
  </si>
  <si>
    <t>Construc. a 3 -Santiago 915-Varios-Costos Vs MO-Herram de Consu</t>
  </si>
  <si>
    <t xml:space="preserve">      5.02.17.15.60.0060</t>
  </si>
  <si>
    <t>Construc. a 3 -Santiago 915-Varios-Costos Vs MO-Uniformes Perso</t>
  </si>
  <si>
    <t xml:space="preserve">      5.02.17.15.60.0076</t>
  </si>
  <si>
    <t>Construc. a 3 -Santiago 915-Varios-Costos Vs MO-Gastos Diversos</t>
  </si>
  <si>
    <t xml:space="preserve">      5.02.17.15.60.0097</t>
  </si>
  <si>
    <t>Construc. a 3 -Santiago 915-Varios-Costos Vs MO-Vacaciones</t>
  </si>
  <si>
    <t xml:space="preserve">      5.02.17.15.60.0098</t>
  </si>
  <si>
    <t>Construc. a 3 -Santiago 915-Varios-Costos Vs MO-Aguinaldo</t>
  </si>
  <si>
    <t xml:space="preserve">   5.02.18</t>
  </si>
  <si>
    <t xml:space="preserve">    5.02.18.04</t>
  </si>
  <si>
    <t>Construc. a 3 -Camino del Peru-Mov. suelo  exc</t>
  </si>
  <si>
    <t xml:space="preserve">     5.02.18.04.04</t>
  </si>
  <si>
    <t>Construc. a 3 -Camino del Peru-Mov. suelo  exc-Demoliciones</t>
  </si>
  <si>
    <t xml:space="preserve">      5.02.18.04.04.0056</t>
  </si>
  <si>
    <t>Construc. a 3 -Camino del Peru-Mov. suelo  exc-Demoliciones-Sueldos y Jorna</t>
  </si>
  <si>
    <t xml:space="preserve">      5.02.18.04.04.0057</t>
  </si>
  <si>
    <t>Construc. a 3 -Camino del Peru-Mov. suelo  exc-Demoliciones-Cargas Sociales</t>
  </si>
  <si>
    <t xml:space="preserve">     5.02.18.04.59</t>
  </si>
  <si>
    <t>Construc. a 3 -Camino del Peru-Mov. suelo  exc-Varios</t>
  </si>
  <si>
    <t xml:space="preserve">      5.02.18.04.59.0056</t>
  </si>
  <si>
    <t>Construc. a 3 -Camino del Peru-Mov. suelo  exc-Varios-Sueldos y Jorna</t>
  </si>
  <si>
    <t xml:space="preserve">      5.02.18.04.59.0057</t>
  </si>
  <si>
    <t>Construc. a 3 -Camino del Peru-Mov. suelo  exc-Varios-Cargas Sociales</t>
  </si>
  <si>
    <t xml:space="preserve">    5.02.18.05</t>
  </si>
  <si>
    <t>Construc. a 3 -Camino del Peru-Estructura</t>
  </si>
  <si>
    <t xml:space="preserve">     5.02.18.05.59</t>
  </si>
  <si>
    <t>Construc. a 3 -Camino del Peru-Estructura-Varios</t>
  </si>
  <si>
    <t xml:space="preserve">      5.02.18.05.59.0056</t>
  </si>
  <si>
    <t>Construc. a 3 -Camino del Peru-Estructura-Varios-Sueldos y Jorna</t>
  </si>
  <si>
    <t xml:space="preserve">    5.02.18.06</t>
  </si>
  <si>
    <t>Construc. a 3 -Camino del Peru-AlbaÃ±ilerÃ­a</t>
  </si>
  <si>
    <t xml:space="preserve">     5.02.18.06.59</t>
  </si>
  <si>
    <t>Construc. a 3 -Camino del Peru-AlbaÃ±ilerÃ­a-Varios</t>
  </si>
  <si>
    <t xml:space="preserve">      5.02.18.06.59.0056</t>
  </si>
  <si>
    <t>Construc. a 3 -Camino del Peru-AlbaÃ±ilerÃ­a-Varios-Sueldos y Jorna</t>
  </si>
  <si>
    <t xml:space="preserve">      5.02.18.06.59.0057</t>
  </si>
  <si>
    <t>Construc. a 3 -Camino del Peru-AlbaÃ±ilerÃ­a-Varios-Cargas Sociales</t>
  </si>
  <si>
    <t xml:space="preserve">    5.02.18.08</t>
  </si>
  <si>
    <t>Construc. a 3 -Camino del Peru-YeserÃ­a</t>
  </si>
  <si>
    <t xml:space="preserve">     5.02.18.08.59</t>
  </si>
  <si>
    <t>Construc. a 3 -Camino del Peru-YeserÃ­a-Varios</t>
  </si>
  <si>
    <t xml:space="preserve">      5.02.18.08.59.0056</t>
  </si>
  <si>
    <t>Construc. a 3 -Camino del Peru-YeserÃ­a-Varios-Sueldos y Jorna</t>
  </si>
  <si>
    <t xml:space="preserve">      5.02.18.08.59.0057</t>
  </si>
  <si>
    <t>Construc. a 3 -Camino del Peru-YeserÃ­a-Varios-Cargas Sociales</t>
  </si>
  <si>
    <t xml:space="preserve">    5.02.18.09</t>
  </si>
  <si>
    <t>Construc. a 3 -Camino del Peru-CarpinterÃ­a</t>
  </si>
  <si>
    <t xml:space="preserve">     5.02.18.09.59</t>
  </si>
  <si>
    <t>Construc. a 3 -Camino del Peru-CarpinterÃ­a-Varios</t>
  </si>
  <si>
    <t xml:space="preserve">      5.02.18.09.59.0056</t>
  </si>
  <si>
    <t>Construc. a 3 -Camino del Peru-CarpinterÃ­a-Varios-Sueldos y Jorna</t>
  </si>
  <si>
    <t xml:space="preserve">      5.02.18.09.59.0057</t>
  </si>
  <si>
    <t>Construc. a 3 -Camino del Peru-CarpinterÃ­a-Varios-Cargas Sociales</t>
  </si>
  <si>
    <t xml:space="preserve">    5.02.18.10</t>
  </si>
  <si>
    <t>Construc. a 3 -Camino del Peru-Sanitarios</t>
  </si>
  <si>
    <t xml:space="preserve">     5.02.18.10.59</t>
  </si>
  <si>
    <t>Construc. a 3 -Camino del Peru-Sanitarios-Varios</t>
  </si>
  <si>
    <t xml:space="preserve">      5.02.18.10.59.0056</t>
  </si>
  <si>
    <t>Construc. a 3 -Camino del Peru-Sanitarios-Varios-Sueldos y Jorna</t>
  </si>
  <si>
    <t xml:space="preserve">      5.02.18.10.59.0057</t>
  </si>
  <si>
    <t>Construc. a 3 -Camino del Peru-Sanitarios-Varios-Cargas Sociales</t>
  </si>
  <si>
    <t xml:space="preserve">    5.02.18.13</t>
  </si>
  <si>
    <t>Construc. a 3 -Camino del Peru-Pintura</t>
  </si>
  <si>
    <t xml:space="preserve">     5.02.18.13.59</t>
  </si>
  <si>
    <t>Construc. a 3 -Camino del Peru-Pintura-Varios</t>
  </si>
  <si>
    <t xml:space="preserve">      5.02.18.13.59.0056</t>
  </si>
  <si>
    <t>Construc. a 3 -Camino del Peru-Pintura-Varios-Sueldos y Jorna</t>
  </si>
  <si>
    <t xml:space="preserve">      5.02.18.13.59.0057</t>
  </si>
  <si>
    <t>Construc. a 3 -Camino del Peru-Pintura-Varios-Cargas Sociales</t>
  </si>
  <si>
    <t xml:space="preserve">    5.02.18.15</t>
  </si>
  <si>
    <t>Construc. a 3 -Camino del Peru-Varios</t>
  </si>
  <si>
    <t xml:space="preserve">     5.02.18.15.59</t>
  </si>
  <si>
    <t>Construc. a 3 -Camino del Peru-Varios-Varios</t>
  </si>
  <si>
    <t xml:space="preserve">      5.02.18.15.59.0302</t>
  </si>
  <si>
    <t>Construc. a 3 -Camino del Peru-Varios-Varios-Edific.terminad</t>
  </si>
  <si>
    <t xml:space="preserve">     5.02.18.15.60</t>
  </si>
  <si>
    <t>Construc. a 3 -Camino del Peru-Varios-Costos Vs MO</t>
  </si>
  <si>
    <t xml:space="preserve">      5.02.18.15.60.0009</t>
  </si>
  <si>
    <t>Construc. a 3 -Camino del Peru-Varios-Costos Vs MO-Herram de Consu</t>
  </si>
  <si>
    <t xml:space="preserve">      5.02.18.15.60.0060</t>
  </si>
  <si>
    <t>Construc. a 3 -Camino del Peru-Varios-Costos Vs MO-Uniformes Perso</t>
  </si>
  <si>
    <t xml:space="preserve">      5.02.18.15.60.0076</t>
  </si>
  <si>
    <t>Construc. a 3 -Camino del Peru-Varios-Costos Vs MO-Gastos Diversos</t>
  </si>
  <si>
    <t xml:space="preserve">      5.02.18.15.60.0097</t>
  </si>
  <si>
    <t>Construc. a 3 -Camino del Peru-Varios-Costos Vs MO-Vacaciones</t>
  </si>
  <si>
    <t xml:space="preserve">      5.02.18.15.60.0098</t>
  </si>
  <si>
    <t>Construc. a 3 -Camino del Peru-Varios-Costos Vs MO-Aguinaldo</t>
  </si>
  <si>
    <t xml:space="preserve">   5.02.19</t>
  </si>
  <si>
    <t>Construc. a 3 -Colegio San Jud</t>
  </si>
  <si>
    <t xml:space="preserve">    5.02.19.01</t>
  </si>
  <si>
    <t>Construc. a 3 -Colegio San Jud-Proyecto y dire</t>
  </si>
  <si>
    <t xml:space="preserve">     5.02.19.01.01</t>
  </si>
  <si>
    <t>Construc. a 3 -Colegio San Jud-Proyecto y dire-Honorarios proy</t>
  </si>
  <si>
    <t xml:space="preserve">      5.02.19.01.01.0075</t>
  </si>
  <si>
    <t>Construc. a 3 -Colegio San Jud-Proyecto y dire-Honorarios proy-Honorarios</t>
  </si>
  <si>
    <t xml:space="preserve">    5.02.19.02</t>
  </si>
  <si>
    <t>Construc. a 3 -Colegio San Jud-Tasas  der y se</t>
  </si>
  <si>
    <t xml:space="preserve">     5.02.19.02.02</t>
  </si>
  <si>
    <t>Construc. a 3 -Colegio San Jud-Tasas  der y se-Trab. prelimina</t>
  </si>
  <si>
    <t xml:space="preserve">      5.02.19.02.02.0004</t>
  </si>
  <si>
    <t>Construc. a 3 -Colegio San Jud-Tasas  der y se-Trab. prelimina-Permisos munici</t>
  </si>
  <si>
    <t xml:space="preserve">      5.02.19.02.02.0005</t>
  </si>
  <si>
    <t>Construc. a 3 -Colegio San Jud-Tasas  der y se-Trab. prelimina-Sellados</t>
  </si>
  <si>
    <t xml:space="preserve">      5.02.19.02.02.0006</t>
  </si>
  <si>
    <t>Construc. a 3 -Colegio San Jud-Tasas  der y se-Trab. prelimina-Otros Gtos Inic</t>
  </si>
  <si>
    <t xml:space="preserve">      5.02.19.02.02.0008</t>
  </si>
  <si>
    <t xml:space="preserve">Construc. a 3 -Colegio San Jud-Tasas  der y se-Trab. prelimina-Luz Agua Otros </t>
  </si>
  <si>
    <t xml:space="preserve">    5.02.19.03</t>
  </si>
  <si>
    <t>Construc. a 3 -Colegio San Jud-Movilidad y fle</t>
  </si>
  <si>
    <t xml:space="preserve">     5.02.19.03.03</t>
  </si>
  <si>
    <t>Construc. a 3 -Colegio San Jud-Movilidad y fle-Movilidad y Fle</t>
  </si>
  <si>
    <t xml:space="preserve">      5.02.19.03.03.0007</t>
  </si>
  <si>
    <t>Construc. a 3 -Colegio San Jud-Movilidad y fle-Movilidad y Fle-Fletes</t>
  </si>
  <si>
    <t xml:space="preserve">    5.02.19.04</t>
  </si>
  <si>
    <t>Construc. a 3 -Colegio San Jud-Mov. suelo  exc</t>
  </si>
  <si>
    <t xml:space="preserve">     5.02.19.04.04</t>
  </si>
  <si>
    <t>Construc. a 3 -Colegio San Jud-Mov. suelo  exc-Demoliciones</t>
  </si>
  <si>
    <t xml:space="preserve">      5.02.19.04.04.0002</t>
  </si>
  <si>
    <t>Construc. a 3 -Colegio San Jud-Mov. suelo  exc-Demoliciones-Mano obra Batia</t>
  </si>
  <si>
    <t xml:space="preserve">      5.02.19.04.04.0003</t>
  </si>
  <si>
    <t xml:space="preserve">Construc. a 3 -Colegio San Jud-Mov. suelo  exc-Demoliciones-Mano obra de 3 </t>
  </si>
  <si>
    <t xml:space="preserve">      5.02.19.04.04.0057</t>
  </si>
  <si>
    <t>Construc. a 3 -Colegio San Jud-Mov. suelo  exc-Demoliciones-Cargas Sociales</t>
  </si>
  <si>
    <t xml:space="preserve">     5.02.19.04.59</t>
  </si>
  <si>
    <t>Construc. a 3 -Colegio San Jud-Mov. suelo  exc-Varios</t>
  </si>
  <si>
    <t xml:space="preserve">      5.02.19.04.59.0001</t>
  </si>
  <si>
    <t>Construc. a 3 -Colegio San Jud-Mov. suelo  exc-Varios-Materiales</t>
  </si>
  <si>
    <t xml:space="preserve">      5.02.19.04.59.0056</t>
  </si>
  <si>
    <t>Construc. a 3 -Colegio San Jud-Mov. suelo  exc-Varios-Sueldos y Jorna</t>
  </si>
  <si>
    <t xml:space="preserve">      5.02.19.04.59.0057</t>
  </si>
  <si>
    <t>Construc. a 3 -Colegio San Jud-Mov. suelo  exc-Varios-Cargas Sociales</t>
  </si>
  <si>
    <t xml:space="preserve">    5.02.19.05</t>
  </si>
  <si>
    <t>Construc. a 3 -Colegio San Jud-Estructura</t>
  </si>
  <si>
    <t xml:space="preserve">     5.02.19.05.59</t>
  </si>
  <si>
    <t>Construc. a 3 -Colegio San Jud-Estructura-Varios</t>
  </si>
  <si>
    <t xml:space="preserve">      5.02.19.05.59.0001</t>
  </si>
  <si>
    <t>Construc. a 3 -Colegio San Jud-Estructura-Varios-Materiales</t>
  </si>
  <si>
    <t xml:space="preserve">      5.02.19.05.59.0003</t>
  </si>
  <si>
    <t xml:space="preserve">Construc. a 3 -Colegio San Jud-Estructura-Varios-Mano obra de 3 </t>
  </si>
  <si>
    <t xml:space="preserve">      5.02.19.05.59.0056</t>
  </si>
  <si>
    <t>Construc. a 3 -Colegio San Jud-Estructura-Varios-Sueldos y Jorna</t>
  </si>
  <si>
    <t xml:space="preserve">      5.02.19.05.59.0057</t>
  </si>
  <si>
    <t>Construc. a 3 -Colegio San Jud-Estructura-Varios-Cargas Sociales</t>
  </si>
  <si>
    <t xml:space="preserve">    5.02.19.06</t>
  </si>
  <si>
    <t>Construc. a 3 -Colegio San Jud-AlbaÃ±ilerÃ­a</t>
  </si>
  <si>
    <t xml:space="preserve">     5.02.19.06.14</t>
  </si>
  <si>
    <t>Construc. a 3 -Colegio San Jud-AlbaÃ±ilerÃ­a-MamposterÃ­a</t>
  </si>
  <si>
    <t xml:space="preserve">      5.02.19.06.14.0003</t>
  </si>
  <si>
    <t xml:space="preserve">Construc. a 3 -Colegio San Jud-AlbaÃ±ilerÃ­a-MamposterÃ­a-Mano obra de 3 </t>
  </si>
  <si>
    <t xml:space="preserve">     5.02.19.06.15</t>
  </si>
  <si>
    <t>Construc. a 3 -Colegio San Jud-AlbaÃ±ilerÃ­a-Aislaciones hid</t>
  </si>
  <si>
    <t xml:space="preserve">      5.02.19.06.15.0003</t>
  </si>
  <si>
    <t xml:space="preserve">Construc. a 3 -Colegio San Jud-AlbaÃ±ilerÃ­a-Aislaciones hid-Mano obra de 3 </t>
  </si>
  <si>
    <t xml:space="preserve">     5.02.19.06.16</t>
  </si>
  <si>
    <t>Construc. a 3 -Colegio San Jud-AlbaÃ±ilerÃ­a-Revoques</t>
  </si>
  <si>
    <t xml:space="preserve">      5.02.19.06.16.0003</t>
  </si>
  <si>
    <t xml:space="preserve">Construc. a 3 -Colegio San Jud-AlbaÃ±ilerÃ­a-Revoques-Mano obra de 3 </t>
  </si>
  <si>
    <t xml:space="preserve">     5.02.19.06.17</t>
  </si>
  <si>
    <t>Construc. a 3 -Colegio San Jud-AlbaÃ±ilerÃ­a-Contrapisos y c</t>
  </si>
  <si>
    <t xml:space="preserve">      5.02.19.06.17.0003</t>
  </si>
  <si>
    <t xml:space="preserve">Construc. a 3 -Colegio San Jud-AlbaÃ±ilerÃ­a-Contrapisos y c-Mano obra de 3 </t>
  </si>
  <si>
    <t xml:space="preserve">     5.02.19.06.18</t>
  </si>
  <si>
    <t>Construc. a 3 -Colegio San Jud-AlbaÃ±ilerÃ­a-Cubiertas</t>
  </si>
  <si>
    <t xml:space="preserve">      5.02.19.06.18.0001</t>
  </si>
  <si>
    <t>Construc. a 3 -Colegio San Jud-AlbaÃ±ilerÃ­a-Cubiertas-Materiales</t>
  </si>
  <si>
    <t xml:space="preserve">      5.02.19.06.18.0003</t>
  </si>
  <si>
    <t xml:space="preserve">Construc. a 3 -Colegio San Jud-AlbaÃ±ilerÃ­a-Cubiertas-Mano obra de 3 </t>
  </si>
  <si>
    <t xml:space="preserve">     5.02.19.06.59</t>
  </si>
  <si>
    <t>Construc. a 3 -Colegio San Jud-AlbaÃ±ilerÃ­a-Varios</t>
  </si>
  <si>
    <t xml:space="preserve">      5.02.19.06.59.0056</t>
  </si>
  <si>
    <t>Construc. a 3 -Colegio San Jud-AlbaÃ±ilerÃ­a-Varios-Sueldos y Jorna</t>
  </si>
  <si>
    <t xml:space="preserve">      5.02.19.06.59.0057</t>
  </si>
  <si>
    <t>Construc. a 3 -Colegio San Jud-AlbaÃ±ilerÃ­a-Varios-Cargas Sociales</t>
  </si>
  <si>
    <t xml:space="preserve">    5.02.19.07</t>
  </si>
  <si>
    <t>Construc. a 3 -Colegio San Jud-Revestimiento</t>
  </si>
  <si>
    <t xml:space="preserve">     5.02.19.07.21</t>
  </si>
  <si>
    <t>Construc. a 3 -Colegio San Jud-Revestimiento-Pisos</t>
  </si>
  <si>
    <t xml:space="preserve">      5.02.19.07.21.0001</t>
  </si>
  <si>
    <t>Construc. a 3 -Colegio San Jud-Revestimiento-Pisos-Materiales</t>
  </si>
  <si>
    <t xml:space="preserve">      5.02.19.07.21.0003</t>
  </si>
  <si>
    <t xml:space="preserve">Construc. a 3 -Colegio San Jud-Revestimiento-Pisos-Mano obra de 3 </t>
  </si>
  <si>
    <t xml:space="preserve">     5.02.19.07.22</t>
  </si>
  <si>
    <t>Construc. a 3 -Colegio San Jud-Revestimiento-ZÃ³calos</t>
  </si>
  <si>
    <t xml:space="preserve">      5.02.19.07.22.0001</t>
  </si>
  <si>
    <t>Construc. a 3 -Colegio San Jud-Revestimiento-ZÃ³calos-Materiales</t>
  </si>
  <si>
    <t xml:space="preserve">      5.02.19.07.22.0003</t>
  </si>
  <si>
    <t xml:space="preserve">Construc. a 3 -Colegio San Jud-Revestimiento-ZÃ³calos-Mano obra de 3 </t>
  </si>
  <si>
    <t xml:space="preserve">     5.02.19.07.23</t>
  </si>
  <si>
    <t>Construc. a 3 -Colegio San Jud-Revestimiento-Revestimiento</t>
  </si>
  <si>
    <t xml:space="preserve">      5.02.19.07.23.0001</t>
  </si>
  <si>
    <t>Construc. a 3 -Colegio San Jud-Revestimiento-Revestimiento-Materiales</t>
  </si>
  <si>
    <t xml:space="preserve">      5.02.19.07.23.0003</t>
  </si>
  <si>
    <t xml:space="preserve">Construc. a 3 -Colegio San Jud-Revestimiento-Revestimiento-Mano obra de 3 </t>
  </si>
  <si>
    <t xml:space="preserve">     5.02.19.07.24</t>
  </si>
  <si>
    <t>Construc. a 3 -Colegio San Jud-Revestimiento-Revest granÃ­tic</t>
  </si>
  <si>
    <t xml:space="preserve">      5.02.19.07.24.0001</t>
  </si>
  <si>
    <t>Construc. a 3 -Colegio San Jud-Revestimiento-Revest granÃ­tic-Materiales</t>
  </si>
  <si>
    <t xml:space="preserve">      5.02.19.07.24.0003</t>
  </si>
  <si>
    <t xml:space="preserve">Construc. a 3 -Colegio San Jud-Revestimiento-Revest granÃ­tic-Mano obra de 3 </t>
  </si>
  <si>
    <t xml:space="preserve">     5.02.19.07.59</t>
  </si>
  <si>
    <t>Construc. a 3 -Colegio San Jud-Revestimiento-Varios</t>
  </si>
  <si>
    <t xml:space="preserve">      5.02.19.07.59.0056</t>
  </si>
  <si>
    <t>Construc. a 3 -Colegio San Jud-Revestimiento-Varios-Sueldos y Jorna</t>
  </si>
  <si>
    <t xml:space="preserve">      5.02.19.07.59.0057</t>
  </si>
  <si>
    <t>Construc. a 3 -Colegio San Jud-Revestimiento-Varios-Cargas Sociales</t>
  </si>
  <si>
    <t xml:space="preserve">    5.02.19.08</t>
  </si>
  <si>
    <t>Construc. a 3 -Colegio San Jud-YeserÃ­a</t>
  </si>
  <si>
    <t xml:space="preserve">     5.02.19.08.28</t>
  </si>
  <si>
    <t>Construc. a 3 -Colegio San Jud-YeserÃ­a-Cielorrasos</t>
  </si>
  <si>
    <t xml:space="preserve">      5.02.19.08.28.0001</t>
  </si>
  <si>
    <t>Construc. a 3 -Colegio San Jud-YeserÃ­a-Cielorrasos-Materiales</t>
  </si>
  <si>
    <t xml:space="preserve">      5.02.19.08.28.0003</t>
  </si>
  <si>
    <t xml:space="preserve">Construc. a 3 -Colegio San Jud-YeserÃ­a-Cielorrasos-Mano obra de 3 </t>
  </si>
  <si>
    <t xml:space="preserve">     5.02.19.08.29</t>
  </si>
  <si>
    <t>Construc. a 3 -Colegio San Jud-YeserÃ­a-Tabiques y ciel</t>
  </si>
  <si>
    <t xml:space="preserve">      5.02.19.08.29.0001</t>
  </si>
  <si>
    <t>Construc. a 3 -Colegio San Jud-YeserÃ­a-Tabiques y ciel-Materiales</t>
  </si>
  <si>
    <t xml:space="preserve">      5.02.19.08.29.0003</t>
  </si>
  <si>
    <t xml:space="preserve">Construc. a 3 -Colegio San Jud-YeserÃ­a-Tabiques y ciel-Mano obra de 3 </t>
  </si>
  <si>
    <t xml:space="preserve">     5.02.19.08.59</t>
  </si>
  <si>
    <t>Construc. a 3 -Colegio San Jud-YeserÃ­a-Varios</t>
  </si>
  <si>
    <t xml:space="preserve">      5.02.19.08.59.0056</t>
  </si>
  <si>
    <t>Construc. a 3 -Colegio San Jud-YeserÃ­a-Varios-Sueldos y Jorna</t>
  </si>
  <si>
    <t xml:space="preserve">      5.02.19.08.59.0057</t>
  </si>
  <si>
    <t>Construc. a 3 -Colegio San Jud-YeserÃ­a-Varios-Cargas Sociales</t>
  </si>
  <si>
    <t xml:space="preserve">    5.02.19.09</t>
  </si>
  <si>
    <t>Construc. a 3 -Colegio San Jud-CarpinterÃ­a</t>
  </si>
  <si>
    <t xml:space="preserve">     5.02.19.09.33</t>
  </si>
  <si>
    <t>Construc. a 3 -Colegio San Jud-CarpinterÃ­a-Carp madera</t>
  </si>
  <si>
    <t xml:space="preserve">      5.02.19.09.33.0001</t>
  </si>
  <si>
    <t>Construc. a 3 -Colegio San Jud-CarpinterÃ­a-Carp madera-Materiales</t>
  </si>
  <si>
    <t xml:space="preserve">      5.02.19.09.33.0003</t>
  </si>
  <si>
    <t xml:space="preserve">Construc. a 3 -Colegio San Jud-CarpinterÃ­a-Carp madera-Mano obra de 3 </t>
  </si>
  <si>
    <t xml:space="preserve">     5.02.19.09.34</t>
  </si>
  <si>
    <t>Construc. a 3 -Colegio San Jud-CarpinterÃ­a-Carp aluminio</t>
  </si>
  <si>
    <t xml:space="preserve">      5.02.19.09.34.0001</t>
  </si>
  <si>
    <t>Construc. a 3 -Colegio San Jud-CarpinterÃ­a-Carp aluminio-Materiales</t>
  </si>
  <si>
    <t xml:space="preserve">      5.02.19.09.34.0003</t>
  </si>
  <si>
    <t xml:space="preserve">Construc. a 3 -Colegio San Jud-CarpinterÃ­a-Carp aluminio-Mano obra de 3 </t>
  </si>
  <si>
    <t xml:space="preserve">     5.02.19.09.35</t>
  </si>
  <si>
    <t>Construc. a 3 -Colegio San Jud-CarpinterÃ­a-Carp metÃ¡licas</t>
  </si>
  <si>
    <t xml:space="preserve">      5.02.19.09.35.0001</t>
  </si>
  <si>
    <t>Construc. a 3 -Colegio San Jud-CarpinterÃ­a-Carp metÃ¡licas-Materiales</t>
  </si>
  <si>
    <t xml:space="preserve">      5.02.19.09.35.0003</t>
  </si>
  <si>
    <t xml:space="preserve">Construc. a 3 -Colegio San Jud-CarpinterÃ­a-Carp metÃ¡licas-Mano obra de 3 </t>
  </si>
  <si>
    <t xml:space="preserve">     5.02.19.09.36</t>
  </si>
  <si>
    <t>Construc. a 3 -Colegio San Jud-CarpinterÃ­a-Frentes placard</t>
  </si>
  <si>
    <t xml:space="preserve">      5.02.19.09.36.0003</t>
  </si>
  <si>
    <t xml:space="preserve">Construc. a 3 -Colegio San Jud-CarpinterÃ­a-Frentes placard-Mano obra de 3 </t>
  </si>
  <si>
    <t xml:space="preserve">     5.02.19.09.37</t>
  </si>
  <si>
    <t xml:space="preserve">Construc. a 3 -Colegio San Jud-CarpinterÃ­a-Bajo mesadas y </t>
  </si>
  <si>
    <t xml:space="preserve">      5.02.19.09.37.0001</t>
  </si>
  <si>
    <t>Construc. a 3 -Colegio San Jud-CarpinterÃ­a-Bajo mesadas y -Materiales</t>
  </si>
  <si>
    <t xml:space="preserve">      5.02.19.09.37.0003</t>
  </si>
  <si>
    <t xml:space="preserve">Construc. a 3 -Colegio San Jud-CarpinterÃ­a-Bajo mesadas y -Mano obra de 3 </t>
  </si>
  <si>
    <t xml:space="preserve">     5.02.19.09.38</t>
  </si>
  <si>
    <t>Construc. a 3 -Colegio San Jud-CarpinterÃ­a-Barandas</t>
  </si>
  <si>
    <t xml:space="preserve">      5.02.19.09.38.0001</t>
  </si>
  <si>
    <t>Construc. a 3 -Colegio San Jud-CarpinterÃ­a-Barandas-Materiales</t>
  </si>
  <si>
    <t xml:space="preserve">      5.02.19.09.38.0003</t>
  </si>
  <si>
    <t xml:space="preserve">Construc. a 3 -Colegio San Jud-CarpinterÃ­a-Barandas-Mano obra de 3 </t>
  </si>
  <si>
    <t xml:space="preserve">     5.02.19.09.39</t>
  </si>
  <si>
    <t>Construc. a 3 -Colegio San Jud-CarpinterÃ­a-Herrajes</t>
  </si>
  <si>
    <t xml:space="preserve">      5.02.19.09.39.0001</t>
  </si>
  <si>
    <t>Construc. a 3 -Colegio San Jud-CarpinterÃ­a-Herrajes-Materiales</t>
  </si>
  <si>
    <t xml:space="preserve">      5.02.19.09.39.0003</t>
  </si>
  <si>
    <t xml:space="preserve">Construc. a 3 -Colegio San Jud-CarpinterÃ­a-Herrajes-Mano obra de 3 </t>
  </si>
  <si>
    <t xml:space="preserve">     5.02.19.09.59</t>
  </si>
  <si>
    <t>Construc. a 3 -Colegio San Jud-CarpinterÃ­a-Varios</t>
  </si>
  <si>
    <t xml:space="preserve">      5.02.19.09.59.0056</t>
  </si>
  <si>
    <t>Construc. a 3 -Colegio San Jud-CarpinterÃ­a-Varios-Sueldos y Jorna</t>
  </si>
  <si>
    <t xml:space="preserve">      5.02.19.09.59.0057</t>
  </si>
  <si>
    <t>Construc. a 3 -Colegio San Jud-CarpinterÃ­a-Varios-Cargas Sociales</t>
  </si>
  <si>
    <t xml:space="preserve">    5.02.19.10</t>
  </si>
  <si>
    <t>Construc. a 3 -Colegio San Jud-Sanitarios</t>
  </si>
  <si>
    <t xml:space="preserve">     5.02.19.10.43</t>
  </si>
  <si>
    <t>Construc. a 3 -Colegio San Jud-Sanitarios-Bachas de baÃ±o/</t>
  </si>
  <si>
    <t xml:space="preserve">      5.02.19.10.43.0001</t>
  </si>
  <si>
    <t>Construc. a 3 -Colegio San Jud-Sanitarios-Bachas de baÃ±o/-Materiales</t>
  </si>
  <si>
    <t xml:space="preserve">      5.02.19.10.43.0003</t>
  </si>
  <si>
    <t xml:space="preserve">Construc. a 3 -Colegio San Jud-Sanitarios-Bachas de baÃ±o/-Mano obra de 3 </t>
  </si>
  <si>
    <t xml:space="preserve">     5.02.19.10.44</t>
  </si>
  <si>
    <t>Construc. a 3 -Colegio San Jud-Sanitarios-Artef sanitario</t>
  </si>
  <si>
    <t xml:space="preserve">      5.02.19.10.44.0001</t>
  </si>
  <si>
    <t>Construc. a 3 -Colegio San Jud-Sanitarios-Artef sanitario-Materiales</t>
  </si>
  <si>
    <t xml:space="preserve">      5.02.19.10.44.0003</t>
  </si>
  <si>
    <t xml:space="preserve">Construc. a 3 -Colegio San Jud-Sanitarios-Artef sanitario-Mano obra de 3 </t>
  </si>
  <si>
    <t xml:space="preserve">     5.02.19.10.45</t>
  </si>
  <si>
    <t>Construc. a 3 -Colegio San Jud-Sanitarios-GriferÃ­as</t>
  </si>
  <si>
    <t xml:space="preserve">      5.02.19.10.45.0001</t>
  </si>
  <si>
    <t>Construc. a 3 -Colegio San Jud-Sanitarios-GriferÃ­as-Materiales</t>
  </si>
  <si>
    <t xml:space="preserve">      5.02.19.10.45.0003</t>
  </si>
  <si>
    <t xml:space="preserve">Construc. a 3 -Colegio San Jud-Sanitarios-GriferÃ­as-Mano obra de 3 </t>
  </si>
  <si>
    <t xml:space="preserve">     5.02.19.10.46</t>
  </si>
  <si>
    <t>Construc. a 3 -Colegio San Jud-Sanitarios-Acc p/baÃ±o</t>
  </si>
  <si>
    <t xml:space="preserve">      5.02.19.10.46.0001</t>
  </si>
  <si>
    <t>Construc. a 3 -Colegio San Jud-Sanitarios-Acc p/baÃ±o-Materiales</t>
  </si>
  <si>
    <t xml:space="preserve">      5.02.19.10.46.0003</t>
  </si>
  <si>
    <t xml:space="preserve">Construc. a 3 -Colegio San Jud-Sanitarios-Acc p/baÃ±o-Mano obra de 3 </t>
  </si>
  <si>
    <t xml:space="preserve">     5.02.19.10.47</t>
  </si>
  <si>
    <t>Construc. a 3 -Colegio San Jud-Sanitarios-Inst Sanitaria</t>
  </si>
  <si>
    <t xml:space="preserve">      5.02.19.10.47.0001</t>
  </si>
  <si>
    <t>Construc. a 3 -Colegio San Jud-Sanitarios-Inst Sanitaria-Materiales</t>
  </si>
  <si>
    <t xml:space="preserve">      5.02.19.10.47.0003</t>
  </si>
  <si>
    <t xml:space="preserve">Construc. a 3 -Colegio San Jud-Sanitarios-Inst Sanitaria-Mano obra de 3 </t>
  </si>
  <si>
    <t xml:space="preserve">     5.02.19.10.48</t>
  </si>
  <si>
    <t>Construc. a 3 -Colegio San Jud-Sanitarios-Inst gas natura</t>
  </si>
  <si>
    <t xml:space="preserve">      5.02.19.10.48.0001</t>
  </si>
  <si>
    <t>Construc. a 3 -Colegio San Jud-Sanitarios-Inst gas natura-Materiales</t>
  </si>
  <si>
    <t xml:space="preserve">      5.02.19.10.48.0003</t>
  </si>
  <si>
    <t xml:space="preserve">Construc. a 3 -Colegio San Jud-Sanitarios-Inst gas natura-Mano obra de 3 </t>
  </si>
  <si>
    <t xml:space="preserve">     5.02.19.10.49</t>
  </si>
  <si>
    <t>Construc. a 3 -Colegio San Jud-Sanitarios-Serv contra inc</t>
  </si>
  <si>
    <t xml:space="preserve">      5.02.19.10.49.0001</t>
  </si>
  <si>
    <t>Construc. a 3 -Colegio San Jud-Sanitarios-Serv contra inc-Materiales</t>
  </si>
  <si>
    <t xml:space="preserve">      5.02.19.10.49.0003</t>
  </si>
  <si>
    <t xml:space="preserve">Construc. a 3 -Colegio San Jud-Sanitarios-Serv contra inc-Mano obra de 3 </t>
  </si>
  <si>
    <t xml:space="preserve">     5.02.19.10.59</t>
  </si>
  <si>
    <t>Construc. a 3 -Colegio San Jud-Sanitarios-Varios</t>
  </si>
  <si>
    <t xml:space="preserve">      5.02.19.10.59.0056</t>
  </si>
  <si>
    <t>Construc. a 3 -Colegio San Jud-Sanitarios-Varios-Sueldos y Jorna</t>
  </si>
  <si>
    <t xml:space="preserve">      5.02.19.10.59.0057</t>
  </si>
  <si>
    <t>Construc. a 3 -Colegio San Jud-Sanitarios-Varios-Cargas Sociales</t>
  </si>
  <si>
    <t xml:space="preserve">    5.02.19.11</t>
  </si>
  <si>
    <t>Construc. a 3 -Colegio San Jud-Inst. ElÃ©ctrica</t>
  </si>
  <si>
    <t xml:space="preserve">     5.02.19.11.53</t>
  </si>
  <si>
    <t>Construc. a 3 -Colegio San Jud-Inst. ElÃ©ctrica-Inst elÃ©ctrica</t>
  </si>
  <si>
    <t xml:space="preserve">      5.02.19.11.53.0001</t>
  </si>
  <si>
    <t>Construc. a 3 -Colegio San Jud-Inst. ElÃ©ctrica-Inst elÃ©ctrica-Materiales</t>
  </si>
  <si>
    <t xml:space="preserve">      5.02.19.11.53.0003</t>
  </si>
  <si>
    <t xml:space="preserve">Construc. a 3 -Colegio San Jud-Inst. ElÃ©ctrica-Inst elÃ©ctrica-Mano obra de 3 </t>
  </si>
  <si>
    <t xml:space="preserve">     5.02.19.11.54</t>
  </si>
  <si>
    <t>Construc. a 3 -Colegio San Jud-Inst. ElÃ©ctrica-Artef iluminaci</t>
  </si>
  <si>
    <t xml:space="preserve">      5.02.19.11.54.0001</t>
  </si>
  <si>
    <t>Construc. a 3 -Colegio San Jud-Inst. ElÃ©ctrica-Artef iluminaci-Materiales</t>
  </si>
  <si>
    <t xml:space="preserve">      5.02.19.11.54.0003</t>
  </si>
  <si>
    <t xml:space="preserve">Construc. a 3 -Colegio San Jud-Inst. ElÃ©ctrica-Artef iluminaci-Mano obra de 3 </t>
  </si>
  <si>
    <t xml:space="preserve">     5.02.19.11.55</t>
  </si>
  <si>
    <t>Construc. a 3 -Colegio San Jud-Inst. ElÃ©ctrica-Inst telefÃ³nica</t>
  </si>
  <si>
    <t xml:space="preserve">      5.02.19.11.55.0001</t>
  </si>
  <si>
    <t>Construc. a 3 -Colegio San Jud-Inst. ElÃ©ctrica-Inst telefÃ³nica-Materiales</t>
  </si>
  <si>
    <t xml:space="preserve">      5.02.19.11.55.0003</t>
  </si>
  <si>
    <t xml:space="preserve">Construc. a 3 -Colegio San Jud-Inst. ElÃ©ctrica-Inst telefÃ³nica-Mano obra de 3 </t>
  </si>
  <si>
    <t xml:space="preserve">     5.02.19.11.59</t>
  </si>
  <si>
    <t>Construc. a 3 -Colegio San Jud-Inst. ElÃ©ctrica-Varios</t>
  </si>
  <si>
    <t xml:space="preserve">      5.02.19.11.59.0056</t>
  </si>
  <si>
    <t>Construc. a 3 -Colegio San Jud-Inst. ElÃ©ctrica-Varios-Sueldos y Jorna</t>
  </si>
  <si>
    <t xml:space="preserve">      5.02.19.11.59.0057</t>
  </si>
  <si>
    <t>Construc. a 3 -Colegio San Jud-Inst. ElÃ©ctrica-Varios-Cargas Sociales</t>
  </si>
  <si>
    <t xml:space="preserve">    5.02.19.12</t>
  </si>
  <si>
    <t>Construc. a 3 -Colegio San Jud-Vidrios</t>
  </si>
  <si>
    <t xml:space="preserve">     5.02.19.12.59</t>
  </si>
  <si>
    <t>Construc. a 3 -Colegio San Jud-Vidrios-Varios</t>
  </si>
  <si>
    <t xml:space="preserve">      5.02.19.12.59.0001</t>
  </si>
  <si>
    <t>Construc. a 3 -Colegio San Jud-Vidrios-Varios-Materiales</t>
  </si>
  <si>
    <t xml:space="preserve">      5.02.19.12.59.0003</t>
  </si>
  <si>
    <t xml:space="preserve">Construc. a 3 -Colegio San Jud-Vidrios-Varios-Mano obra de 3 </t>
  </si>
  <si>
    <t xml:space="preserve">    5.02.19.13</t>
  </si>
  <si>
    <t>Construc. a 3 -Colegio San Jud-Pintura</t>
  </si>
  <si>
    <t xml:space="preserve">     5.02.19.13.56</t>
  </si>
  <si>
    <t>Construc. a 3 -Colegio San Jud-Pintura-Pinturas</t>
  </si>
  <si>
    <t xml:space="preserve">      5.02.19.13.56.0001</t>
  </si>
  <si>
    <t>Construc. a 3 -Colegio San Jud-Pintura-Pinturas-Materiales</t>
  </si>
  <si>
    <t xml:space="preserve">      5.02.19.13.56.0003</t>
  </si>
  <si>
    <t xml:space="preserve">Construc. a 3 -Colegio San Jud-Pintura-Pinturas-Mano obra de 3 </t>
  </si>
  <si>
    <t xml:space="preserve">     5.02.19.13.59</t>
  </si>
  <si>
    <t>Construc. a 3 -Colegio San Jud-Pintura-Varios</t>
  </si>
  <si>
    <t xml:space="preserve">      5.02.19.13.59.0056</t>
  </si>
  <si>
    <t>Construc. a 3 -Colegio San Jud-Pintura-Varios-Sueldos y Jorna</t>
  </si>
  <si>
    <t xml:space="preserve">      5.02.19.13.59.0057</t>
  </si>
  <si>
    <t>Construc. a 3 -Colegio San Jud-Pintura-Varios-Cargas Sociales</t>
  </si>
  <si>
    <t xml:space="preserve">    5.02.19.14</t>
  </si>
  <si>
    <t xml:space="preserve">Construc. a 3 -Colegio San Jud-Equipamiento y </t>
  </si>
  <si>
    <t xml:space="preserve">     5.02.19.14.57</t>
  </si>
  <si>
    <t>Construc. a 3 -Colegio San Jud-Equipamiento y -Asensores</t>
  </si>
  <si>
    <t xml:space="preserve">      5.02.19.14.57.0001</t>
  </si>
  <si>
    <t>Construc. a 3 -Colegio San Jud-Equipamiento y -Asensores-Materiales</t>
  </si>
  <si>
    <t xml:space="preserve">      5.02.19.14.57.0003</t>
  </si>
  <si>
    <t xml:space="preserve">Construc. a 3 -Colegio San Jud-Equipamiento y -Asensores-Mano obra de 3 </t>
  </si>
  <si>
    <t xml:space="preserve">     5.02.19.14.58</t>
  </si>
  <si>
    <t>Construc. a 3 -Colegio San Jud-Equipamiento y -Equipos Vs.</t>
  </si>
  <si>
    <t xml:space="preserve">      5.02.19.14.58.0001</t>
  </si>
  <si>
    <t>Construc. a 3 -Colegio San Jud-Equipamiento y -Equipos Vs.-Materiales</t>
  </si>
  <si>
    <t xml:space="preserve">      5.02.19.14.58.0003</t>
  </si>
  <si>
    <t xml:space="preserve">Construc. a 3 -Colegio San Jud-Equipamiento y -Equipos Vs.-Mano obra de 3 </t>
  </si>
  <si>
    <t xml:space="preserve">    5.02.19.15</t>
  </si>
  <si>
    <t>Construc. a 3 -Colegio San Jud-Varios</t>
  </si>
  <si>
    <t xml:space="preserve">     5.02.19.15.59</t>
  </si>
  <si>
    <t>Construc. a 3 -Colegio San Jud-Varios-Varios</t>
  </si>
  <si>
    <t xml:space="preserve">      5.02.19.15.59.0009</t>
  </si>
  <si>
    <t>Construc. a 3 -Colegio San Jud-Varios-Varios-Herram de Consu</t>
  </si>
  <si>
    <t xml:space="preserve">      5.02.19.15.59.0060</t>
  </si>
  <si>
    <t>Construc. a 3 -Colegio San Jud-Varios-Varios-Uniformes Perso</t>
  </si>
  <si>
    <t xml:space="preserve">      5.02.19.15.59.0069</t>
  </si>
  <si>
    <t>Construc. a 3 -Colegio San Jud-Varios-Varios-Seguros</t>
  </si>
  <si>
    <t xml:space="preserve">      5.02.19.15.59.0076</t>
  </si>
  <si>
    <t>Construc. a 3 -Colegio San Jud-Varios-Varios-Gastos Diversos</t>
  </si>
  <si>
    <t xml:space="preserve">      5.02.19.15.59.0079</t>
  </si>
  <si>
    <t>Construc. a 3 -Colegio San Jud-Varios-Varios-Rep. y Mant. Ro</t>
  </si>
  <si>
    <t xml:space="preserve">      5.02.19.15.59.0302</t>
  </si>
  <si>
    <t>Construc. a 3 -Colegio San Jud-Varios-Varios-Edific.terminad</t>
  </si>
  <si>
    <t xml:space="preserve">     5.02.19.15.60</t>
  </si>
  <si>
    <t>Construc. a 3 -Colegio San Jud-Varios-Costos Vs MO</t>
  </si>
  <si>
    <t xml:space="preserve">      5.02.19.15.60.0097</t>
  </si>
  <si>
    <t>Construc. a 3 -Colegio San Jud-Varios-Costos Vs MO-Vacaciones</t>
  </si>
  <si>
    <t xml:space="preserve">      5.02.19.15.60.0098</t>
  </si>
  <si>
    <t>Construc. a 3 -Colegio San Jud-Varios-Costos Vs MO-Aguinaldo</t>
  </si>
  <si>
    <t xml:space="preserve">   5.02.20</t>
  </si>
  <si>
    <t xml:space="preserve">    5.02.20.04</t>
  </si>
  <si>
    <t>Construc. a 3 -JUNIN 616-Mov. suelo  exc</t>
  </si>
  <si>
    <t xml:space="preserve">     5.02.20.04.04</t>
  </si>
  <si>
    <t>Construc. a 3 -JUNIN 616-Mov. suelo  exc-Demoliciones</t>
  </si>
  <si>
    <t xml:space="preserve">      5.02.20.04.04.0056</t>
  </si>
  <si>
    <t>Construc. a 3 -JUNIN 616-Mov. suelo  exc-Demoliciones-Sueldos y Jorna</t>
  </si>
  <si>
    <t xml:space="preserve">      5.02.20.04.04.0057</t>
  </si>
  <si>
    <t>Construc. a 3 -JUNIN 616-Mov. suelo  exc-Demoliciones-Cargas Sociales</t>
  </si>
  <si>
    <t xml:space="preserve">     5.02.20.04.59</t>
  </si>
  <si>
    <t>Construc. a 3 -JUNIN 616-Mov. suelo  exc-Varios</t>
  </si>
  <si>
    <t xml:space="preserve">      5.02.20.04.59.0056</t>
  </si>
  <si>
    <t>Construc. a 3 -JUNIN 616-Mov. suelo  exc-Varios-Sueldos y Jorna</t>
  </si>
  <si>
    <t xml:space="preserve">      5.02.20.04.59.0057</t>
  </si>
  <si>
    <t>Construc. a 3 -JUNIN 616-Mov. suelo  exc-Varios-Cargas Sociales</t>
  </si>
  <si>
    <t xml:space="preserve">    5.02.20.05</t>
  </si>
  <si>
    <t>Construc. a 3 -JUNIN 616-Estructura</t>
  </si>
  <si>
    <t xml:space="preserve">     5.02.20.05.59</t>
  </si>
  <si>
    <t>Construc. a 3 -JUNIN 616-Estructura-Varios</t>
  </si>
  <si>
    <t xml:space="preserve">      5.02.20.05.59.0056</t>
  </si>
  <si>
    <t>Construc. a 3 -JUNIN 616-Estructura-Varios-Sueldos y Jorna</t>
  </si>
  <si>
    <t xml:space="preserve">      5.02.20.05.59.0057</t>
  </si>
  <si>
    <t>Construc. a 3 -JUNIN 616-Estructura-Varios-Cargas Sociales</t>
  </si>
  <si>
    <t xml:space="preserve">    5.02.20.06</t>
  </si>
  <si>
    <t>Construc. a 3 -JUNIN 616-AlbaÃ±ilerÃ­a</t>
  </si>
  <si>
    <t xml:space="preserve">     5.02.20.06.59</t>
  </si>
  <si>
    <t>Construc. a 3 -JUNIN 616-AlbaÃ±ilerÃ­a-Varios</t>
  </si>
  <si>
    <t xml:space="preserve">      5.02.20.06.59.0056</t>
  </si>
  <si>
    <t>Construc. a 3 -JUNIN 616-AlbaÃ±ilerÃ­a-Varios-Sueldos y Jorna</t>
  </si>
  <si>
    <t xml:space="preserve">      5.02.20.06.59.0057</t>
  </si>
  <si>
    <t>Construc. a 3 -JUNIN 616-AlbaÃ±ilerÃ­a-Varios-Cargas Sociales</t>
  </si>
  <si>
    <t xml:space="preserve">    5.02.20.08</t>
  </si>
  <si>
    <t>Construc. a 3 -JUNIN 616-YeserÃ­a</t>
  </si>
  <si>
    <t xml:space="preserve">     5.02.20.08.59</t>
  </si>
  <si>
    <t>Construc. a 3 -JUNIN 616-YeserÃ­a-Varios</t>
  </si>
  <si>
    <t xml:space="preserve">      5.02.20.08.59.0056</t>
  </si>
  <si>
    <t>Construc. a 3 -JUNIN 616-YeserÃ­a-Varios-Sueldos y Jorna</t>
  </si>
  <si>
    <t xml:space="preserve">      5.02.20.08.59.0057</t>
  </si>
  <si>
    <t>Construc. a 3 -JUNIN 616-YeserÃ­a-Varios-Cargas Sociales</t>
  </si>
  <si>
    <t xml:space="preserve">    5.02.20.09</t>
  </si>
  <si>
    <t>Construc. a 3 -JUNIN 616-CarpinterÃ­a</t>
  </si>
  <si>
    <t xml:space="preserve">     5.02.20.09.59</t>
  </si>
  <si>
    <t>Construc. a 3 -JUNIN 616-CarpinterÃ­a-Varios</t>
  </si>
  <si>
    <t xml:space="preserve">      5.02.20.09.59.0056</t>
  </si>
  <si>
    <t>Construc. a 3 -JUNIN 616-CarpinterÃ­a-Varios-Sueldos y Jorna</t>
  </si>
  <si>
    <t xml:space="preserve">      5.02.20.09.59.0057</t>
  </si>
  <si>
    <t>Construc. a 3 -JUNIN 616-CarpinterÃ­a-Varios-Cargas Sociales</t>
  </si>
  <si>
    <t xml:space="preserve">    5.02.20.10</t>
  </si>
  <si>
    <t>Construc. a 3 -JUNIN 616-Sanitarios</t>
  </si>
  <si>
    <t xml:space="preserve">     5.02.20.10.59</t>
  </si>
  <si>
    <t>Construc. a 3 -JUNIN 616-Sanitarios-Varios</t>
  </si>
  <si>
    <t xml:space="preserve">      5.02.20.10.59.0056</t>
  </si>
  <si>
    <t>Construc. a 3 -JUNIN 616-Sanitarios-Varios-Sueldos y Jorna</t>
  </si>
  <si>
    <t xml:space="preserve">      5.02.20.10.59.0057</t>
  </si>
  <si>
    <t>Construc. a 3 -JUNIN 616-Sanitarios-Varios-Cargas Sociales</t>
  </si>
  <si>
    <t xml:space="preserve">    5.02.20.13</t>
  </si>
  <si>
    <t>Construc. a 3 -JUNIN 616-Pintura</t>
  </si>
  <si>
    <t xml:space="preserve">     5.02.20.13.59</t>
  </si>
  <si>
    <t>Construc. a 3 -JUNIN 616-Pintura-Varios</t>
  </si>
  <si>
    <t xml:space="preserve">      5.02.20.13.59.0056</t>
  </si>
  <si>
    <t>Construc. a 3 -JUNIN 616-Pintura-Varios-Sueldos y Jorna</t>
  </si>
  <si>
    <t xml:space="preserve">      5.02.20.13.59.0057</t>
  </si>
  <si>
    <t>Construc. a 3 -JUNIN 616-Pintura-Varios-Cargas Sociales</t>
  </si>
  <si>
    <t xml:space="preserve">    5.02.20.15</t>
  </si>
  <si>
    <t>Construc. a 3 -JUNIN 616-Varios</t>
  </si>
  <si>
    <t xml:space="preserve">     5.02.20.15.59</t>
  </si>
  <si>
    <t>Construc. a 3 -JUNIN 616-Varios-Varios</t>
  </si>
  <si>
    <t xml:space="preserve">      5.02.20.15.59.0302</t>
  </si>
  <si>
    <t>Construc. a 3 -JUNIN 616-Varios-Varios-Edific.terminad</t>
  </si>
  <si>
    <t xml:space="preserve">     5.02.20.15.60</t>
  </si>
  <si>
    <t>Construc. a 3 -JUNIN 616-Varios-Costos Vs MO</t>
  </si>
  <si>
    <t xml:space="preserve">      5.02.20.15.60.0009</t>
  </si>
  <si>
    <t>Construc. a 3 -JUNIN 616-Varios-Costos Vs MO-Herram de Consu</t>
  </si>
  <si>
    <t xml:space="preserve">      5.02.20.15.60.0060</t>
  </si>
  <si>
    <t>Construc. a 3 -JUNIN 616-Varios-Costos Vs MO-Uniformes Perso</t>
  </si>
  <si>
    <t xml:space="preserve">      5.02.20.15.60.0076</t>
  </si>
  <si>
    <t>Construc. a 3 -JUNIN 616-Varios-Costos Vs MO-Gastos Diversos</t>
  </si>
  <si>
    <t xml:space="preserve">      5.02.20.15.60.0097</t>
  </si>
  <si>
    <t>Construc. a 3 -JUNIN 616-Varios-Costos Vs MO-Vacaciones</t>
  </si>
  <si>
    <t xml:space="preserve">      5.02.20.15.60.0098</t>
  </si>
  <si>
    <t>Construc. a 3 -JUNIN 616-Varios-Costos Vs MO-Aguinaldo</t>
  </si>
  <si>
    <t xml:space="preserve">   5.02.21</t>
  </si>
  <si>
    <t xml:space="preserve">    5.02.21.05</t>
  </si>
  <si>
    <t>Construc. a 3 -Catamarca 841-Estructura</t>
  </si>
  <si>
    <t xml:space="preserve">     5.02.21.05.59</t>
  </si>
  <si>
    <t>Construc. a 3 -Catamarca 841-Estructura-Varios</t>
  </si>
  <si>
    <t xml:space="preserve">      5.02.21.05.59.0001</t>
  </si>
  <si>
    <t>Construc. a 3 -Catamarca 841-Estructura-Varios-Materiales</t>
  </si>
  <si>
    <t xml:space="preserve">      5.02.21.05.59.0003</t>
  </si>
  <si>
    <t xml:space="preserve">Construc. a 3 -Catamarca 841-Estructura-Varios-Mano obra de 3 </t>
  </si>
  <si>
    <t xml:space="preserve">      5.02.21.05.59.0004</t>
  </si>
  <si>
    <t>Construc. a 3 -Catamarca 841-Estructura-Varios-Permisos munici</t>
  </si>
  <si>
    <t xml:space="preserve">      5.02.21.05.59.0007</t>
  </si>
  <si>
    <t>Construc. a 3 -Catamarca 841-Estructura-Varios-Fletes</t>
  </si>
  <si>
    <t xml:space="preserve">      5.02.21.05.59.0056</t>
  </si>
  <si>
    <t>Construc. a 3 -Catamarca 841-Estructura-Varios-Sueldos y Jorna</t>
  </si>
  <si>
    <t xml:space="preserve">      5.02.21.05.59.0057</t>
  </si>
  <si>
    <t>Construc. a 3 -Catamarca 841-Estructura-Varios-Cargas Sociales</t>
  </si>
  <si>
    <t xml:space="preserve">      5.02.21.05.59.0095</t>
  </si>
  <si>
    <t>Construc. a 3 -Catamarca 841-Estructura-Varios-Vacaciones y SA</t>
  </si>
  <si>
    <t xml:space="preserve">    5.02.21.06</t>
  </si>
  <si>
    <t>Construc. a 3 -Catamarca 841-AlbaÃ±ilerÃ­a</t>
  </si>
  <si>
    <t xml:space="preserve">     5.02.21.06.59</t>
  </si>
  <si>
    <t>Construc. a 3 -Catamarca 841-AlbaÃ±ilerÃ­a-Varios</t>
  </si>
  <si>
    <t xml:space="preserve">      5.02.21.06.59.0001</t>
  </si>
  <si>
    <t>Construc. a 3 -Catamarca 841-AlbaÃ±ilerÃ­a-Varios-Materiales</t>
  </si>
  <si>
    <t xml:space="preserve">      5.02.21.06.59.0003</t>
  </si>
  <si>
    <t xml:space="preserve">Construc. a 3 -Catamarca 841-AlbaÃ±ilerÃ­a-Varios-Mano obra de 3 </t>
  </si>
  <si>
    <t xml:space="preserve">      5.02.21.06.59.0004</t>
  </si>
  <si>
    <t>Construc. a 3 -Catamarca 841-AlbaÃ±ilerÃ­a-Varios-Permisos munici</t>
  </si>
  <si>
    <t xml:space="preserve">      5.02.21.06.59.0007</t>
  </si>
  <si>
    <t>Construc. a 3 -Catamarca 841-AlbaÃ±ilerÃ­a-Varios-Fletes</t>
  </si>
  <si>
    <t xml:space="preserve">      5.02.21.06.59.0056</t>
  </si>
  <si>
    <t>Construc. a 3 -Catamarca 841-AlbaÃ±ilerÃ­a-Varios-Sueldos y Jorna</t>
  </si>
  <si>
    <t xml:space="preserve">      5.02.21.06.59.0057</t>
  </si>
  <si>
    <t>Construc. a 3 -Catamarca 841-AlbaÃ±ilerÃ­a-Varios-Cargas Sociales</t>
  </si>
  <si>
    <t xml:space="preserve">      5.02.21.06.59.0095</t>
  </si>
  <si>
    <t>Construc. a 3 -Catamarca 841-AlbaÃ±ilerÃ­a-Varios-Vacaciones y SA</t>
  </si>
  <si>
    <t xml:space="preserve">    5.02.21.15</t>
  </si>
  <si>
    <t>Construc. a 3 -Catamarca 841-Varios</t>
  </si>
  <si>
    <t xml:space="preserve">     5.02.21.15.59</t>
  </si>
  <si>
    <t>Construc. a 3 -Catamarca 841-Varios-Varios</t>
  </si>
  <si>
    <t xml:space="preserve">      5.02.21.15.59.0302</t>
  </si>
  <si>
    <t>Construc. a 3 -Catamarca 841-Varios-Varios-Edific.terminad</t>
  </si>
  <si>
    <t xml:space="preserve">     5.02.21.15.60</t>
  </si>
  <si>
    <t>Construc. a 3 -Catamarca 841-Varios-Costos Vs MO</t>
  </si>
  <si>
    <t xml:space="preserve">      5.02.21.15.60.0009</t>
  </si>
  <si>
    <t>Construc. a 3 -Catamarca 841-Varios-Costos Vs MO-Herram de Consu</t>
  </si>
  <si>
    <t xml:space="preserve">      5.02.21.15.60.0060</t>
  </si>
  <si>
    <t>Construc. a 3 -Catamarca 841-Varios-Costos Vs MO-Uniformes Perso</t>
  </si>
  <si>
    <t xml:space="preserve">      5.02.21.15.60.0076</t>
  </si>
  <si>
    <t>Construc. a 3 -Catamarca 841-Varios-Costos Vs MO-Gastos Diversos</t>
  </si>
  <si>
    <t xml:space="preserve">      5.02.21.15.60.0097</t>
  </si>
  <si>
    <t>Construc. a 3 -Catamarca 841-Varios-Costos Vs MO-Vacaciones</t>
  </si>
  <si>
    <t xml:space="preserve">      5.02.21.15.60.0098</t>
  </si>
  <si>
    <t>Construc. a 3 -Catamarca 841-Varios-Costos Vs MO-Aguinaldo</t>
  </si>
  <si>
    <t xml:space="preserve">   5.02.22</t>
  </si>
  <si>
    <t xml:space="preserve">    5.02.22.05</t>
  </si>
  <si>
    <t>Construc. a 3 -Mendoza 785-Estructura</t>
  </si>
  <si>
    <t xml:space="preserve">     5.02.22.05.59</t>
  </si>
  <si>
    <t>Construc. a 3 -Mendoza 785-Estructura-Varios</t>
  </si>
  <si>
    <t xml:space="preserve">      5.02.22.05.59.0001</t>
  </si>
  <si>
    <t>Construc. a 3 -Mendoza 785-Estructura-Varios-Materiales</t>
  </si>
  <si>
    <t xml:space="preserve">      5.02.22.05.59.0003</t>
  </si>
  <si>
    <t xml:space="preserve">Construc. a 3 -Mendoza 785-Estructura-Varios-Mano obra de 3 </t>
  </si>
  <si>
    <t xml:space="preserve">      5.02.22.05.59.0004</t>
  </si>
  <si>
    <t>Construc. a 3 -Mendoza 785-Estructura-Varios-Permisos munici</t>
  </si>
  <si>
    <t xml:space="preserve">      5.02.22.05.59.0007</t>
  </si>
  <si>
    <t>Construc. a 3 -Mendoza 785-Estructura-Varios-Fletes</t>
  </si>
  <si>
    <t xml:space="preserve">      5.02.22.05.59.0056</t>
  </si>
  <si>
    <t>Construc. a 3 -Mendoza 785-Estructura-Varios-Sueldos y Jorna</t>
  </si>
  <si>
    <t xml:space="preserve">      5.02.22.05.59.0057</t>
  </si>
  <si>
    <t>Construc. a 3 -Mendoza 785-Estructura-Varios-Cargas Sociales</t>
  </si>
  <si>
    <t xml:space="preserve">    5.02.22.06</t>
  </si>
  <si>
    <t>Construc. a 3 -Mendoza 785-AlbaÃ±ilerÃ­a</t>
  </si>
  <si>
    <t xml:space="preserve">     5.02.22.06.59</t>
  </si>
  <si>
    <t>Construc. a 3 -Mendoza 785-AlbaÃ±ilerÃ­a-Varios</t>
  </si>
  <si>
    <t xml:space="preserve">      5.02.22.06.59.0001</t>
  </si>
  <si>
    <t>Construc. a 3 -Mendoza 785-AlbaÃ±ilerÃ­a-Varios-Materiales</t>
  </si>
  <si>
    <t xml:space="preserve">      5.02.22.06.59.0003</t>
  </si>
  <si>
    <t xml:space="preserve">Construc. a 3 -Mendoza 785-AlbaÃ±ilerÃ­a-Varios-Mano obra de 3 </t>
  </si>
  <si>
    <t xml:space="preserve">      5.02.22.06.59.0004</t>
  </si>
  <si>
    <t>Construc. a 3 -Mendoza 785-AlbaÃ±ilerÃ­a-Varios-Permisos munici</t>
  </si>
  <si>
    <t xml:space="preserve">      5.02.22.06.59.0007</t>
  </si>
  <si>
    <t>Construc. a 3 -Mendoza 785-AlbaÃ±ilerÃ­a-Varios-Fletes</t>
  </si>
  <si>
    <t xml:space="preserve">      5.02.22.06.59.0056</t>
  </si>
  <si>
    <t>Construc. a 3 -Mendoza 785-AlbaÃ±ilerÃ­a-Varios-Sueldos y Jorna</t>
  </si>
  <si>
    <t xml:space="preserve">      5.02.22.06.59.0057</t>
  </si>
  <si>
    <t>Construc. a 3 -Mendoza 785-AlbaÃ±ilerÃ­a-Varios-Cargas Sociales</t>
  </si>
  <si>
    <t xml:space="preserve">    5.02.22.11</t>
  </si>
  <si>
    <t>Construc. a 3 -Mendoza 785-Inst. ElÃ©ctrica</t>
  </si>
  <si>
    <t xml:space="preserve">     5.02.22.11.59</t>
  </si>
  <si>
    <t>Construc. a 3 -Mendoza 785-Inst. ElÃ©ctrica-Varios</t>
  </si>
  <si>
    <t xml:space="preserve">      5.02.22.11.59.0001</t>
  </si>
  <si>
    <t>Construc. a 3 -Mendoza 785-Inst. ElÃ©ctrica-Varios-Materiales</t>
  </si>
  <si>
    <t xml:space="preserve">      5.02.22.11.59.0003</t>
  </si>
  <si>
    <t xml:space="preserve">Construc. a 3 -Mendoza 785-Inst. ElÃ©ctrica-Varios-Mano obra de 3 </t>
  </si>
  <si>
    <t xml:space="preserve">      5.02.22.11.59.0056</t>
  </si>
  <si>
    <t>Construc. a 3 -Mendoza 785-Inst. ElÃ©ctrica-Varios-Sueldos y Jorna</t>
  </si>
  <si>
    <t xml:space="preserve">      5.02.22.11.59.0057</t>
  </si>
  <si>
    <t>Construc. a 3 -Mendoza 785-Inst. ElÃ©ctrica-Varios-Cargas Sociales</t>
  </si>
  <si>
    <t xml:space="preserve">    5.02.22.15</t>
  </si>
  <si>
    <t>Construc. a 3 -Mendoza 785-Varios</t>
  </si>
  <si>
    <t xml:space="preserve">     5.02.22.15.59</t>
  </si>
  <si>
    <t>Construc. a 3 -Mendoza 785-Varios-Varios</t>
  </si>
  <si>
    <t xml:space="preserve">      5.02.22.15.59.0302</t>
  </si>
  <si>
    <t>Construc. a 3 -Mendoza 785-Varios-Varios-Edific.terminad</t>
  </si>
  <si>
    <t xml:space="preserve">     5.02.22.15.60</t>
  </si>
  <si>
    <t>Construc. a 3 -Mendoza 785-Varios-Costos Vs MO</t>
  </si>
  <si>
    <t xml:space="preserve">      5.02.22.15.60.0009</t>
  </si>
  <si>
    <t>Construc. a 3 -Mendoza 785-Varios-Costos Vs MO-Herram de Consu</t>
  </si>
  <si>
    <t xml:space="preserve">      5.02.22.15.60.0060</t>
  </si>
  <si>
    <t>Construc. a 3 -Mendoza 785-Varios-Costos Vs MO-Uniformes Perso</t>
  </si>
  <si>
    <t xml:space="preserve">      5.02.22.15.60.0076</t>
  </si>
  <si>
    <t>Construc. a 3 -Mendoza 785-Varios-Costos Vs MO-Gastos Diversos</t>
  </si>
  <si>
    <t xml:space="preserve">      5.02.22.15.60.0097</t>
  </si>
  <si>
    <t>Construc. a 3 -Mendoza 785-Varios-Costos Vs MO-Vacaciones</t>
  </si>
  <si>
    <t xml:space="preserve">      5.02.22.15.60.0098</t>
  </si>
  <si>
    <t>Construc. a 3 -Mendoza 785-Varios-Costos Vs MO-Aguinaldo</t>
  </si>
  <si>
    <t xml:space="preserve">   5.02.23</t>
  </si>
  <si>
    <t xml:space="preserve">    5.02.23.05</t>
  </si>
  <si>
    <t>Construc. a 3 -Sarmiento 535 Y-Estructura</t>
  </si>
  <si>
    <t xml:space="preserve">     5.02.23.05.59</t>
  </si>
  <si>
    <t>Construc. a 3 -Sarmiento 535 Y-Estructura-Varios</t>
  </si>
  <si>
    <t xml:space="preserve">      5.02.23.05.59.0001</t>
  </si>
  <si>
    <t>Construc. a 3 -Sarmiento 535 Y-Estructura-Varios-Materiales</t>
  </si>
  <si>
    <t xml:space="preserve">      5.02.23.05.59.0003</t>
  </si>
  <si>
    <t xml:space="preserve">Construc. a 3 -Sarmiento 535 Y-Estructura-Varios-Mano obra de 3 </t>
  </si>
  <si>
    <t xml:space="preserve">      5.02.23.05.59.0004</t>
  </si>
  <si>
    <t>Construc. a 3 -Sarmiento 535 Y-Estructura-Varios-Permisos munici</t>
  </si>
  <si>
    <t xml:space="preserve">      5.02.23.05.59.0007</t>
  </si>
  <si>
    <t>Construc. a 3 -Sarmiento 535 Y-Estructura-Varios-Fletes</t>
  </si>
  <si>
    <t xml:space="preserve">      5.02.23.05.59.0056</t>
  </si>
  <si>
    <t>Construc. a 3 -Sarmiento 535 Y-Estructura-Varios-Sueldos y Jorna</t>
  </si>
  <si>
    <t xml:space="preserve">      5.02.23.05.59.0057</t>
  </si>
  <si>
    <t>Construc. a 3 -Sarmiento 535 Y-Estructura-Varios-Cargas Sociales</t>
  </si>
  <si>
    <t xml:space="preserve">    5.02.23.06</t>
  </si>
  <si>
    <t>Construc. a 3 -Sarmiento 535 Y-AlbaÃ±ilerÃ­a</t>
  </si>
  <si>
    <t xml:space="preserve">     5.02.23.06.59</t>
  </si>
  <si>
    <t>Construc. a 3 -Sarmiento 535 Y-AlbaÃ±ilerÃ­a-Varios</t>
  </si>
  <si>
    <t xml:space="preserve">      5.02.23.06.59.0001</t>
  </si>
  <si>
    <t>Construc. a 3 -Sarmiento 535 Y-AlbaÃ±ilerÃ­a-Varios-Materiales</t>
  </si>
  <si>
    <t xml:space="preserve">      5.02.23.06.59.0003</t>
  </si>
  <si>
    <t xml:space="preserve">Construc. a 3 -Sarmiento 535 Y-AlbaÃ±ilerÃ­a-Varios-Mano obra de 3 </t>
  </si>
  <si>
    <t xml:space="preserve">      5.02.23.06.59.0004</t>
  </si>
  <si>
    <t>Construc. a 3 -Sarmiento 535 Y-AlbaÃ±ilerÃ­a-Varios-Permisos munici</t>
  </si>
  <si>
    <t xml:space="preserve">      5.02.23.06.59.0007</t>
  </si>
  <si>
    <t>Construc. a 3 -Sarmiento 535 Y-AlbaÃ±ilerÃ­a-Varios-Fletes</t>
  </si>
  <si>
    <t xml:space="preserve">      5.02.23.06.59.0056</t>
  </si>
  <si>
    <t>Construc. a 3 -Sarmiento 535 Y-AlbaÃ±ilerÃ­a-Varios-Sueldos y Jorna</t>
  </si>
  <si>
    <t xml:space="preserve">      5.02.23.06.59.0057</t>
  </si>
  <si>
    <t>Construc. a 3 -Sarmiento 535 Y-AlbaÃ±ilerÃ­a-Varios-Cargas Sociales</t>
  </si>
  <si>
    <t xml:space="preserve">    5.02.23.10</t>
  </si>
  <si>
    <t>Construc. a 3 -Sarmiento 535 Y-Sanitarios</t>
  </si>
  <si>
    <t xml:space="preserve">     5.02.23.10.47</t>
  </si>
  <si>
    <t>Construc. a 3 -Sarmiento 535 Y-Sanitarios-Inst Sanitaria</t>
  </si>
  <si>
    <t xml:space="preserve">      5.02.23.10.47.0001</t>
  </si>
  <si>
    <t>Construc. a 3 -Sarmiento 535 Y-Sanitarios-Inst Sanitaria-Materiales</t>
  </si>
  <si>
    <t xml:space="preserve">    5.02.23.11</t>
  </si>
  <si>
    <t>Construc. a 3 -Sarmiento 535 Y-Inst. ElÃ©ctrica</t>
  </si>
  <si>
    <t xml:space="preserve">     5.02.23.11.59</t>
  </si>
  <si>
    <t>Construc. a 3 -Sarmiento 535 Y-Inst. ElÃ©ctrica-Varios</t>
  </si>
  <si>
    <t xml:space="preserve">      5.02.23.11.59.0001</t>
  </si>
  <si>
    <t>Construc. a 3 -Sarmiento 535 Y-Inst. ElÃ©ctrica-Varios-Materiales</t>
  </si>
  <si>
    <t xml:space="preserve">      5.02.23.11.59.0003</t>
  </si>
  <si>
    <t xml:space="preserve">Construc. a 3 -Sarmiento 535 Y-Inst. ElÃ©ctrica-Varios-Mano obra de 3 </t>
  </si>
  <si>
    <t xml:space="preserve">      5.02.23.11.59.0056</t>
  </si>
  <si>
    <t>Construc. a 3 -Sarmiento 535 Y-Inst. ElÃ©ctrica-Varios-Sueldos y Jorna</t>
  </si>
  <si>
    <t xml:space="preserve">      5.02.23.11.59.0057</t>
  </si>
  <si>
    <t>Construc. a 3 -Sarmiento 535 Y-Inst. ElÃ©ctrica-Varios-Cargas Sociales</t>
  </si>
  <si>
    <t xml:space="preserve">    5.02.23.13</t>
  </si>
  <si>
    <t>Construc. a 3 -Sarmiento 535 Y-Pintura</t>
  </si>
  <si>
    <t xml:space="preserve">     5.02.23.13.59</t>
  </si>
  <si>
    <t>Construc. a 3 -Sarmiento 535 Y-Pintura-Varios</t>
  </si>
  <si>
    <t xml:space="preserve">      5.02.23.13.59.0001</t>
  </si>
  <si>
    <t>Construc. a 3 -Sarmiento 535 Y-Pintura-Varios-Materiales</t>
  </si>
  <si>
    <t xml:space="preserve">      5.02.23.13.59.0003</t>
  </si>
  <si>
    <t xml:space="preserve">Construc. a 3 -Sarmiento 535 Y-Pintura-Varios-Mano obra de 3 </t>
  </si>
  <si>
    <t xml:space="preserve">      5.02.23.13.59.0056</t>
  </si>
  <si>
    <t>Construc. a 3 -Sarmiento 535 Y-Pintura-Varios-Sueldos y Jorna</t>
  </si>
  <si>
    <t xml:space="preserve">      5.02.23.13.59.0057</t>
  </si>
  <si>
    <t>Construc. a 3 -Sarmiento 535 Y-Pintura-Varios-Cargas Sociales</t>
  </si>
  <si>
    <t xml:space="preserve">    5.02.23.15</t>
  </si>
  <si>
    <t>Construc. a 3 -Sarmiento 535 Y-Varios</t>
  </si>
  <si>
    <t xml:space="preserve">     5.02.23.15.59</t>
  </si>
  <si>
    <t>Construc. a 3 -Sarmiento 535 Y-Varios-Varios</t>
  </si>
  <si>
    <t xml:space="preserve">      5.02.23.15.59.0302</t>
  </si>
  <si>
    <t>Construc. a 3 -Sarmiento 535 Y-Varios-Varios-Edific.terminad</t>
  </si>
  <si>
    <t xml:space="preserve">     5.02.23.15.60</t>
  </si>
  <si>
    <t>Construc. a 3 -Sarmiento 535 Y-Varios-Costos Vs MO</t>
  </si>
  <si>
    <t xml:space="preserve">      5.02.23.15.60.0009</t>
  </si>
  <si>
    <t>Construc. a 3 -Sarmiento 535 Y-Varios-Costos Vs MO-Herram de Consu</t>
  </si>
  <si>
    <t xml:space="preserve">      5.02.23.15.60.0060</t>
  </si>
  <si>
    <t>Construc. a 3 -Sarmiento 535 Y-Varios-Costos Vs MO-Uniformes Perso</t>
  </si>
  <si>
    <t xml:space="preserve">      5.02.23.15.60.0076</t>
  </si>
  <si>
    <t>Construc. a 3 -Sarmiento 535 Y-Varios-Costos Vs MO-Gastos Diversos</t>
  </si>
  <si>
    <t xml:space="preserve">      5.02.23.15.60.0097</t>
  </si>
  <si>
    <t>Construc. a 3 -Sarmiento 535 Y-Varios-Costos Vs MO-Vacaciones</t>
  </si>
  <si>
    <t xml:space="preserve">      5.02.23.15.60.0098</t>
  </si>
  <si>
    <t>Construc. a 3 -Sarmiento 535 Y-Varios-Costos Vs MO-Aguinaldo</t>
  </si>
  <si>
    <t xml:space="preserve">   5.02.24</t>
  </si>
  <si>
    <t xml:space="preserve">    5.02.24.01</t>
  </si>
  <si>
    <t>Construc. a 3 -Av.Avell.561-Proyecto y dire</t>
  </si>
  <si>
    <t xml:space="preserve">     5.02.24.01.01</t>
  </si>
  <si>
    <t>Construc. a 3 -Av.Avell.561-Proyecto y dire-Honorarios proy</t>
  </si>
  <si>
    <t xml:space="preserve">      5.02.24.01.01.0075</t>
  </si>
  <si>
    <t>Construc. a 3 -Av.Avell.561-Proyecto y dire-Honorarios proy-Honorarios</t>
  </si>
  <si>
    <t xml:space="preserve">    5.02.24.02</t>
  </si>
  <si>
    <t>Construc. a 3 -Av.Avell.561-Tasas  der y se</t>
  </si>
  <si>
    <t xml:space="preserve">     5.02.24.02.02</t>
  </si>
  <si>
    <t>Construc. a 3 -Av.Avell.561-Tasas  der y se-Trab. prelimina</t>
  </si>
  <si>
    <t xml:space="preserve">      5.02.24.02.02.0004</t>
  </si>
  <si>
    <t>Construc. a 3 -Av.Avell.561-Tasas  der y se-Trab. prelimina-Permisos munici</t>
  </si>
  <si>
    <t xml:space="preserve">      5.02.24.02.02.0005</t>
  </si>
  <si>
    <t>Construc. a 3 -Av.Avell.561-Tasas  der y se-Trab. prelimina-Sellados</t>
  </si>
  <si>
    <t xml:space="preserve">      5.02.24.02.02.0006</t>
  </si>
  <si>
    <t>Construc. a 3 -Av.Avell.561-Tasas  der y se-Trab. prelimina-Otros Gtos Inic</t>
  </si>
  <si>
    <t xml:space="preserve">      5.02.24.02.02.0008</t>
  </si>
  <si>
    <t xml:space="preserve">Construc. a 3 -Av.Avell.561-Tasas  der y se-Trab. prelimina-Luz Agua Otros </t>
  </si>
  <si>
    <t xml:space="preserve">    5.02.24.03</t>
  </si>
  <si>
    <t>Construc. a 3 -Av.Avell.561-Movilidad y fle</t>
  </si>
  <si>
    <t xml:space="preserve">     5.02.24.03.03</t>
  </si>
  <si>
    <t>Construc. a 3 -Av.Avell.561-Movilidad y fle-Movilidad y Fle</t>
  </si>
  <si>
    <t xml:space="preserve">      5.02.24.03.03.0007</t>
  </si>
  <si>
    <t>Construc. a 3 -Av.Avell.561-Movilidad y fle-Movilidad y Fle-Fletes</t>
  </si>
  <si>
    <t xml:space="preserve">    5.02.24.04</t>
  </si>
  <si>
    <t>Construc. a 3 -Av.Avell.561-Mov. suelo  exc</t>
  </si>
  <si>
    <t xml:space="preserve">     5.02.24.04.04</t>
  </si>
  <si>
    <t>Construc. a 3 -Av.Avell.561-Mov. suelo  exc-Demoliciones</t>
  </si>
  <si>
    <t xml:space="preserve">      5.02.24.04.04.0002</t>
  </si>
  <si>
    <t>Construc. a 3 -Av.Avell.561-Mov. suelo  exc-Demoliciones-Mano obra Batia</t>
  </si>
  <si>
    <t xml:space="preserve">      5.02.24.04.04.0003</t>
  </si>
  <si>
    <t xml:space="preserve">Construc. a 3 -Av.Avell.561-Mov. suelo  exc-Demoliciones-Mano obra de 3 </t>
  </si>
  <si>
    <t xml:space="preserve">    5.02.24.05</t>
  </si>
  <si>
    <t>Construc. a 3 -Av.Avell.561-Estructura</t>
  </si>
  <si>
    <t xml:space="preserve">     5.02.24.05.59</t>
  </si>
  <si>
    <t>Construc. a 3 -Av.Avell.561-Estructura-Varios</t>
  </si>
  <si>
    <t xml:space="preserve">      5.02.24.05.59.0001</t>
  </si>
  <si>
    <t>Construc. a 3 -Av.Avell.561-Estructura-Varios-Materiales</t>
  </si>
  <si>
    <t xml:space="preserve">      5.02.24.05.59.0002</t>
  </si>
  <si>
    <t>Construc. a 3 -Av.Avell.561-Estructura-Varios-Mano obra Batia</t>
  </si>
  <si>
    <t xml:space="preserve">      5.02.24.05.59.0003</t>
  </si>
  <si>
    <t xml:space="preserve">Construc. a 3 -Av.Avell.561-Estructura-Varios-Mano obra de 3 </t>
  </si>
  <si>
    <t xml:space="preserve">      5.02.24.05.59.0056</t>
  </si>
  <si>
    <t>Construc. a 3 -Av.Avell.561-Estructura-Varios-Sueldos y Jorna</t>
  </si>
  <si>
    <t xml:space="preserve">      5.02.24.05.59.0057</t>
  </si>
  <si>
    <t>Construc. a 3 -Av.Avell.561-Estructura-Varios-Cargas Sociales</t>
  </si>
  <si>
    <t xml:space="preserve">    5.02.24.06</t>
  </si>
  <si>
    <t>Construc. a 3 -Av.Avell.561-AlbaÃ±ilerÃ­a</t>
  </si>
  <si>
    <t xml:space="preserve">     5.02.24.06.59</t>
  </si>
  <si>
    <t>Construc. a 3 -Av.Avell.561-AlbaÃ±ilerÃ­a-Varios</t>
  </si>
  <si>
    <t xml:space="preserve">      5.02.24.06.59.0001</t>
  </si>
  <si>
    <t>Construc. a 3 -Av.Avell.561-AlbaÃ±ilerÃ­a-Varios-Materiales</t>
  </si>
  <si>
    <t xml:space="preserve">      5.02.24.06.59.0003</t>
  </si>
  <si>
    <t xml:space="preserve">Construc. a 3 -Av.Avell.561-AlbaÃ±ilerÃ­a-Varios-Mano obra de 3 </t>
  </si>
  <si>
    <t xml:space="preserve">      5.02.24.06.59.0004</t>
  </si>
  <si>
    <t>Construc. a 3 -Av.Avell.561-AlbaÃ±ilerÃ­a-Varios-Permisos munici</t>
  </si>
  <si>
    <t xml:space="preserve">      5.02.24.06.59.0007</t>
  </si>
  <si>
    <t>Construc. a 3 -Av.Avell.561-AlbaÃ±ilerÃ­a-Varios-Fletes</t>
  </si>
  <si>
    <t xml:space="preserve">      5.02.24.06.59.0056</t>
  </si>
  <si>
    <t>Construc. a 3 -Av.Avell.561-AlbaÃ±ilerÃ­a-Varios-Sueldos y Jorna</t>
  </si>
  <si>
    <t xml:space="preserve">      5.02.24.06.59.0057</t>
  </si>
  <si>
    <t>Construc. a 3 -Av.Avell.561-AlbaÃ±ilerÃ­a-Varios-Cargas Sociales</t>
  </si>
  <si>
    <t xml:space="preserve">    5.02.24.11</t>
  </si>
  <si>
    <t>Construc. a 3 -Av.Avell.561-Inst. ElÃ©ctrica</t>
  </si>
  <si>
    <t xml:space="preserve">     5.02.24.11.59</t>
  </si>
  <si>
    <t>Construc. a 3 -Av.Avell.561-Inst. ElÃ©ctrica-Varios</t>
  </si>
  <si>
    <t xml:space="preserve">      5.02.24.11.59.0001</t>
  </si>
  <si>
    <t>Construc. a 3 -Av.Avell.561-Inst. ElÃ©ctrica-Varios-Materiales</t>
  </si>
  <si>
    <t xml:space="preserve">      5.02.24.11.59.0003</t>
  </si>
  <si>
    <t xml:space="preserve">Construc. a 3 -Av.Avell.561-Inst. ElÃ©ctrica-Varios-Mano obra de 3 </t>
  </si>
  <si>
    <t xml:space="preserve">    5.02.24.15</t>
  </si>
  <si>
    <t>Construc. a 3 -Av.Avell.561-Varios</t>
  </si>
  <si>
    <t xml:space="preserve">     5.02.24.15.59</t>
  </si>
  <si>
    <t>Construc. a 3 -Av.Avell.561-Varios-Varios</t>
  </si>
  <si>
    <t xml:space="preserve">      5.02.24.15.59.0009</t>
  </si>
  <si>
    <t>Construc. a 3 -Av.Avell.561-Varios-Varios-Herram de Consu</t>
  </si>
  <si>
    <t xml:space="preserve">      5.02.24.15.59.0060</t>
  </si>
  <si>
    <t>Construc. a 3 -Av.Avell.561-Varios-Varios-Uniformes Perso</t>
  </si>
  <si>
    <t xml:space="preserve">      5.02.24.15.59.0069</t>
  </si>
  <si>
    <t>Construc. a 3 -Av.Avell.561-Varios-Varios-Seguros</t>
  </si>
  <si>
    <t xml:space="preserve">      5.02.24.15.59.0076</t>
  </si>
  <si>
    <t>Construc. a 3 -Av.Avell.561-Varios-Varios-Gastos Diversos</t>
  </si>
  <si>
    <t xml:space="preserve">      5.02.24.15.59.0079</t>
  </si>
  <si>
    <t>Construc. a 3 -Av.Avell.561-Varios-Varios-Rep. y Mant. Ro</t>
  </si>
  <si>
    <t xml:space="preserve">     5.02.24.15.60</t>
  </si>
  <si>
    <t>Construc. a 3 -Av.Avell.561-Varios-Costos Vs MO</t>
  </si>
  <si>
    <t xml:space="preserve">      5.02.24.15.60.0097</t>
  </si>
  <si>
    <t>Construc. a 3 -Av.Avell.561-Varios-Costos Vs MO-Vacaciones</t>
  </si>
  <si>
    <t xml:space="preserve">      5.02.24.15.60.0098</t>
  </si>
  <si>
    <t>Construc. a 3 -Av.Avell.561-Varios-Costos Vs MO-Aguinaldo</t>
  </si>
  <si>
    <t xml:space="preserve">   5.02.25</t>
  </si>
  <si>
    <t xml:space="preserve">    5.02.25.04</t>
  </si>
  <si>
    <t>Construc. a 3 -Santiago 711-Mov. suelo  exc</t>
  </si>
  <si>
    <t xml:space="preserve">     5.02.25.04.04</t>
  </si>
  <si>
    <t>Construc. a 3 -Santiago 711-Mov. suelo  exc-Demoliciones</t>
  </si>
  <si>
    <t xml:space="preserve">      5.02.25.04.04.0056</t>
  </si>
  <si>
    <t>Construc. a 3 -Santiago 711-Mov. suelo  exc-Demoliciones-Sueldos y Jorna</t>
  </si>
  <si>
    <t xml:space="preserve">      5.02.25.04.04.0057</t>
  </si>
  <si>
    <t>Construc. a 3 -Santiago 711-Mov. suelo  exc-Demoliciones-Cargas Sociales</t>
  </si>
  <si>
    <t xml:space="preserve">     5.02.25.04.59</t>
  </si>
  <si>
    <t>Construc. a 3 -Santiago 711-Mov. suelo  exc-Varios</t>
  </si>
  <si>
    <t xml:space="preserve">      5.02.25.04.59.0056</t>
  </si>
  <si>
    <t>Construc. a 3 -Santiago 711-Mov. suelo  exc-Varios-Sueldos y Jorna</t>
  </si>
  <si>
    <t xml:space="preserve">      5.02.25.04.59.0057</t>
  </si>
  <si>
    <t>Construc. a 3 -Santiago 711-Mov. suelo  exc-Varios-Cargas Sociales</t>
  </si>
  <si>
    <t xml:space="preserve">    5.02.25.05</t>
  </si>
  <si>
    <t>Construc. a 3 -Santiago 711-Estructura</t>
  </si>
  <si>
    <t xml:space="preserve">     5.02.25.05.59</t>
  </si>
  <si>
    <t>Construc. a 3 -Santiago 711-Estructura-Varios</t>
  </si>
  <si>
    <t xml:space="preserve">      5.02.25.05.59.0056</t>
  </si>
  <si>
    <t>Construc. a 3 -Santiago 711-Estructura-Varios-Sueldos y Jorna</t>
  </si>
  <si>
    <t xml:space="preserve">      5.02.25.05.59.0057</t>
  </si>
  <si>
    <t>Construc. a 3 -Santiago 711-Estructura-Varios-Cargas Sociales</t>
  </si>
  <si>
    <t xml:space="preserve">    5.02.25.06</t>
  </si>
  <si>
    <t>Construc. a 3 -Santiago 711-AlbaÃ±ilerÃ­a</t>
  </si>
  <si>
    <t xml:space="preserve">     5.02.25.06.59</t>
  </si>
  <si>
    <t>Construc. a 3 -Santiago 711-AlbaÃ±ilerÃ­a-Varios</t>
  </si>
  <si>
    <t xml:space="preserve">      5.02.25.06.59.0056</t>
  </si>
  <si>
    <t>Construc. a 3 -Santiago 711-AlbaÃ±ilerÃ­a-Varios-Sueldos y Jorna</t>
  </si>
  <si>
    <t xml:space="preserve">      5.02.25.06.59.0057</t>
  </si>
  <si>
    <t>Construc. a 3 -Santiago 711-AlbaÃ±ilerÃ­a-Varios-Cargas Sociales</t>
  </si>
  <si>
    <t xml:space="preserve">    5.02.25.08</t>
  </si>
  <si>
    <t>Construc. a 3 -Santiago 711-YeserÃ­a</t>
  </si>
  <si>
    <t xml:space="preserve">     5.02.25.08.59</t>
  </si>
  <si>
    <t>Construc. a 3 -Santiago 711-YeserÃ­a-Varios</t>
  </si>
  <si>
    <t xml:space="preserve">      5.02.25.08.59.0056</t>
  </si>
  <si>
    <t>Construc. a 3 -Santiago 711-YeserÃ­a-Varios-Sueldos y Jorna</t>
  </si>
  <si>
    <t xml:space="preserve">      5.02.25.08.59.0057</t>
  </si>
  <si>
    <t>Construc. a 3 -Santiago 711-YeserÃ­a-Varios-Cargas Sociales</t>
  </si>
  <si>
    <t xml:space="preserve">    5.02.25.09</t>
  </si>
  <si>
    <t>Construc. a 3 -Santiago 711-CarpinterÃ­a</t>
  </si>
  <si>
    <t xml:space="preserve">     5.02.25.09.59</t>
  </si>
  <si>
    <t>Construc. a 3 -Santiago 711-CarpinterÃ­a-Varios</t>
  </si>
  <si>
    <t xml:space="preserve">      5.02.25.09.59.0056</t>
  </si>
  <si>
    <t>Construc. a 3 -Santiago 711-CarpinterÃ­a-Varios-Sueldos y Jorna</t>
  </si>
  <si>
    <t xml:space="preserve">      5.02.25.09.59.0057</t>
  </si>
  <si>
    <t>Construc. a 3 -Santiago 711-CarpinterÃ­a-Varios-Cargas Sociales</t>
  </si>
  <si>
    <t xml:space="preserve">    5.02.25.10</t>
  </si>
  <si>
    <t>Construc. a 3 -Santiago 711-Sanitarios</t>
  </si>
  <si>
    <t xml:space="preserve">     5.02.25.10.59</t>
  </si>
  <si>
    <t>Construc. a 3 -Santiago 711-Sanitarios-Varios</t>
  </si>
  <si>
    <t xml:space="preserve">      5.02.25.10.59.0056</t>
  </si>
  <si>
    <t>Construc. a 3 -Santiago 711-Sanitarios-Varios-Sueldos y Jorna</t>
  </si>
  <si>
    <t xml:space="preserve">      5.02.25.10.59.0057</t>
  </si>
  <si>
    <t>Construc. a 3 -Santiago 711-Sanitarios-Varios-Cargas Sociales</t>
  </si>
  <si>
    <t xml:space="preserve">    5.02.25.13</t>
  </si>
  <si>
    <t>Construc. a 3 -Santiago 711-Pintura</t>
  </si>
  <si>
    <t xml:space="preserve">     5.02.25.13.59</t>
  </si>
  <si>
    <t>Construc. a 3 -Santiago 711-Pintura-Varios</t>
  </si>
  <si>
    <t xml:space="preserve">      5.02.25.13.59.0056</t>
  </si>
  <si>
    <t>Construc. a 3 -Santiago 711-Pintura-Varios-Sueldos y Jorna</t>
  </si>
  <si>
    <t xml:space="preserve">      5.02.25.13.59.0057</t>
  </si>
  <si>
    <t>Construc. a 3 -Santiago 711-Pintura-Varios-Cargas Sociales</t>
  </si>
  <si>
    <t xml:space="preserve">    5.02.25.15</t>
  </si>
  <si>
    <t>Construc. a 3 -Santiago 711-Varios</t>
  </si>
  <si>
    <t xml:space="preserve">     5.02.25.15.59</t>
  </si>
  <si>
    <t>Construc. a 3 -Santiago 711-Varios-Varios</t>
  </si>
  <si>
    <t xml:space="preserve">      5.02.25.15.59.0302</t>
  </si>
  <si>
    <t>Construc. a 3 -Santiago 711-Varios-Varios-Edific.terminad</t>
  </si>
  <si>
    <t xml:space="preserve">     5.02.25.15.60</t>
  </si>
  <si>
    <t>Construc. a 3 -Santiago 711-Varios-Costos Vs MO</t>
  </si>
  <si>
    <t xml:space="preserve">      5.02.25.15.60.0009</t>
  </si>
  <si>
    <t>Construc. a 3 -Santiago 711-Varios-Costos Vs MO-Herram de Consu</t>
  </si>
  <si>
    <t xml:space="preserve">      5.02.25.15.60.0060</t>
  </si>
  <si>
    <t>Construc. a 3 -Santiago 711-Varios-Costos Vs MO-Uniformes Perso</t>
  </si>
  <si>
    <t xml:space="preserve">      5.02.25.15.60.0076</t>
  </si>
  <si>
    <t>Construc. a 3 -Santiago 711-Varios-Costos Vs MO-Gastos Diversos</t>
  </si>
  <si>
    <t xml:space="preserve">      5.02.25.15.60.0097</t>
  </si>
  <si>
    <t>Construc. a 3 -Santiago 711-Varios-Costos Vs MO-Vacaciones</t>
  </si>
  <si>
    <t xml:space="preserve">      5.02.25.15.60.0098</t>
  </si>
  <si>
    <t>Construc. a 3 -Santiago 711-Varios-Costos Vs MO-Aguinaldo</t>
  </si>
  <si>
    <t xml:space="preserve">   5.02.26</t>
  </si>
  <si>
    <t xml:space="preserve">    5.02.26.01</t>
  </si>
  <si>
    <t>Construc. a 3 -Piedras 773-Proyecto y dire</t>
  </si>
  <si>
    <t xml:space="preserve">     5.02.26.01.01</t>
  </si>
  <si>
    <t>Construc. a 3 -Piedras 773-Proyecto y dire-Honorarios proy</t>
  </si>
  <si>
    <t xml:space="preserve">      5.02.26.01.01.0075</t>
  </si>
  <si>
    <t>Construc. a 3 -Piedras 773-Proyecto y dire-Honorarios proy-Honorarios</t>
  </si>
  <si>
    <t xml:space="preserve">    5.02.26.04</t>
  </si>
  <si>
    <t>Construc. a 3 -Piedras 773-Mov. suelo  exc</t>
  </si>
  <si>
    <t xml:space="preserve">     5.02.26.04.04</t>
  </si>
  <si>
    <t>Construc. a 3 -Piedras 773-Mov. suelo  exc-Demoliciones</t>
  </si>
  <si>
    <t xml:space="preserve">      5.02.26.04.04.0001</t>
  </si>
  <si>
    <t>Construc. a 3 -Piedras 773-Mov. suelo  exc-Demoliciones-Materiales</t>
  </si>
  <si>
    <t xml:space="preserve">      5.02.26.04.04.0003</t>
  </si>
  <si>
    <t xml:space="preserve">Construc. a 3 -Piedras 773-Mov. suelo  exc-Demoliciones-Mano obra de 3 </t>
  </si>
  <si>
    <t xml:space="preserve">      5.02.26.04.04.0056</t>
  </si>
  <si>
    <t>Construc. a 3 -Piedras 773-Mov. suelo  exc-Demoliciones-Sueldos y Jorna</t>
  </si>
  <si>
    <t xml:space="preserve">      5.02.26.04.04.0057</t>
  </si>
  <si>
    <t>Construc. a 3 -Piedras 773-Mov. suelo  exc-Demoliciones-Cargas Sociales</t>
  </si>
  <si>
    <t xml:space="preserve">     5.02.26.04.05</t>
  </si>
  <si>
    <t>Construc. a 3 -Piedras 773-Mov. suelo  exc-Movimiento tier</t>
  </si>
  <si>
    <t xml:space="preserve">      5.02.26.04.05.0003</t>
  </si>
  <si>
    <t xml:space="preserve">Construc. a 3 -Piedras 773-Mov. suelo  exc-Movimiento tier-Mano obra de 3 </t>
  </si>
  <si>
    <t xml:space="preserve">     5.02.26.04.59</t>
  </si>
  <si>
    <t>Construc. a 3 -Piedras 773-Mov. suelo  exc-Varios</t>
  </si>
  <si>
    <t xml:space="preserve">      5.02.26.04.59.0056</t>
  </si>
  <si>
    <t>Construc. a 3 -Piedras 773-Mov. suelo  exc-Varios-Sueldos y Jorna</t>
  </si>
  <si>
    <t xml:space="preserve">      5.02.26.04.59.0057</t>
  </si>
  <si>
    <t>Construc. a 3 -Piedras 773-Mov. suelo  exc-Varios-Cargas Sociales</t>
  </si>
  <si>
    <t xml:space="preserve">    5.02.26.05</t>
  </si>
  <si>
    <t>Construc. a 3 -Piedras 773-Estructura</t>
  </si>
  <si>
    <t xml:space="preserve">     5.02.26.05.59</t>
  </si>
  <si>
    <t>Construc. a 3 -Piedras 773-Estructura-Varios</t>
  </si>
  <si>
    <t xml:space="preserve">      5.02.26.05.59.0001</t>
  </si>
  <si>
    <t>Construc. a 3 -Piedras 773-Estructura-Varios-Materiales</t>
  </si>
  <si>
    <t xml:space="preserve">      5.02.26.05.59.0003</t>
  </si>
  <si>
    <t xml:space="preserve">Construc. a 3 -Piedras 773-Estructura-Varios-Mano obra de 3 </t>
  </si>
  <si>
    <t xml:space="preserve">      5.02.26.05.59.0004</t>
  </si>
  <si>
    <t>Construc. a 3 -Piedras 773-Estructura-Varios-Permisos munici</t>
  </si>
  <si>
    <t xml:space="preserve">      5.02.26.05.59.0007</t>
  </si>
  <si>
    <t>Construc. a 3 -Piedras 773-Estructura-Varios-Fletes</t>
  </si>
  <si>
    <t xml:space="preserve">      5.02.26.05.59.0056</t>
  </si>
  <si>
    <t>Construc. a 3 -Piedras 773-Estructura-Varios-Sueldos y Jorna</t>
  </si>
  <si>
    <t xml:space="preserve">      5.02.26.05.59.0057</t>
  </si>
  <si>
    <t>Construc. a 3 -Piedras 773-Estructura-Varios-Cargas Sociales</t>
  </si>
  <si>
    <t xml:space="preserve">    5.02.26.06</t>
  </si>
  <si>
    <t>Construc. a 3 -Piedras 773-AlbaÃ±ilerÃ­a</t>
  </si>
  <si>
    <t xml:space="preserve">     5.02.26.06.59</t>
  </si>
  <si>
    <t>Construc. a 3 -Piedras 773-AlbaÃ±ilerÃ­a-Varios</t>
  </si>
  <si>
    <t xml:space="preserve">      5.02.26.06.59.0001</t>
  </si>
  <si>
    <t>Construc. a 3 -Piedras 773-AlbaÃ±ilerÃ­a-Varios-Materiales</t>
  </si>
  <si>
    <t xml:space="preserve">      5.02.26.06.59.0003</t>
  </si>
  <si>
    <t xml:space="preserve">Construc. a 3 -Piedras 773-AlbaÃ±ilerÃ­a-Varios-Mano obra de 3 </t>
  </si>
  <si>
    <t xml:space="preserve">      5.02.26.06.59.0004</t>
  </si>
  <si>
    <t>Construc. a 3 -Piedras 773-AlbaÃ±ilerÃ­a-Varios-Permisos munici</t>
  </si>
  <si>
    <t xml:space="preserve">      5.02.26.06.59.0007</t>
  </si>
  <si>
    <t>Construc. a 3 -Piedras 773-AlbaÃ±ilerÃ­a-Varios-Fletes</t>
  </si>
  <si>
    <t xml:space="preserve">      5.02.26.06.59.0056</t>
  </si>
  <si>
    <t>Construc. a 3 -Piedras 773-AlbaÃ±ilerÃ­a-Varios-Sueldos y Jorna</t>
  </si>
  <si>
    <t xml:space="preserve">      5.02.26.06.59.0057</t>
  </si>
  <si>
    <t>Construc. a 3 -Piedras 773-AlbaÃ±ilerÃ­a-Varios-Cargas Sociales</t>
  </si>
  <si>
    <t xml:space="preserve">    5.02.26.10</t>
  </si>
  <si>
    <t>Construc. a 3 -Piedras 773-Sanitarios</t>
  </si>
  <si>
    <t xml:space="preserve">     5.02.26.10.59</t>
  </si>
  <si>
    <t>Construc. a 3 -Piedras 773-Sanitarios-Varios</t>
  </si>
  <si>
    <t xml:space="preserve">      5.02.26.10.59.0056</t>
  </si>
  <si>
    <t>Construc. a 3 -Piedras 773-Sanitarios-Varios-Sueldos y Jorna</t>
  </si>
  <si>
    <t xml:space="preserve">      5.02.26.10.59.0057</t>
  </si>
  <si>
    <t>Construc. a 3 -Piedras 773-Sanitarios-Varios-Cargas Sociales</t>
  </si>
  <si>
    <t xml:space="preserve">    5.02.26.11</t>
  </si>
  <si>
    <t>Construc. a 3 -Piedras 773-Inst. ElÃ©ctrica</t>
  </si>
  <si>
    <t xml:space="preserve">     5.02.26.11.59</t>
  </si>
  <si>
    <t>Construc. a 3 -Piedras 773-Inst. ElÃ©ctrica-Varios</t>
  </si>
  <si>
    <t xml:space="preserve">      5.02.26.11.59.0001</t>
  </si>
  <si>
    <t>Construc. a 3 -Piedras 773-Inst. ElÃ©ctrica-Varios-Materiales</t>
  </si>
  <si>
    <t xml:space="preserve">      5.02.26.11.59.0003</t>
  </si>
  <si>
    <t xml:space="preserve">Construc. a 3 -Piedras 773-Inst. ElÃ©ctrica-Varios-Mano obra de 3 </t>
  </si>
  <si>
    <t xml:space="preserve">      5.02.26.11.59.0056</t>
  </si>
  <si>
    <t>Construc. a 3 -Piedras 773-Inst. ElÃ©ctrica-Varios-Sueldos y Jorna</t>
  </si>
  <si>
    <t xml:space="preserve">      5.02.26.11.59.0057</t>
  </si>
  <si>
    <t>Construc. a 3 -Piedras 773-Inst. ElÃ©ctrica-Varios-Cargas Sociales</t>
  </si>
  <si>
    <t xml:space="preserve">    5.02.26.15</t>
  </si>
  <si>
    <t>Construc. a 3 -Piedras 773-Varios</t>
  </si>
  <si>
    <t xml:space="preserve">     5.02.26.15.59</t>
  </si>
  <si>
    <t>Construc. a 3 -Piedras 773-Varios-Varios</t>
  </si>
  <si>
    <t xml:space="preserve">      5.02.26.15.59.0302</t>
  </si>
  <si>
    <t>Construc. a 3 -Piedras 773-Varios-Varios-Edific.terminad</t>
  </si>
  <si>
    <t xml:space="preserve">     5.02.26.15.60</t>
  </si>
  <si>
    <t>Construc. a 3 -Piedras 773-Varios-Costos Vs MO</t>
  </si>
  <si>
    <t xml:space="preserve">      5.02.26.15.60.0009</t>
  </si>
  <si>
    <t>Construc. a 3 -Piedras 773-Varios-Costos Vs MO-Herram de Consu</t>
  </si>
  <si>
    <t xml:space="preserve">      5.02.26.15.60.0060</t>
  </si>
  <si>
    <t>Construc. a 3 -Piedras 773-Varios-Costos Vs MO-Uniformes Perso</t>
  </si>
  <si>
    <t xml:space="preserve">      5.02.26.15.60.0076</t>
  </si>
  <si>
    <t>Construc. a 3 -Piedras 773-Varios-Costos Vs MO-Gastos Diversos</t>
  </si>
  <si>
    <t xml:space="preserve">      5.02.26.15.60.0097</t>
  </si>
  <si>
    <t>Construc. a 3 -Piedras 773-Varios-Costos Vs MO-Vacaciones</t>
  </si>
  <si>
    <t xml:space="preserve">      5.02.26.15.60.0098</t>
  </si>
  <si>
    <t>Construc. a 3 -Piedras 773-Varios-Costos Vs MO-Aguinaldo</t>
  </si>
  <si>
    <t xml:space="preserve">   5.02.27</t>
  </si>
  <si>
    <t xml:space="preserve">    5.02.27.01</t>
  </si>
  <si>
    <t>Construc. a 3 -Ruta 9-Proyecto y dire</t>
  </si>
  <si>
    <t xml:space="preserve">     5.02.27.01.01</t>
  </si>
  <si>
    <t>Construc. a 3 -Ruta 9-Proyecto y dire-Honorarios proy</t>
  </si>
  <si>
    <t xml:space="preserve">      5.02.27.01.01.0075</t>
  </si>
  <si>
    <t>Construc. a 3 -Ruta 9-Proyecto y dire-Honorarios proy-Honorarios</t>
  </si>
  <si>
    <t xml:space="preserve">      5.02.27.01.01.0315</t>
  </si>
  <si>
    <t>Construc. a 3 -Ruta 9-Proyecto y dire-Honorarios proy-Hon.Hig.y segur</t>
  </si>
  <si>
    <t xml:space="preserve">    5.02.27.03</t>
  </si>
  <si>
    <t>Construc. a 3 -Ruta 9-Movilidad y fle</t>
  </si>
  <si>
    <t xml:space="preserve">     5.02.27.03.03</t>
  </si>
  <si>
    <t>Construc. a 3 -Ruta 9-Movilidad y fle-Movilidad y Fle</t>
  </si>
  <si>
    <t xml:space="preserve">      5.02.27.03.03.0007</t>
  </si>
  <si>
    <t>Construc. a 3 -Ruta 9-Movilidad y fle-Movilidad y Fle-Fletes</t>
  </si>
  <si>
    <t xml:space="preserve">    5.02.27.04</t>
  </si>
  <si>
    <t>Construc. a 3 -Ruta 9-Mov. suelo  exc</t>
  </si>
  <si>
    <t xml:space="preserve">     5.02.27.04.04</t>
  </si>
  <si>
    <t>Construc. a 3 -Ruta 9-Mov. suelo  exc-Demoliciones</t>
  </si>
  <si>
    <t xml:space="preserve">      5.02.27.04.04.0316</t>
  </si>
  <si>
    <t>Construc. a 3 -Ruta 9-Mov. suelo  exc-Demoliciones-Excavac.a mano</t>
  </si>
  <si>
    <t xml:space="preserve">      5.02.27.04.04.0317</t>
  </si>
  <si>
    <t>Construc. a 3 -Ruta 9-Mov. suelo  exc-Demoliciones-Excavac.a mÃ¡qui</t>
  </si>
  <si>
    <t xml:space="preserve">      5.02.27.04.04.0318</t>
  </si>
  <si>
    <t>Construc. a 3 -Ruta 9-Mov. suelo  exc-Demoliciones-Retiro de tierr</t>
  </si>
  <si>
    <t xml:space="preserve">     5.02.27.04.05</t>
  </si>
  <si>
    <t>Construc. a 3 -Ruta 9-Mov. suelo  exc-Movimiento tier</t>
  </si>
  <si>
    <t xml:space="preserve">      5.02.27.04.05.0002</t>
  </si>
  <si>
    <t>Construc. a 3 -Ruta 9-Mov. suelo  exc-Movimiento tier-Mano obra Batia</t>
  </si>
  <si>
    <t xml:space="preserve">      5.02.27.04.05.0003</t>
  </si>
  <si>
    <t xml:space="preserve">Construc. a 3 -Ruta 9-Mov. suelo  exc-Movimiento tier-Mano obra de 3 </t>
  </si>
  <si>
    <t xml:space="preserve">      5.02.27.04.05.0440</t>
  </si>
  <si>
    <t>Construc. a 3 -Ruta 9-Mov. suelo  exc-Movimiento tier-Cercado Perimet</t>
  </si>
  <si>
    <t xml:space="preserve">    5.02.27.05</t>
  </si>
  <si>
    <t>Construc. a 3 -Ruta 9-Estructura</t>
  </si>
  <si>
    <t xml:space="preserve">     5.02.27.05.08</t>
  </si>
  <si>
    <t>Construc. a 3 -Ruta 9-Estructura-Cimientos</t>
  </si>
  <si>
    <t xml:space="preserve">      5.02.27.05.08.0440</t>
  </si>
  <si>
    <t>Construc. a 3 -Ruta 9-Estructura-Cimientos-Cercado Perimet</t>
  </si>
  <si>
    <t xml:space="preserve">     5.02.27.05.59</t>
  </si>
  <si>
    <t>Construc. a 3 -Ruta 9-Estructura-Varios</t>
  </si>
  <si>
    <t xml:space="preserve">      5.02.27.05.59.0001</t>
  </si>
  <si>
    <t>Construc. a 3 -Ruta 9-Estructura-Varios-Materiales</t>
  </si>
  <si>
    <t xml:space="preserve">      5.02.27.05.59.0003</t>
  </si>
  <si>
    <t xml:space="preserve">Construc. a 3 -Ruta 9-Estructura-Varios-Mano obra de 3 </t>
  </si>
  <si>
    <t xml:space="preserve">      5.02.27.05.59.0004</t>
  </si>
  <si>
    <t>Construc. a 3 -Ruta 9-Estructura-Varios-Permisos munici</t>
  </si>
  <si>
    <t xml:space="preserve">      5.02.27.05.59.0007</t>
  </si>
  <si>
    <t>Construc. a 3 -Ruta 9-Estructura-Varios-Fletes</t>
  </si>
  <si>
    <t xml:space="preserve">      5.02.27.05.59.0056</t>
  </si>
  <si>
    <t>Construc. a 3 -Ruta 9-Estructura-Varios-Sueldos y Jorna</t>
  </si>
  <si>
    <t xml:space="preserve">      5.02.27.05.59.0057</t>
  </si>
  <si>
    <t>Construc. a 3 -Ruta 9-Estructura-Varios-Cargas Sociales</t>
  </si>
  <si>
    <t xml:space="preserve">      5.02.27.05.59.0310</t>
  </si>
  <si>
    <t>Construc. a 3 -Ruta 9-Estructura-Varios-Madera</t>
  </si>
  <si>
    <t xml:space="preserve">      5.02.27.05.59.0311</t>
  </si>
  <si>
    <t>Construc. a 3 -Ruta 9-Estructura-Varios-Materiales elÃ©c</t>
  </si>
  <si>
    <t xml:space="preserve">      5.02.27.05.59.0312</t>
  </si>
  <si>
    <t>Construc. a 3 -Ruta 9-Estructura-Varios-Clavos y alambr</t>
  </si>
  <si>
    <t xml:space="preserve">      5.02.27.05.59.0313</t>
  </si>
  <si>
    <t>Construc. a 3 -Ruta 9-Estructura-Varios-Telgopor</t>
  </si>
  <si>
    <t xml:space="preserve">    5.02.27.06</t>
  </si>
  <si>
    <t>Construc. a 3 -Ruta 9-AlbaÃ±ilerÃ­a</t>
  </si>
  <si>
    <t xml:space="preserve">     5.02.27.06.59</t>
  </si>
  <si>
    <t>Construc. a 3 -Ruta 9-AlbaÃ±ilerÃ­a-Varios</t>
  </si>
  <si>
    <t xml:space="preserve">      5.02.27.06.59.0001</t>
  </si>
  <si>
    <t>Construc. a 3 -Ruta 9-AlbaÃ±ilerÃ­a-Varios-Materiales</t>
  </si>
  <si>
    <t xml:space="preserve">      5.02.27.06.59.0003</t>
  </si>
  <si>
    <t xml:space="preserve">Construc. a 3 -Ruta 9-AlbaÃ±ilerÃ­a-Varios-Mano obra de 3 </t>
  </si>
  <si>
    <t xml:space="preserve">      5.02.27.06.59.0004</t>
  </si>
  <si>
    <t>Construc. a 3 -Ruta 9-AlbaÃ±ilerÃ­a-Varios-Permisos munici</t>
  </si>
  <si>
    <t xml:space="preserve">      5.02.27.06.59.0007</t>
  </si>
  <si>
    <t>Construc. a 3 -Ruta 9-AlbaÃ±ilerÃ­a-Varios-Fletes</t>
  </si>
  <si>
    <t xml:space="preserve">      5.02.27.06.59.0056</t>
  </si>
  <si>
    <t>Construc. a 3 -Ruta 9-AlbaÃ±ilerÃ­a-Varios-Sueldos y Jorna</t>
  </si>
  <si>
    <t xml:space="preserve">      5.02.27.06.59.0057</t>
  </si>
  <si>
    <t>Construc. a 3 -Ruta 9-AlbaÃ±ilerÃ­a-Varios-Cargas Sociales</t>
  </si>
  <si>
    <t xml:space="preserve">    5.02.27.09</t>
  </si>
  <si>
    <t>Construc. a 3 -Ruta 9-CarpinterÃ­a</t>
  </si>
  <si>
    <t xml:space="preserve">     5.02.27.09.59</t>
  </si>
  <si>
    <t>Construc. a 3 -Ruta 9-CarpinterÃ­a-Varios</t>
  </si>
  <si>
    <t xml:space="preserve">      5.02.27.09.59.0056</t>
  </si>
  <si>
    <t>Construc. a 3 -Ruta 9-CarpinterÃ­a-Varios-Sueldos y Jorna</t>
  </si>
  <si>
    <t xml:space="preserve">      5.02.27.09.59.0057</t>
  </si>
  <si>
    <t>Construc. a 3 -Ruta 9-CarpinterÃ­a-Varios-Cargas Sociales</t>
  </si>
  <si>
    <t xml:space="preserve">    5.02.27.10</t>
  </si>
  <si>
    <t>Construc. a 3 -Ruta 9-Sanitarios</t>
  </si>
  <si>
    <t xml:space="preserve">     5.02.27.10.47</t>
  </si>
  <si>
    <t>Construc. a 3 -Ruta 9-Sanitarios-Inst Sanitaria</t>
  </si>
  <si>
    <t xml:space="preserve">      5.02.27.10.47.0003</t>
  </si>
  <si>
    <t xml:space="preserve">Construc. a 3 -Ruta 9-Sanitarios-Inst Sanitaria-Mano obra de 3 </t>
  </si>
  <si>
    <t xml:space="preserve">    5.02.27.11</t>
  </si>
  <si>
    <t>Construc. a 3 -Ruta 9-Inst. ElÃ©ctrica</t>
  </si>
  <si>
    <t xml:space="preserve">     5.02.27.11.53</t>
  </si>
  <si>
    <t>Construc. a 3 -Ruta 9-Inst. ElÃ©ctrica-Inst elÃ©ctrica</t>
  </si>
  <si>
    <t xml:space="preserve">      5.02.27.11.53.0003</t>
  </si>
  <si>
    <t xml:space="preserve">Construc. a 3 -Ruta 9-Inst. ElÃ©ctrica-Inst elÃ©ctrica-Mano obra de 3 </t>
  </si>
  <si>
    <t xml:space="preserve">    5.02.27.13</t>
  </si>
  <si>
    <t>Construc. a 3 -Ruta 9-Pintura</t>
  </si>
  <si>
    <t xml:space="preserve">     5.02.27.13.56</t>
  </si>
  <si>
    <t>Construc. a 3 -Ruta 9-Pintura-Pinturas</t>
  </si>
  <si>
    <t xml:space="preserve">      5.02.27.13.56.0003</t>
  </si>
  <si>
    <t xml:space="preserve">Construc. a 3 -Ruta 9-Pintura-Pinturas-Mano obra de 3 </t>
  </si>
  <si>
    <t xml:space="preserve">    5.02.27.15</t>
  </si>
  <si>
    <t>Construc. a 3 -Ruta 9-Varios</t>
  </si>
  <si>
    <t xml:space="preserve">     5.02.27.15.59</t>
  </si>
  <si>
    <t>Construc. a 3 -Ruta 9-Varios-Varios</t>
  </si>
  <si>
    <t xml:space="preserve">      5.02.27.15.59.0084</t>
  </si>
  <si>
    <t xml:space="preserve">Construc. a 3 -Ruta 9-Varios-Varios-Gs Seguridad y </t>
  </si>
  <si>
    <t xml:space="preserve">      5.02.27.15.59.0314</t>
  </si>
  <si>
    <t>Construc. a 3 -Ruta 9-Varios-Varios-Materiales a re</t>
  </si>
  <si>
    <t xml:space="preserve">     5.02.27.15.60</t>
  </si>
  <si>
    <t>Construc. a 3 -Ruta 9-Varios-Costos Vs MO</t>
  </si>
  <si>
    <t xml:space="preserve">      5.02.27.15.60.0009</t>
  </si>
  <si>
    <t>Construc. a 3 -Ruta 9-Varios-Costos Vs MO-Herram de Consu</t>
  </si>
  <si>
    <t xml:space="preserve">      5.02.27.15.60.0060</t>
  </si>
  <si>
    <t>Construc. a 3 -Ruta 9-Varios-Costos Vs MO-Uniformes Perso</t>
  </si>
  <si>
    <t xml:space="preserve">      5.02.27.15.60.0076</t>
  </si>
  <si>
    <t>Construc. a 3 -Ruta 9-Varios-Costos Vs MO-Gastos Diversos</t>
  </si>
  <si>
    <t xml:space="preserve">      5.02.27.15.60.0097</t>
  </si>
  <si>
    <t>Construc. a 3 -Ruta 9-Varios-Costos Vs MO-Vacaciones</t>
  </si>
  <si>
    <t xml:space="preserve">      5.02.27.15.60.0098</t>
  </si>
  <si>
    <t>Construc. a 3 -Ruta 9-Varios-Costos Vs MO-Aguinaldo</t>
  </si>
  <si>
    <t xml:space="preserve">   5.02.28</t>
  </si>
  <si>
    <t xml:space="preserve">    5.02.28.01</t>
  </si>
  <si>
    <t>Construc. a 3 -24 Septiembre 3-Proyecto y dire</t>
  </si>
  <si>
    <t xml:space="preserve">     5.02.28.01.01</t>
  </si>
  <si>
    <t>Construc. a 3 -24 Septiembre 3-Proyecto y dire-Honorarios proy</t>
  </si>
  <si>
    <t xml:space="preserve">      5.02.28.01.01.0075</t>
  </si>
  <si>
    <t>Construc. a 3 -24 Septiembre 3-Proyecto y dire-Honorarios proy-Honorarios</t>
  </si>
  <si>
    <t xml:space="preserve">    5.02.28.04</t>
  </si>
  <si>
    <t>Construc. a 3 -24 Septiembre 3-Mov. suelo  exc</t>
  </si>
  <si>
    <t xml:space="preserve">     5.02.28.04.04</t>
  </si>
  <si>
    <t>Construc. a 3 -24 Septiembre 3-Mov. suelo  exc-Demoliciones</t>
  </si>
  <si>
    <t xml:space="preserve">      5.02.28.04.04.0001</t>
  </si>
  <si>
    <t>Construc. a 3 -24 Septiembre 3-Mov. suelo  exc-Demoliciones-Materiales</t>
  </si>
  <si>
    <t xml:space="preserve">      5.02.28.04.04.0003</t>
  </si>
  <si>
    <t xml:space="preserve">Construc. a 3 -24 Septiembre 3-Mov. suelo  exc-Demoliciones-Mano obra de 3 </t>
  </si>
  <si>
    <t xml:space="preserve">      5.02.28.04.04.0056</t>
  </si>
  <si>
    <t>Construc. a 3 -24 Septiembre 3-Mov. suelo  exc-Demoliciones-Sueldos y Jorna</t>
  </si>
  <si>
    <t xml:space="preserve">      5.02.28.04.04.0057</t>
  </si>
  <si>
    <t>Construc. a 3 -24 Septiembre 3-Mov. suelo  exc-Demoliciones-Cargas Sociales</t>
  </si>
  <si>
    <t xml:space="preserve">    5.02.28.05</t>
  </si>
  <si>
    <t>Construc. a 3 -24 Septiembre 3-Estructura</t>
  </si>
  <si>
    <t xml:space="preserve">     5.02.28.05.59</t>
  </si>
  <si>
    <t>Construc. a 3 -24 Septiembre 3-Estructura-Varios</t>
  </si>
  <si>
    <t xml:space="preserve">      5.02.28.05.59.0001</t>
  </si>
  <si>
    <t>Construc. a 3 -24 Septiembre 3-Estructura-Varios-Materiales</t>
  </si>
  <si>
    <t xml:space="preserve">      5.02.28.05.59.0003</t>
  </si>
  <si>
    <t xml:space="preserve">Construc. a 3 -24 Septiembre 3-Estructura-Varios-Mano obra de 3 </t>
  </si>
  <si>
    <t xml:space="preserve">      5.02.28.05.59.0004</t>
  </si>
  <si>
    <t>Construc. a 3 -24 Septiembre 3-Estructura-Varios-Permisos munici</t>
  </si>
  <si>
    <t xml:space="preserve">      5.02.28.05.59.0007</t>
  </si>
  <si>
    <t>Construc. a 3 -24 Septiembre 3-Estructura-Varios-Fletes</t>
  </si>
  <si>
    <t xml:space="preserve">      5.02.28.05.59.0056</t>
  </si>
  <si>
    <t>Construc. a 3 -24 Septiembre 3-Estructura-Varios-Sueldos y Jorna</t>
  </si>
  <si>
    <t xml:space="preserve">      5.02.28.05.59.0057</t>
  </si>
  <si>
    <t>Construc. a 3 -24 Septiembre 3-Estructura-Varios-Cargas Sociales</t>
  </si>
  <si>
    <t xml:space="preserve">    5.02.28.06</t>
  </si>
  <si>
    <t>Construc. a 3 -24 Septiembre 3-AlbaÃ±ilerÃ­a</t>
  </si>
  <si>
    <t xml:space="preserve">     5.02.28.06.59</t>
  </si>
  <si>
    <t>Construc. a 3 -24 Septiembre 3-AlbaÃ±ilerÃ­a-Varios</t>
  </si>
  <si>
    <t xml:space="preserve">      5.02.28.06.59.0001</t>
  </si>
  <si>
    <t>Construc. a 3 -24 Septiembre 3-AlbaÃ±ilerÃ­a-Varios-Materiales</t>
  </si>
  <si>
    <t xml:space="preserve">      5.02.28.06.59.0003</t>
  </si>
  <si>
    <t xml:space="preserve">Construc. a 3 -24 Septiembre 3-AlbaÃ±ilerÃ­a-Varios-Mano obra de 3 </t>
  </si>
  <si>
    <t xml:space="preserve">      5.02.28.06.59.0004</t>
  </si>
  <si>
    <t>Construc. a 3 -24 Septiembre 3-AlbaÃ±ilerÃ­a-Varios-Permisos munici</t>
  </si>
  <si>
    <t xml:space="preserve">      5.02.28.06.59.0007</t>
  </si>
  <si>
    <t>Construc. a 3 -24 Septiembre 3-AlbaÃ±ilerÃ­a-Varios-Fletes</t>
  </si>
  <si>
    <t xml:space="preserve">      5.02.28.06.59.0056</t>
  </si>
  <si>
    <t>Construc. a 3 -24 Septiembre 3-AlbaÃ±ilerÃ­a-Varios-Sueldos y Jorna</t>
  </si>
  <si>
    <t xml:space="preserve">      5.02.28.06.59.0057</t>
  </si>
  <si>
    <t>Construc. a 3 -24 Septiembre 3-AlbaÃ±ilerÃ­a-Varios-Cargas Sociales</t>
  </si>
  <si>
    <t xml:space="preserve">    5.02.28.10</t>
  </si>
  <si>
    <t>Construc. a 3 -24 Septiembre 3-Sanitarios</t>
  </si>
  <si>
    <t xml:space="preserve">     5.02.28.10.47</t>
  </si>
  <si>
    <t>Construc. a 3 -24 Septiembre 3-Sanitarios-Inst Sanitaria</t>
  </si>
  <si>
    <t xml:space="preserve">      5.02.28.10.47.0001</t>
  </si>
  <si>
    <t>Construc. a 3 -24 Septiembre 3-Sanitarios-Inst Sanitaria-Materiales</t>
  </si>
  <si>
    <t xml:space="preserve">    5.02.28.11</t>
  </si>
  <si>
    <t>Construc. a 3 -24 Septiembre 3-Inst. ElÃ©ctrica</t>
  </si>
  <si>
    <t xml:space="preserve">     5.02.28.11.59</t>
  </si>
  <si>
    <t>Construc. a 3 -24 Septiembre 3-Inst. ElÃ©ctrica-Varios</t>
  </si>
  <si>
    <t xml:space="preserve">      5.02.28.11.59.0001</t>
  </si>
  <si>
    <t>Construc. a 3 -24 Septiembre 3-Inst. ElÃ©ctrica-Varios-Materiales</t>
  </si>
  <si>
    <t xml:space="preserve">      5.02.28.11.59.0003</t>
  </si>
  <si>
    <t xml:space="preserve">Construc. a 3 -24 Septiembre 3-Inst. ElÃ©ctrica-Varios-Mano obra de 3 </t>
  </si>
  <si>
    <t xml:space="preserve">      5.02.28.11.59.0056</t>
  </si>
  <si>
    <t>Construc. a 3 -24 Septiembre 3-Inst. ElÃ©ctrica-Varios-Sueldos y Jorna</t>
  </si>
  <si>
    <t xml:space="preserve">      5.02.28.11.59.0057</t>
  </si>
  <si>
    <t>Construc. a 3 -24 Septiembre 3-Inst. ElÃ©ctrica-Varios-Cargas Sociales</t>
  </si>
  <si>
    <t xml:space="preserve">    5.02.28.15</t>
  </si>
  <si>
    <t>Construc. a 3 -24 Septiembre 3-Varios</t>
  </si>
  <si>
    <t xml:space="preserve">     5.02.28.15.59</t>
  </si>
  <si>
    <t>Construc. a 3 -24 Septiembre 3-Varios-Varios</t>
  </si>
  <si>
    <t xml:space="preserve">      5.02.28.15.59.0302</t>
  </si>
  <si>
    <t>Construc. a 3 -24 Septiembre 3-Varios-Varios-Edific.terminad</t>
  </si>
  <si>
    <t xml:space="preserve">     5.02.28.15.60</t>
  </si>
  <si>
    <t>Construc. a 3 -24 Septiembre 3-Varios-Costos Vs MO</t>
  </si>
  <si>
    <t xml:space="preserve">      5.02.28.15.60.0009</t>
  </si>
  <si>
    <t>Construc. a 3 -24 Septiembre 3-Varios-Costos Vs MO-Herram de Consu</t>
  </si>
  <si>
    <t xml:space="preserve">      5.02.28.15.60.0060</t>
  </si>
  <si>
    <t>Construc. a 3 -24 Septiembre 3-Varios-Costos Vs MO-Uniformes Perso</t>
  </si>
  <si>
    <t xml:space="preserve">      5.02.28.15.60.0076</t>
  </si>
  <si>
    <t>Construc. a 3 -24 Septiembre 3-Varios-Costos Vs MO-Gastos Diversos</t>
  </si>
  <si>
    <t xml:space="preserve">      5.02.28.15.60.0097</t>
  </si>
  <si>
    <t>Construc. a 3 -24 Septiembre 3-Varios-Costos Vs MO-Vacaciones</t>
  </si>
  <si>
    <t xml:space="preserve">      5.02.28.15.60.0098</t>
  </si>
  <si>
    <t>Construc. a 3 -24 Septiembre 3-Varios-Costos Vs MO-Aguinaldo</t>
  </si>
  <si>
    <t xml:space="preserve">   5.02.29</t>
  </si>
  <si>
    <t xml:space="preserve">    5.02.29.01</t>
  </si>
  <si>
    <t>Construc. a 3 -Los Olivos - Pa-Proyecto y dire</t>
  </si>
  <si>
    <t xml:space="preserve">     5.02.29.01.01</t>
  </si>
  <si>
    <t>Construc. a 3 -Los Olivos - Pa-Proyecto y dire-Honorarios proy</t>
  </si>
  <si>
    <t xml:space="preserve">      5.02.29.01.01.0075</t>
  </si>
  <si>
    <t>Construc. a 3 -Los Olivos - Pa-Proyecto y dire-Honorarios proy-Honorarios</t>
  </si>
  <si>
    <t xml:space="preserve">    5.02.29.05</t>
  </si>
  <si>
    <t>Construc. a 3 -Los Olivos - Pa-Estructura</t>
  </si>
  <si>
    <t xml:space="preserve">     5.02.29.05.59</t>
  </si>
  <si>
    <t>Construc. a 3 -Los Olivos - Pa-Estructura-Varios</t>
  </si>
  <si>
    <t xml:space="preserve">      5.02.29.05.59.0001</t>
  </si>
  <si>
    <t>Construc. a 3 -Los Olivos - Pa-Estructura-Varios-Materiales</t>
  </si>
  <si>
    <t xml:space="preserve">      5.02.29.05.59.0003</t>
  </si>
  <si>
    <t xml:space="preserve">Construc. a 3 -Los Olivos - Pa-Estructura-Varios-Mano obra de 3 </t>
  </si>
  <si>
    <t xml:space="preserve">      5.02.29.05.59.0004</t>
  </si>
  <si>
    <t>Construc. a 3 -Los Olivos - Pa-Estructura-Varios-Permisos munici</t>
  </si>
  <si>
    <t xml:space="preserve">      5.02.29.05.59.0007</t>
  </si>
  <si>
    <t>Construc. a 3 -Los Olivos - Pa-Estructura-Varios-Fletes</t>
  </si>
  <si>
    <t xml:space="preserve">      5.02.29.05.59.0056</t>
  </si>
  <si>
    <t>Construc. a 3 -Los Olivos - Pa-Estructura-Varios-Sueldos y Jorna</t>
  </si>
  <si>
    <t xml:space="preserve">      5.02.29.05.59.0057</t>
  </si>
  <si>
    <t>Construc. a 3 -Los Olivos - Pa-Estructura-Varios-Cargas Sociales</t>
  </si>
  <si>
    <t xml:space="preserve">    5.02.29.06</t>
  </si>
  <si>
    <t>Construc. a 3 -Los Olivos - Pa-AlbaÃ±ilerÃ­a</t>
  </si>
  <si>
    <t xml:space="preserve">     5.02.29.06.59</t>
  </si>
  <si>
    <t>Construc. a 3 -Los Olivos - Pa-AlbaÃ±ilerÃ­a-Varios</t>
  </si>
  <si>
    <t xml:space="preserve">      5.02.29.06.59.0001</t>
  </si>
  <si>
    <t>Construc. a 3 -Los Olivos - Pa-AlbaÃ±ilerÃ­a-Varios-Materiales</t>
  </si>
  <si>
    <t xml:space="preserve">      5.02.29.06.59.0003</t>
  </si>
  <si>
    <t xml:space="preserve">Construc. a 3 -Los Olivos - Pa-AlbaÃ±ilerÃ­a-Varios-Mano obra de 3 </t>
  </si>
  <si>
    <t xml:space="preserve">      5.02.29.06.59.0004</t>
  </si>
  <si>
    <t>Construc. a 3 -Los Olivos - Pa-AlbaÃ±ilerÃ­a-Varios-Permisos munici</t>
  </si>
  <si>
    <t xml:space="preserve">      5.02.29.06.59.0007</t>
  </si>
  <si>
    <t>Construc. a 3 -Los Olivos - Pa-AlbaÃ±ilerÃ­a-Varios-Fletes</t>
  </si>
  <si>
    <t xml:space="preserve">      5.02.29.06.59.0056</t>
  </si>
  <si>
    <t>Construc. a 3 -Los Olivos - Pa-AlbaÃ±ilerÃ­a-Varios-Sueldos y Jorna</t>
  </si>
  <si>
    <t xml:space="preserve">      5.02.29.06.59.0057</t>
  </si>
  <si>
    <t>Construc. a 3 -Los Olivos - Pa-AlbaÃ±ilerÃ­a-Varios-Cargas Sociales</t>
  </si>
  <si>
    <t xml:space="preserve">    5.02.29.09</t>
  </si>
  <si>
    <t>Construc. a 3 -Los Olivos - Pa-CarpinterÃ­a</t>
  </si>
  <si>
    <t xml:space="preserve">     5.02.29.09.33</t>
  </si>
  <si>
    <t>Construc. a 3 -Los Olivos - Pa-CarpinterÃ­a-Carp madera</t>
  </si>
  <si>
    <t xml:space="preserve">      5.02.29.09.33.0001</t>
  </si>
  <si>
    <t>Construc. a 3 -Los Olivos - Pa-CarpinterÃ­a-Carp madera-Materiales</t>
  </si>
  <si>
    <t xml:space="preserve">     5.02.29.09.34</t>
  </si>
  <si>
    <t>Construc. a 3 -Los Olivos - Pa-CarpinterÃ­a-Carp aluminio</t>
  </si>
  <si>
    <t xml:space="preserve">      5.02.29.09.34.0001</t>
  </si>
  <si>
    <t>Construc. a 3 -Los Olivos - Pa-CarpinterÃ­a-Carp aluminio-Materiales</t>
  </si>
  <si>
    <t xml:space="preserve">    5.02.29.10</t>
  </si>
  <si>
    <t>Construc. a 3 -Los Olivos - Pa-Sanitarios</t>
  </si>
  <si>
    <t xml:space="preserve">     5.02.29.10.47</t>
  </si>
  <si>
    <t>Construc. a 3 -Los Olivos - Pa-Sanitarios-Inst Sanitaria</t>
  </si>
  <si>
    <t xml:space="preserve">      5.02.29.10.47.0001</t>
  </si>
  <si>
    <t>Construc. a 3 -Los Olivos - Pa-Sanitarios-Inst Sanitaria-Materiales</t>
  </si>
  <si>
    <t xml:space="preserve">      5.02.29.10.47.0003</t>
  </si>
  <si>
    <t xml:space="preserve">Construc. a 3 -Los Olivos - Pa-Sanitarios-Inst Sanitaria-Mano obra de 3 </t>
  </si>
  <si>
    <t xml:space="preserve">      5.02.29.10.47.0056</t>
  </si>
  <si>
    <t>Construc. a 3 -Los Olivos - Pa-Sanitarios-Inst Sanitaria-Sueldos y Jorna</t>
  </si>
  <si>
    <t xml:space="preserve">      5.02.29.10.47.0057</t>
  </si>
  <si>
    <t>Construc. a 3 -Los Olivos - Pa-Sanitarios-Inst Sanitaria-Cargas Sociales</t>
  </si>
  <si>
    <t xml:space="preserve">    5.02.29.11</t>
  </si>
  <si>
    <t>Construc. a 3 -Los Olivos - Pa-Inst. ElÃ©ctrica</t>
  </si>
  <si>
    <t xml:space="preserve">     5.02.29.11.59</t>
  </si>
  <si>
    <t>Construc. a 3 -Los Olivos - Pa-Inst. ElÃ©ctrica-Varios</t>
  </si>
  <si>
    <t xml:space="preserve">      5.02.29.11.59.0001</t>
  </si>
  <si>
    <t>Construc. a 3 -Los Olivos - Pa-Inst. ElÃ©ctrica-Varios-Materiales</t>
  </si>
  <si>
    <t xml:space="preserve">      5.02.29.11.59.0003</t>
  </si>
  <si>
    <t xml:space="preserve">Construc. a 3 -Los Olivos - Pa-Inst. ElÃ©ctrica-Varios-Mano obra de 3 </t>
  </si>
  <si>
    <t xml:space="preserve">      5.02.29.11.59.0056</t>
  </si>
  <si>
    <t>Construc. a 3 -Los Olivos - Pa-Inst. ElÃ©ctrica-Varios-Sueldos y Jorna</t>
  </si>
  <si>
    <t xml:space="preserve">      5.02.29.11.59.0057</t>
  </si>
  <si>
    <t>Construc. a 3 -Los Olivos - Pa-Inst. ElÃ©ctrica-Varios-Cargas Sociales</t>
  </si>
  <si>
    <t xml:space="preserve">    5.02.29.15</t>
  </si>
  <si>
    <t>Construc. a 3 -Los Olivos - Pa-Varios</t>
  </si>
  <si>
    <t xml:space="preserve">     5.02.29.15.59</t>
  </si>
  <si>
    <t>Construc. a 3 -Los Olivos - Pa-Varios-Varios</t>
  </si>
  <si>
    <t xml:space="preserve">      5.02.29.15.59.0302</t>
  </si>
  <si>
    <t>Construc. a 3 -Los Olivos - Pa-Varios-Varios-Edific.terminad</t>
  </si>
  <si>
    <t xml:space="preserve">     5.02.29.15.60</t>
  </si>
  <si>
    <t>Construc. a 3 -Los Olivos - Pa-Varios-Costos Vs MO</t>
  </si>
  <si>
    <t xml:space="preserve">      5.02.29.15.60.0009</t>
  </si>
  <si>
    <t>Construc. a 3 -Los Olivos - Pa-Varios-Costos Vs MO-Herram de Consu</t>
  </si>
  <si>
    <t xml:space="preserve">      5.02.29.15.60.0060</t>
  </si>
  <si>
    <t>Construc. a 3 -Los Olivos - Pa-Varios-Costos Vs MO-Uniformes Perso</t>
  </si>
  <si>
    <t xml:space="preserve">      5.02.29.15.60.0076</t>
  </si>
  <si>
    <t>Construc. a 3 -Los Olivos - Pa-Varios-Costos Vs MO-Gastos Diversos</t>
  </si>
  <si>
    <t xml:space="preserve">      5.02.29.15.60.0097</t>
  </si>
  <si>
    <t>Construc. a 3 -Los Olivos - Pa-Varios-Costos Vs MO-Vacaciones</t>
  </si>
  <si>
    <t xml:space="preserve">      5.02.29.15.60.0098</t>
  </si>
  <si>
    <t>Construc. a 3 -Los Olivos - Pa-Varios-Costos Vs MO-Aguinaldo</t>
  </si>
  <si>
    <t xml:space="preserve">   5.02.30</t>
  </si>
  <si>
    <t xml:space="preserve">    5.02.30.01</t>
  </si>
  <si>
    <t>Construc. a 3 -MaipÃ  1-Proyecto y dire</t>
  </si>
  <si>
    <t xml:space="preserve">     5.02.30.01.01</t>
  </si>
  <si>
    <t>Construc. a 3 -MaipÃ  1-Proyecto y dire-Honorarios proy</t>
  </si>
  <si>
    <t xml:space="preserve">      5.02.30.01.01.0075</t>
  </si>
  <si>
    <t>Construc. a 3 -MaipÃ  1-Proyecto y dire-Honorarios proy-Honorarios</t>
  </si>
  <si>
    <t xml:space="preserve">    5.02.30.02</t>
  </si>
  <si>
    <t>Construc. a 3 -MaipÃ  1-Tasas  der y se</t>
  </si>
  <si>
    <t xml:space="preserve">     5.02.30.02.02</t>
  </si>
  <si>
    <t>Construc. a 3 -MaipÃ  1-Tasas  der y se-Trab. prelimina</t>
  </si>
  <si>
    <t xml:space="preserve">      5.02.30.02.02.0004</t>
  </si>
  <si>
    <t>Construc. a 3 -MaipÃ  1-Tasas  der y se-Trab. prelimina-Permisos munici</t>
  </si>
  <si>
    <t xml:space="preserve">      5.02.30.02.02.0005</t>
  </si>
  <si>
    <t>Construc. a 3 -MaipÃ  1-Tasas  der y se-Trab. prelimina-Sellados</t>
  </si>
  <si>
    <t xml:space="preserve">      5.02.30.02.02.0006</t>
  </si>
  <si>
    <t>Construc. a 3 -MaipÃ  1-Tasas  der y se-Trab. prelimina-Otros Gtos Inic</t>
  </si>
  <si>
    <t xml:space="preserve">      5.02.30.02.02.0008</t>
  </si>
  <si>
    <t xml:space="preserve">Construc. a 3 -MaipÃ  1-Tasas  der y se-Trab. prelimina-Luz Agua Otros </t>
  </si>
  <si>
    <t xml:space="preserve">    5.02.30.03</t>
  </si>
  <si>
    <t>Construc. a 3 -MaipÃ  1-Movilidad y fle</t>
  </si>
  <si>
    <t xml:space="preserve">     5.02.30.03.03</t>
  </si>
  <si>
    <t>Construc. a 3 -MaipÃ  1-Movilidad y fle-Movilidad y Fle</t>
  </si>
  <si>
    <t xml:space="preserve">      5.02.30.03.03.0007</t>
  </si>
  <si>
    <t>Construc. a 3 -MaipÃ  1-Movilidad y fle-Movilidad y Fle-Fletes</t>
  </si>
  <si>
    <t xml:space="preserve">    5.02.30.04</t>
  </si>
  <si>
    <t>Construc. a 3 -MaipÃ  1-Mov. suelo  exc</t>
  </si>
  <si>
    <t xml:space="preserve">     5.02.30.04.04</t>
  </si>
  <si>
    <t>Construc. a 3 -MaipÃ  1-Mov. suelo  exc-Demoliciones</t>
  </si>
  <si>
    <t xml:space="preserve">      5.02.30.04.04.0002</t>
  </si>
  <si>
    <t>Construc. a 3 -MaipÃ  1-Mov. suelo  exc-Demoliciones-Mano obra Batia</t>
  </si>
  <si>
    <t xml:space="preserve">      5.02.30.04.04.0003</t>
  </si>
  <si>
    <t xml:space="preserve">Construc. a 3 -MaipÃ  1-Mov. suelo  exc-Demoliciones-Mano obra de 3 </t>
  </si>
  <si>
    <t xml:space="preserve">    5.02.30.05</t>
  </si>
  <si>
    <t>Construc. a 3 -MaipÃ  1-Estructura</t>
  </si>
  <si>
    <t xml:space="preserve">     5.02.30.05.59</t>
  </si>
  <si>
    <t>Construc. a 3 -MaipÃ  1-Estructura-Varios</t>
  </si>
  <si>
    <t xml:space="preserve">      5.02.30.05.59.0001</t>
  </si>
  <si>
    <t>Construc. a 3 -MaipÃ  1-Estructura-Varios-Materiales</t>
  </si>
  <si>
    <t xml:space="preserve">      5.02.30.05.59.0002</t>
  </si>
  <si>
    <t>Construc. a 3 -MaipÃ  1-Estructura-Varios-Mano obra Batia</t>
  </si>
  <si>
    <t xml:space="preserve">      5.02.30.05.59.0003</t>
  </si>
  <si>
    <t xml:space="preserve">Construc. a 3 -MaipÃ  1-Estructura-Varios-Mano obra de 3 </t>
  </si>
  <si>
    <t xml:space="preserve">      5.02.30.05.59.0056</t>
  </si>
  <si>
    <t>Construc. a 3 -MaipÃ  1-Estructura-Varios-Sueldos y Jorna</t>
  </si>
  <si>
    <t xml:space="preserve">      5.02.30.05.59.0057</t>
  </si>
  <si>
    <t>Construc. a 3 -MaipÃ  1-Estructura-Varios-Cargas Sociales</t>
  </si>
  <si>
    <t xml:space="preserve">    5.02.30.06</t>
  </si>
  <si>
    <t>Construc. a 3 -MaipÃ  1-AlbaÃ±ilerÃ­a</t>
  </si>
  <si>
    <t xml:space="preserve">     5.02.30.06.14</t>
  </si>
  <si>
    <t>Construc. a 3 -MaipÃ  1-AlbaÃ±ilerÃ­a-MamposterÃ­a</t>
  </si>
  <si>
    <t xml:space="preserve">      5.02.30.06.14.0003</t>
  </si>
  <si>
    <t xml:space="preserve">Construc. a 3 -MaipÃ  1-AlbaÃ±ilerÃ­a-MamposterÃ­a-Mano obra de 3 </t>
  </si>
  <si>
    <t xml:space="preserve">     5.02.30.06.15</t>
  </si>
  <si>
    <t>Construc. a 3 -MaipÃ  1-AlbaÃ±ilerÃ­a-Aislaciones hid</t>
  </si>
  <si>
    <t xml:space="preserve">      5.02.30.06.15.0003</t>
  </si>
  <si>
    <t xml:space="preserve">Construc. a 3 -MaipÃ  1-AlbaÃ±ilerÃ­a-Aislaciones hid-Mano obra de 3 </t>
  </si>
  <si>
    <t xml:space="preserve">     5.02.30.06.16</t>
  </si>
  <si>
    <t>Construc. a 3 -MaipÃ  1-AlbaÃ±ilerÃ­a-Revoques</t>
  </si>
  <si>
    <t xml:space="preserve">      5.02.30.06.16.0003</t>
  </si>
  <si>
    <t xml:space="preserve">Construc. a 3 -MaipÃ  1-AlbaÃ±ilerÃ­a-Revoques-Mano obra de 3 </t>
  </si>
  <si>
    <t xml:space="preserve">     5.02.30.06.17</t>
  </si>
  <si>
    <t>Construc. a 3 -MaipÃ  1-AlbaÃ±ilerÃ­a-Contrapisos y c</t>
  </si>
  <si>
    <t xml:space="preserve">      5.02.30.06.17.0003</t>
  </si>
  <si>
    <t xml:space="preserve">Construc. a 3 -MaipÃ  1-AlbaÃ±ilerÃ­a-Contrapisos y c-Mano obra de 3 </t>
  </si>
  <si>
    <t xml:space="preserve">     5.02.30.06.18</t>
  </si>
  <si>
    <t>Construc. a 3 -MaipÃ  1-AlbaÃ±ilerÃ­a-Cubiertas</t>
  </si>
  <si>
    <t xml:space="preserve">      5.02.30.06.18.0001</t>
  </si>
  <si>
    <t>Construc. a 3 -MaipÃ  1-AlbaÃ±ilerÃ­a-Cubiertas-Materiales</t>
  </si>
  <si>
    <t xml:space="preserve">      5.02.30.06.18.0002</t>
  </si>
  <si>
    <t>Construc. a 3 -MaipÃ  1-AlbaÃ±ilerÃ­a-Cubiertas-Mano obra Batia</t>
  </si>
  <si>
    <t xml:space="preserve">      5.02.30.06.18.0003</t>
  </si>
  <si>
    <t xml:space="preserve">Construc. a 3 -MaipÃ  1-AlbaÃ±ilerÃ­a-Cubiertas-Mano obra de 3 </t>
  </si>
  <si>
    <t xml:space="preserve">     5.02.30.06.59</t>
  </si>
  <si>
    <t>Construc. a 3 -MaipÃ  1-AlbaÃ±ilerÃ­a-Varios</t>
  </si>
  <si>
    <t xml:space="preserve">      5.02.30.06.59.0056</t>
  </si>
  <si>
    <t>Construc. a 3 -MaipÃ  1-AlbaÃ±ilerÃ­a-Varios-Sueldos y Jorna</t>
  </si>
  <si>
    <t xml:space="preserve">      5.02.30.06.59.0057</t>
  </si>
  <si>
    <t>Construc. a 3 -MaipÃ  1-AlbaÃ±ilerÃ­a-Varios-Cargas Sociales</t>
  </si>
  <si>
    <t xml:space="preserve">      5.02.30.06.59.0097</t>
  </si>
  <si>
    <t>Construc. a 3 -MaipÃ  1-AlbaÃ±ilerÃ­a-Varios-Vacaciones</t>
  </si>
  <si>
    <t xml:space="preserve">      5.02.30.06.59.0098</t>
  </si>
  <si>
    <t>Construc. a 3 -MaipÃ  1-AlbaÃ±ilerÃ­a-Varios-Aguinaldo</t>
  </si>
  <si>
    <t xml:space="preserve">    5.02.30.10</t>
  </si>
  <si>
    <t>Construc. a 3 -MaipÃ  1-Sanitarios</t>
  </si>
  <si>
    <t xml:space="preserve">     5.02.30.10.47</t>
  </si>
  <si>
    <t>Construc. a 3 -MaipÃ  1-Sanitarios-Inst Sanitaria</t>
  </si>
  <si>
    <t xml:space="preserve">      5.02.30.10.47.0001</t>
  </si>
  <si>
    <t>Construc. a 3 -MaipÃ  1-Sanitarios-Inst Sanitaria-Materiales</t>
  </si>
  <si>
    <t xml:space="preserve">      5.02.30.10.47.0003</t>
  </si>
  <si>
    <t xml:space="preserve">Construc. a 3 -MaipÃ  1-Sanitarios-Inst Sanitaria-Mano obra de 3 </t>
  </si>
  <si>
    <t xml:space="preserve">     5.02.30.10.48</t>
  </si>
  <si>
    <t>Construc. a 3 -MaipÃ  1-Sanitarios-Inst gas natura</t>
  </si>
  <si>
    <t xml:space="preserve">      5.02.30.10.48.0001</t>
  </si>
  <si>
    <t>Construc. a 3 -MaipÃ  1-Sanitarios-Inst gas natura-Materiales</t>
  </si>
  <si>
    <t xml:space="preserve">      5.02.30.10.48.0003</t>
  </si>
  <si>
    <t xml:space="preserve">Construc. a 3 -MaipÃ  1-Sanitarios-Inst gas natura-Mano obra de 3 </t>
  </si>
  <si>
    <t xml:space="preserve">     5.02.30.10.59</t>
  </si>
  <si>
    <t>Construc. a 3 -MaipÃ  1-Sanitarios-Varios</t>
  </si>
  <si>
    <t xml:space="preserve">      5.02.30.10.59.0056</t>
  </si>
  <si>
    <t>Construc. a 3 -MaipÃ  1-Sanitarios-Varios-Sueldos y Jorna</t>
  </si>
  <si>
    <t xml:space="preserve">      5.02.30.10.59.0057</t>
  </si>
  <si>
    <t>Construc. a 3 -MaipÃ  1-Sanitarios-Varios-Cargas Sociales</t>
  </si>
  <si>
    <t xml:space="preserve">    5.02.30.13</t>
  </si>
  <si>
    <t>Construc. a 3 -MaipÃ  1-Pintura</t>
  </si>
  <si>
    <t xml:space="preserve">     5.02.30.13.56</t>
  </si>
  <si>
    <t>Construc. a 3 -MaipÃ  1-Pintura-Pinturas</t>
  </si>
  <si>
    <t xml:space="preserve">      5.02.30.13.56.0001</t>
  </si>
  <si>
    <t>Construc. a 3 -MaipÃ  1-Pintura-Pinturas-Materiales</t>
  </si>
  <si>
    <t xml:space="preserve">      5.02.30.13.56.0002</t>
  </si>
  <si>
    <t>Construc. a 3 -MaipÃ  1-Pintura-Pinturas-Mano obra Batia</t>
  </si>
  <si>
    <t xml:space="preserve">      5.02.30.13.56.0003</t>
  </si>
  <si>
    <t xml:space="preserve">Construc. a 3 -MaipÃ  1-Pintura-Pinturas-Mano obra de 3 </t>
  </si>
  <si>
    <t xml:space="preserve">     5.02.30.13.59</t>
  </si>
  <si>
    <t>Construc. a 3 -MaipÃ  1-Pintura-Varios</t>
  </si>
  <si>
    <t xml:space="preserve">      5.02.30.13.59.0056</t>
  </si>
  <si>
    <t>Construc. a 3 -MaipÃ  1-Pintura-Varios-Sueldos y Jorna</t>
  </si>
  <si>
    <t xml:space="preserve">      5.02.30.13.59.0057</t>
  </si>
  <si>
    <t>Construc. a 3 -MaipÃ  1-Pintura-Varios-Cargas Sociales</t>
  </si>
  <si>
    <t xml:space="preserve">    5.02.30.15</t>
  </si>
  <si>
    <t>Construc. a 3 -MaipÃ  1-Varios</t>
  </si>
  <si>
    <t xml:space="preserve">     5.02.30.15.59</t>
  </si>
  <si>
    <t>Construc. a 3 -MaipÃ  1-Varios-Varios</t>
  </si>
  <si>
    <t xml:space="preserve">      5.02.30.15.59.0009</t>
  </si>
  <si>
    <t>Construc. a 3 -MaipÃ  1-Varios-Varios-Herram de Consu</t>
  </si>
  <si>
    <t xml:space="preserve">      5.02.30.15.59.0060</t>
  </si>
  <si>
    <t>Construc. a 3 -MaipÃ  1-Varios-Varios-Uniformes Perso</t>
  </si>
  <si>
    <t xml:space="preserve">      5.02.30.15.59.0069</t>
  </si>
  <si>
    <t>Construc. a 3 -MaipÃ  1-Varios-Varios-Seguros</t>
  </si>
  <si>
    <t xml:space="preserve">      5.02.30.15.59.0076</t>
  </si>
  <si>
    <t>Construc. a 3 -MaipÃ  1-Varios-Varios-Gastos Diversos</t>
  </si>
  <si>
    <t xml:space="preserve">    5.02.30.30</t>
  </si>
  <si>
    <t>Construc. a 3 -MaipÃ  1-Costos Inmueble</t>
  </si>
  <si>
    <t xml:space="preserve">     5.02.30.30.53</t>
  </si>
  <si>
    <t>Construc. a 3 -MaipÃ  1-Costos Inmueble-Inst elÃ©ctrica</t>
  </si>
  <si>
    <t xml:space="preserve">      5.02.30.30.53.0001</t>
  </si>
  <si>
    <t>Construc. a 3 -MaipÃ  1-Costos Inmueble-Inst elÃ©ctrica-Materiales</t>
  </si>
  <si>
    <t xml:space="preserve">      5.02.30.30.53.0002</t>
  </si>
  <si>
    <t>Construc. a 3 -MaipÃ  1-Costos Inmueble-Inst elÃ©ctrica-Mano obra Batia</t>
  </si>
  <si>
    <t xml:space="preserve">      5.02.30.30.53.0003</t>
  </si>
  <si>
    <t xml:space="preserve">Construc. a 3 -MaipÃ  1-Costos Inmueble-Inst elÃ©ctrica-Mano obra de 3 </t>
  </si>
  <si>
    <t xml:space="preserve">   5.02.31</t>
  </si>
  <si>
    <t xml:space="preserve">    5.02.31.01</t>
  </si>
  <si>
    <t>Construc. a 3 -Chacabuco 532-Proyecto y dire</t>
  </si>
  <si>
    <t xml:space="preserve">     5.02.31.01.01</t>
  </si>
  <si>
    <t>Construc. a 3 -Chacabuco 532-Proyecto y dire-Honorarios proy</t>
  </si>
  <si>
    <t xml:space="preserve">      5.02.31.01.01.0075</t>
  </si>
  <si>
    <t>Construc. a 3 -Chacabuco 532-Proyecto y dire-Honorarios proy-Honorarios</t>
  </si>
  <si>
    <t xml:space="preserve">    5.02.31.02</t>
  </si>
  <si>
    <t>Construc. a 3 -Chacabuco 532-Tasas  der y se</t>
  </si>
  <si>
    <t xml:space="preserve">     5.02.31.02.02</t>
  </si>
  <si>
    <t>Construc. a 3 -Chacabuco 532-Tasas  der y se-Trab. prelimina</t>
  </si>
  <si>
    <t xml:space="preserve">      5.02.31.02.02.0004</t>
  </si>
  <si>
    <t>Construc. a 3 -Chacabuco 532-Tasas  der y se-Trab. prelimina-Permisos munici</t>
  </si>
  <si>
    <t xml:space="preserve">      5.02.31.02.02.0005</t>
  </si>
  <si>
    <t>Construc. a 3 -Chacabuco 532-Tasas  der y se-Trab. prelimina-Sellados</t>
  </si>
  <si>
    <t xml:space="preserve">      5.02.31.02.02.0006</t>
  </si>
  <si>
    <t>Construc. a 3 -Chacabuco 532-Tasas  der y se-Trab. prelimina-Otros Gtos Inic</t>
  </si>
  <si>
    <t xml:space="preserve">      5.02.31.02.02.0008</t>
  </si>
  <si>
    <t xml:space="preserve">Construc. a 3 -Chacabuco 532-Tasas  der y se-Trab. prelimina-Luz Agua Otros </t>
  </si>
  <si>
    <t xml:space="preserve">    5.02.31.03</t>
  </si>
  <si>
    <t>Construc. a 3 -Chacabuco 532-Movilidad y fle</t>
  </si>
  <si>
    <t xml:space="preserve">     5.02.31.03.03</t>
  </si>
  <si>
    <t>Construc. a 3 -Chacabuco 532-Movilidad y fle-Movilidad y Fle</t>
  </si>
  <si>
    <t xml:space="preserve">      5.02.31.03.03.0007</t>
  </si>
  <si>
    <t>Construc. a 3 -Chacabuco 532-Movilidad y fle-Movilidad y Fle-Fletes</t>
  </si>
  <si>
    <t xml:space="preserve">    5.02.31.04</t>
  </si>
  <si>
    <t>Construc. a 3 -Chacabuco 532-Mov. suelo  exc</t>
  </si>
  <si>
    <t xml:space="preserve">     5.02.31.04.04</t>
  </si>
  <si>
    <t>Construc. a 3 -Chacabuco 532-Mov. suelo  exc-Demoliciones</t>
  </si>
  <si>
    <t xml:space="preserve">      5.02.31.04.04.0002</t>
  </si>
  <si>
    <t>Construc. a 3 -Chacabuco 532-Mov. suelo  exc-Demoliciones-Mano obra Batia</t>
  </si>
  <si>
    <t xml:space="preserve">      5.02.31.04.04.0003</t>
  </si>
  <si>
    <t xml:space="preserve">Construc. a 3 -Chacabuco 532-Mov. suelo  exc-Demoliciones-Mano obra de 3 </t>
  </si>
  <si>
    <t xml:space="preserve">    5.02.31.05</t>
  </si>
  <si>
    <t>Construc. a 3 -Chacabuco 532-Estructura</t>
  </si>
  <si>
    <t xml:space="preserve">     5.02.31.05.59</t>
  </si>
  <si>
    <t>Construc. a 3 -Chacabuco 532-Estructura-Varios</t>
  </si>
  <si>
    <t xml:space="preserve">      5.02.31.05.59.0001</t>
  </si>
  <si>
    <t>Construc. a 3 -Chacabuco 532-Estructura-Varios-Materiales</t>
  </si>
  <si>
    <t xml:space="preserve">      5.02.31.05.59.0002</t>
  </si>
  <si>
    <t>Construc. a 3 -Chacabuco 532-Estructura-Varios-Mano obra Batia</t>
  </si>
  <si>
    <t xml:space="preserve">      5.02.31.05.59.0003</t>
  </si>
  <si>
    <t xml:space="preserve">Construc. a 3 -Chacabuco 532-Estructura-Varios-Mano obra de 3 </t>
  </si>
  <si>
    <t xml:space="preserve">      5.02.31.05.59.0056</t>
  </si>
  <si>
    <t>Construc. a 3 -Chacabuco 532-Estructura-Varios-Sueldos y Jorna</t>
  </si>
  <si>
    <t xml:space="preserve">      5.02.31.05.59.0057</t>
  </si>
  <si>
    <t>Construc. a 3 -Chacabuco 532-Estructura-Varios-Cargas Sociales</t>
  </si>
  <si>
    <t xml:space="preserve">      5.02.31.05.59.0076</t>
  </si>
  <si>
    <t>Construc. a 3 -Chacabuco 532-Estructura-Varios-Gastos Diversos</t>
  </si>
  <si>
    <t xml:space="preserve">      5.02.31.05.59.0097</t>
  </si>
  <si>
    <t>Construc. a 3 -Chacabuco 532-Estructura-Varios-Vacaciones</t>
  </si>
  <si>
    <t xml:space="preserve">      5.02.31.05.59.0098</t>
  </si>
  <si>
    <t>Construc. a 3 -Chacabuco 532-Estructura-Varios-Aguinaldo</t>
  </si>
  <si>
    <t xml:space="preserve">    5.02.31.15</t>
  </si>
  <si>
    <t>Construc. a 3 -Chacabuco 532-Varios</t>
  </si>
  <si>
    <t xml:space="preserve">     5.02.31.15.59</t>
  </si>
  <si>
    <t>Construc. a 3 -Chacabuco 532-Varios-Varios</t>
  </si>
  <si>
    <t xml:space="preserve">      5.02.31.15.59.0009</t>
  </si>
  <si>
    <t>Construc. a 3 -Chacabuco 532-Varios-Varios-Herram de Consu</t>
  </si>
  <si>
    <t xml:space="preserve">      5.02.31.15.59.0060</t>
  </si>
  <si>
    <t>Construc. a 3 -Chacabuco 532-Varios-Varios-Uniformes Perso</t>
  </si>
  <si>
    <t xml:space="preserve">      5.02.31.15.59.0069</t>
  </si>
  <si>
    <t>Construc. a 3 -Chacabuco 532-Varios-Varios-Seguros</t>
  </si>
  <si>
    <t xml:space="preserve">      5.02.31.15.59.0076</t>
  </si>
  <si>
    <t>Construc. a 3 -Chacabuco 532-Varios-Varios-Gastos Diversos</t>
  </si>
  <si>
    <t xml:space="preserve">   5.02.32</t>
  </si>
  <si>
    <t xml:space="preserve">Obras Menores a 3 </t>
  </si>
  <si>
    <t xml:space="preserve">    5.02.32.16</t>
  </si>
  <si>
    <t>Obras Menores a 3 -Construc.</t>
  </si>
  <si>
    <t xml:space="preserve">     5.02.32.16.59</t>
  </si>
  <si>
    <t>Obr Men 3 -Construc.-Vs-</t>
  </si>
  <si>
    <t xml:space="preserve">      5.02.32.16.59.0001</t>
  </si>
  <si>
    <t>Obras a 3 -Construc.-Varios-Materiales</t>
  </si>
  <si>
    <t xml:space="preserve">      5.02.32.16.59.0003</t>
  </si>
  <si>
    <t xml:space="preserve">Obras a 3 -Construc.-Varios-Mano obra de 3 </t>
  </si>
  <si>
    <t xml:space="preserve">      5.02.32.16.59.0041</t>
  </si>
  <si>
    <t>Construc. a 3 -Obras Menores a-ConstrucciÃ³n-Varios-Costo Produccio</t>
  </si>
  <si>
    <t xml:space="preserve">      5.02.32.16.59.0056</t>
  </si>
  <si>
    <t>Obras a 3 -Construc.-Varios-Sueldos y Jorna</t>
  </si>
  <si>
    <t xml:space="preserve">      5.02.32.16.59.0057</t>
  </si>
  <si>
    <t>Obras a 3 -Construc.-Varios-Cargas Sociales</t>
  </si>
  <si>
    <t xml:space="preserve">      5.02.32.16.59.0059</t>
  </si>
  <si>
    <t>Obras a 3-Construc.-Varios-Indemnizaciones</t>
  </si>
  <si>
    <t xml:space="preserve">      5.02.32.16.59.0075</t>
  </si>
  <si>
    <t>Obras a 3 -Construc.-Varios-Honorarios</t>
  </si>
  <si>
    <t xml:space="preserve">      5.02.32.16.59.0076</t>
  </si>
  <si>
    <t>Obras a 3 -Construc.-Varios-Gastos Diversos</t>
  </si>
  <si>
    <t xml:space="preserve">      5.02.32.16.59.0097</t>
  </si>
  <si>
    <t>Obras a 3-Construc.-Varios-Vacaciones</t>
  </si>
  <si>
    <t xml:space="preserve">      5.02.32.16.59.0098</t>
  </si>
  <si>
    <t>Obras a 3-Construc.-Varios-Aguinaldo</t>
  </si>
  <si>
    <t xml:space="preserve">      5.02.32.16.59.0099</t>
  </si>
  <si>
    <t>Obras a 3Â -ConstrucciÃ³n-Varios</t>
  </si>
  <si>
    <t xml:space="preserve">   5.02.36</t>
  </si>
  <si>
    <t xml:space="preserve">    5.02.36.01</t>
  </si>
  <si>
    <t>Construc. a 3 -Balcarce 156-Proyecto y dire</t>
  </si>
  <si>
    <t xml:space="preserve">     5.02.36.01.01</t>
  </si>
  <si>
    <t>Construc. a 3 -Balcarce 156-Proyecto y dire-Honorarios proy</t>
  </si>
  <si>
    <t xml:space="preserve">      5.02.36.01.01.0075</t>
  </si>
  <si>
    <t>Construc. a 3 -Balcarce 156-Proyecto y dire-Honorarios proy-Honorarios</t>
  </si>
  <si>
    <t xml:space="preserve">      5.02.36.01.01.0315</t>
  </si>
  <si>
    <t>Construc. a 3 -Balcarce 156-Proyecto y dire-Honorarios proy-Hon.Hig.y segur</t>
  </si>
  <si>
    <t xml:space="preserve">    5.02.36.02</t>
  </si>
  <si>
    <t>Construc. a 3 -Balcarce 156-Tasas  der y se</t>
  </si>
  <si>
    <t xml:space="preserve">     5.02.36.02.02</t>
  </si>
  <si>
    <t>Construc. a 3 -Balcarce 156-Tasas  der y se-Trab. prelimina</t>
  </si>
  <si>
    <t xml:space="preserve">      5.02.36.02.02.0004</t>
  </si>
  <si>
    <t>Construc. a 3 -Balcarce 156-Tasas  der y se-Trab. prelimina-Permisos munici</t>
  </si>
  <si>
    <t xml:space="preserve">      5.02.36.02.02.0005</t>
  </si>
  <si>
    <t>Construc. a 3 -Balcarce 156-Tasas  der y se-Trab. prelimina-Sellados</t>
  </si>
  <si>
    <t xml:space="preserve">      5.02.36.02.02.0006</t>
  </si>
  <si>
    <t>Construc. a 3 -Balcarce 156-Tasas  der y se-Trab. prelimina-Otros Gtos Inic</t>
  </si>
  <si>
    <t xml:space="preserve">      5.02.36.02.02.0008</t>
  </si>
  <si>
    <t xml:space="preserve">Construc. a 3 -Balcarce 156-Tasas  der y se-Trab. prelimina-Luz Agua Otros </t>
  </si>
  <si>
    <t xml:space="preserve">    5.02.36.03</t>
  </si>
  <si>
    <t>Construc. a 3 -Balcarce 156-Movilidad y fle</t>
  </si>
  <si>
    <t xml:space="preserve">     5.02.36.03.03</t>
  </si>
  <si>
    <t>Construc. a 3 -Balcarce 156-Movilidad y fle-Movilidad y Fle</t>
  </si>
  <si>
    <t xml:space="preserve">      5.02.36.03.03.0007</t>
  </si>
  <si>
    <t>Construc. a 3 -Balcarce 156-Movilidad y fle-Movilidad y Fle-Fletes</t>
  </si>
  <si>
    <t xml:space="preserve">    5.02.36.04</t>
  </si>
  <si>
    <t>Construc. a 3 -Balcarce 156-Mov. suelo  exc</t>
  </si>
  <si>
    <t xml:space="preserve">     5.02.36.04.04</t>
  </si>
  <si>
    <t>Construc. a 3 -Balcarce 156-Mov. suelo  exc-Demoliciones</t>
  </si>
  <si>
    <t xml:space="preserve">      5.02.36.04.04.0002</t>
  </si>
  <si>
    <t>Construc. a 3 -Balcarce 156-Mov. suelo  exc-Demoliciones-Mano obra Batia</t>
  </si>
  <si>
    <t xml:space="preserve">      5.02.36.04.04.0003</t>
  </si>
  <si>
    <t xml:space="preserve">Construc. a 3 -Balcarce 156-Mov. suelo  exc-Demoliciones-Mano obra de 3 </t>
  </si>
  <si>
    <t xml:space="preserve">      5.02.36.04.04.0056</t>
  </si>
  <si>
    <t>Construc. a 3 -Balcarce 156-Mov. suelo  exc-Demoliciones-Sueldos y Jorna</t>
  </si>
  <si>
    <t xml:space="preserve">      5.02.36.04.04.0057</t>
  </si>
  <si>
    <t>Construc. a 3 -Balcarce 156-Mov. suelo  exc-Demoliciones-Cargas Sociales</t>
  </si>
  <si>
    <t xml:space="preserve">      5.02.36.04.04.0316</t>
  </si>
  <si>
    <t>Construc. a 3 -Balcarce 156-Mov. suelo  exc-Demoliciones-Excavac.a mano</t>
  </si>
  <si>
    <t xml:space="preserve">      5.02.36.04.04.0317</t>
  </si>
  <si>
    <t>Construc. a 3 -Balcarce 156-Mov. suelo  exc-Demoliciones-Excavac.a mÃ¡qui</t>
  </si>
  <si>
    <t xml:space="preserve">      5.02.36.04.04.0318</t>
  </si>
  <si>
    <t>Construc. a 3 -Balcarce 156-Mov. suelo  exc-Demoliciones-Retiro de tierr</t>
  </si>
  <si>
    <t xml:space="preserve">    5.02.36.05</t>
  </si>
  <si>
    <t>Construc. a 3 -Balcarce 156-Estructura</t>
  </si>
  <si>
    <t xml:space="preserve">     5.02.36.05.59</t>
  </si>
  <si>
    <t>Construc. a 3 -Balcarce 156-Estructura-Varios</t>
  </si>
  <si>
    <t xml:space="preserve">      5.02.36.05.59.0001</t>
  </si>
  <si>
    <t>Construc. a 3 -Balcarce 156-Estructura-Varios-Materiales</t>
  </si>
  <si>
    <t xml:space="preserve">      5.02.36.05.59.0002</t>
  </si>
  <si>
    <t>Construc. a 3 -Balcarce 156-Estructura-Varios-Mano obra Batia</t>
  </si>
  <si>
    <t xml:space="preserve">      5.02.36.05.59.0003</t>
  </si>
  <si>
    <t xml:space="preserve">Construc. a 3 -Balcarce 156-Estructura-Varios-Mano obra de 3 </t>
  </si>
  <si>
    <t xml:space="preserve">      5.02.36.05.59.0056</t>
  </si>
  <si>
    <t>Construc. a 3 -Balcarce 156-Estructura-Varios-Sueldos y Jorna</t>
  </si>
  <si>
    <t xml:space="preserve">      5.02.36.05.59.0057</t>
  </si>
  <si>
    <t>Construc. a 3 -Balcarce 156-Estructura-Varios-Cargas Sociales</t>
  </si>
  <si>
    <t xml:space="preserve">      5.02.36.05.59.0097</t>
  </si>
  <si>
    <t>Construc. a 3 -Balcarce 156-Estructura-Varios-Vacaciones</t>
  </si>
  <si>
    <t xml:space="preserve">      5.02.36.05.59.0098</t>
  </si>
  <si>
    <t>Construc. a 3 -Balcarce 156-Estructura-Varios-Aguinaldo</t>
  </si>
  <si>
    <t xml:space="preserve">      5.02.36.05.59.0310</t>
  </si>
  <si>
    <t>Construc. a 3 -Balcarce 156-Estructura-Varios-Madera</t>
  </si>
  <si>
    <t xml:space="preserve">      5.02.36.05.59.0311</t>
  </si>
  <si>
    <t>Construc. a 3 -Balcarce 156-Estructura-Varios-Materiales elÃ©c</t>
  </si>
  <si>
    <t xml:space="preserve">      5.02.36.05.59.0312</t>
  </si>
  <si>
    <t>Construc. a 3 -Balcarce 156-Estructura-Varios-Clavos y alambr</t>
  </si>
  <si>
    <t xml:space="preserve">      5.02.36.05.59.0313</t>
  </si>
  <si>
    <t>Construc. a 3 -Balcarce 156-Estructura-Varios-Telgopor</t>
  </si>
  <si>
    <t xml:space="preserve">    5.02.36.06</t>
  </si>
  <si>
    <t>Construc. a 3 -Balcarce 156-AlbaÃ±ilerÃ­a</t>
  </si>
  <si>
    <t xml:space="preserve">     5.02.36.06.14</t>
  </si>
  <si>
    <t>Construc. a 3 -Balcarce 156-AlbaÃ±ilerÃ­a-MamposterÃ­a</t>
  </si>
  <si>
    <t xml:space="preserve">      5.02.36.06.14.0003</t>
  </si>
  <si>
    <t xml:space="preserve">Construc. a 3 -Balcarce 156-AlbaÃ±ilerÃ­a-MamposterÃ­a-Mano obra de 3 </t>
  </si>
  <si>
    <t xml:space="preserve">     5.02.36.06.15</t>
  </si>
  <si>
    <t>Construc. a 3 -Balcarce 156-AlbaÃ±ilerÃ­a-Aislaciones hid</t>
  </si>
  <si>
    <t xml:space="preserve">      5.02.36.06.15.0003</t>
  </si>
  <si>
    <t xml:space="preserve">Construc. a 3 -Balcarce 156-AlbaÃ±ilerÃ­a-Aislaciones hid-Mano obra de 3 </t>
  </si>
  <si>
    <t xml:space="preserve">     5.02.36.06.16</t>
  </si>
  <si>
    <t>Construc. a 3 -Balcarce 156-AlbaÃ±ilerÃ­a-Revoques</t>
  </si>
  <si>
    <t xml:space="preserve">      5.02.36.06.16.0003</t>
  </si>
  <si>
    <t xml:space="preserve">Construc. a 3 -Balcarce 156-AlbaÃ±ilerÃ­a-Revoques-Mano obra de 3 </t>
  </si>
  <si>
    <t xml:space="preserve">     5.02.36.06.17</t>
  </si>
  <si>
    <t>Construc. a 3 -Balcarce 156-AlbaÃ±ilerÃ­a-Contrapisos y c</t>
  </si>
  <si>
    <t xml:space="preserve">      5.02.36.06.17.0003</t>
  </si>
  <si>
    <t xml:space="preserve">Construc. a 3 -Balcarce 156-AlbaÃ±ilerÃ­a-Contrapisos y c-Mano obra de 3 </t>
  </si>
  <si>
    <t xml:space="preserve">     5.02.36.06.18</t>
  </si>
  <si>
    <t>Construc. a 3 -Balcarce 156-AlbaÃ±ilerÃ­a-Cubiertas</t>
  </si>
  <si>
    <t xml:space="preserve">      5.02.36.06.18.0001</t>
  </si>
  <si>
    <t>Construc. a 3 -Balcarce 156-AlbaÃ±ilerÃ­a-Cubiertas-Materiales</t>
  </si>
  <si>
    <t xml:space="preserve">      5.02.36.06.18.0002</t>
  </si>
  <si>
    <t>Construc. a 3 -Balcarce 156-AlbaÃ±ilerÃ­a-Cubiertas-Mano obra Batia</t>
  </si>
  <si>
    <t xml:space="preserve">      5.02.36.06.18.0003</t>
  </si>
  <si>
    <t xml:space="preserve">Construc. a 3 -Balcarce 156-AlbaÃ±ilerÃ­a-Cubiertas-Mano obra de 3 </t>
  </si>
  <si>
    <t xml:space="preserve">     5.02.36.06.59</t>
  </si>
  <si>
    <t>Construc. a 3 -Balcarce 156-AlbaÃ±ilerÃ­a-Varios</t>
  </si>
  <si>
    <t xml:space="preserve">      5.02.36.06.59.0056</t>
  </si>
  <si>
    <t>Construc. a 3 -Balcarce 156-AlbaÃ±ilerÃ­a-Varios-Sueldos y Jorna</t>
  </si>
  <si>
    <t xml:space="preserve">      5.02.36.06.59.0057</t>
  </si>
  <si>
    <t>Construc. a 3 -Balcarce 156-AlbaÃ±ilerÃ­a-Varios-Cargas Sociales</t>
  </si>
  <si>
    <t xml:space="preserve">    5.02.36.08</t>
  </si>
  <si>
    <t>Construc. a 3 -Balcarce 156-YeserÃ­a</t>
  </si>
  <si>
    <t xml:space="preserve">     5.02.36.08.59</t>
  </si>
  <si>
    <t>Construc. a 3 -Balcarce 156-YeserÃ­a-Varios</t>
  </si>
  <si>
    <t xml:space="preserve">      5.02.36.08.59.0056</t>
  </si>
  <si>
    <t>Construc. a 3 -Balcarce 156-YeserÃ­a-Varios-Sueldos y Jorna</t>
  </si>
  <si>
    <t xml:space="preserve">      5.02.36.08.59.0057</t>
  </si>
  <si>
    <t>Construc. a 3 -Balcarce 156-YeserÃ­a-Varios-Cargas Sociales</t>
  </si>
  <si>
    <t xml:space="preserve">    5.02.36.10</t>
  </si>
  <si>
    <t>Construc. a 3 -Balcarce 156-Sanitarios</t>
  </si>
  <si>
    <t xml:space="preserve">     5.02.36.10.47</t>
  </si>
  <si>
    <t>Construc. a 3 -Balcarce 156-Sanitarios-Inst Sanitaria</t>
  </si>
  <si>
    <t xml:space="preserve">      5.02.36.10.47.0001</t>
  </si>
  <si>
    <t>Construc. a 3 -Balcarce 156-Sanitarios-Inst Sanitaria-Materiales</t>
  </si>
  <si>
    <t xml:space="preserve">      5.02.36.10.47.0003</t>
  </si>
  <si>
    <t xml:space="preserve">Construc. a 3 -Balcarce 156-Sanitarios-Inst Sanitaria-Mano obra de 3 </t>
  </si>
  <si>
    <t xml:space="preserve">     5.02.36.10.48</t>
  </si>
  <si>
    <t>Construc. a 3 -Balcarce 156-Sanitarios-Inst gas natura</t>
  </si>
  <si>
    <t xml:space="preserve">      5.02.36.10.48.0001</t>
  </si>
  <si>
    <t>Construc. a 3 -Balcarce 156-Sanitarios-Inst gas natura-Materiales</t>
  </si>
  <si>
    <t xml:space="preserve">      5.02.36.10.48.0003</t>
  </si>
  <si>
    <t xml:space="preserve">Construc. a 3 -Balcarce 156-Sanitarios-Inst gas natura-Mano obra de 3 </t>
  </si>
  <si>
    <t xml:space="preserve">     5.02.36.10.59</t>
  </si>
  <si>
    <t>Construc. a 3 -Balcarce 156-Sanitarios-Varios</t>
  </si>
  <si>
    <t xml:space="preserve">      5.02.36.10.59.0056</t>
  </si>
  <si>
    <t>Construc. a 3 -Balcarce 156-Sanitarios-Varios-Sueldos y Jorna</t>
  </si>
  <si>
    <t xml:space="preserve">      5.02.36.10.59.0057</t>
  </si>
  <si>
    <t>Construc. a 3 -Balcarce 156-Sanitarios-Varios-Cargas Sociales</t>
  </si>
  <si>
    <t xml:space="preserve">    5.02.36.13</t>
  </si>
  <si>
    <t>Construc. a 3 -Balcarce 156-Pintura</t>
  </si>
  <si>
    <t xml:space="preserve">     5.02.36.13.56</t>
  </si>
  <si>
    <t>Construc. a 3 -Balcarce 156-Pintura-Pinturas</t>
  </si>
  <si>
    <t xml:space="preserve">      5.02.36.13.56.0001</t>
  </si>
  <si>
    <t>Construc. a 3 -Balcarce 156-Pintura-Pinturas-Materiales</t>
  </si>
  <si>
    <t xml:space="preserve">      5.02.36.13.56.0002</t>
  </si>
  <si>
    <t>Construc. a 3 -Balcarce 156-Pintura-Pinturas-Mano obra Batia</t>
  </si>
  <si>
    <t xml:space="preserve">      5.02.36.13.56.0003</t>
  </si>
  <si>
    <t xml:space="preserve">Construc. a 3 -Balcarce 156-Pintura-Pinturas-Mano obra de 3 </t>
  </si>
  <si>
    <t xml:space="preserve">     5.02.36.13.59</t>
  </si>
  <si>
    <t>Construc. a 3 -Balcarce 156-Pintura-Varios</t>
  </si>
  <si>
    <t xml:space="preserve">      5.02.36.13.59.0056</t>
  </si>
  <si>
    <t>Construc. a 3 -Balcarce 156-Pintura-Varios-Sueldos y Jorna</t>
  </si>
  <si>
    <t xml:space="preserve">      5.02.36.13.59.0057</t>
  </si>
  <si>
    <t>Construc. a 3 -Balcarce 156-Pintura-Varios-Cargas Sociales</t>
  </si>
  <si>
    <t xml:space="preserve">    5.02.36.15</t>
  </si>
  <si>
    <t>Construc. a 3 -Balcarce 156-Varios</t>
  </si>
  <si>
    <t xml:space="preserve">     5.02.36.15.59</t>
  </si>
  <si>
    <t>Construc. a 3 -Balcarce 156-Varios-Varios</t>
  </si>
  <si>
    <t xml:space="preserve">      5.02.36.15.59.0009</t>
  </si>
  <si>
    <t>Construc. a 3 -Balcarce 156-Varios-Varios-Herram de Consu</t>
  </si>
  <si>
    <t xml:space="preserve">      5.02.36.15.59.0060</t>
  </si>
  <si>
    <t>Construc. a 3 -Balcarce 156-Varios-Varios-Uniformes Perso</t>
  </si>
  <si>
    <t xml:space="preserve">      5.02.36.15.59.0069</t>
  </si>
  <si>
    <t>Construc. a 3 -Balcarce 156-Varios-Varios-Seguros</t>
  </si>
  <si>
    <t xml:space="preserve">      5.02.36.15.59.0076</t>
  </si>
  <si>
    <t>Construc. a 3 -Balcarce 156-Varios-Varios-Gastos Diversos</t>
  </si>
  <si>
    <t xml:space="preserve">      5.02.36.15.59.0084</t>
  </si>
  <si>
    <t xml:space="preserve">Construc. a 3 -Balcarce 156-Varios-Varios-Gs Seguridad y </t>
  </si>
  <si>
    <t xml:space="preserve">      5.02.36.15.59.0314</t>
  </si>
  <si>
    <t>Construc. a 3 -Balcarce 156-Varios-Varios-Materiales a re</t>
  </si>
  <si>
    <t xml:space="preserve">    5.02.36.30</t>
  </si>
  <si>
    <t>Construc. a 3 -Balcarce 156-Costos Inmueble</t>
  </si>
  <si>
    <t xml:space="preserve">     5.02.36.30.53</t>
  </si>
  <si>
    <t>Construc. a 3 -Balcarce 156-Costos Inmueble-Inst elÃ©ctrica</t>
  </si>
  <si>
    <t xml:space="preserve">      5.02.36.30.53.0001</t>
  </si>
  <si>
    <t>Construc. a 3 -Balcarce 156-Costos Inmueble-Inst elÃ©ctrica-Materiales</t>
  </si>
  <si>
    <t xml:space="preserve">      5.02.36.30.53.0002</t>
  </si>
  <si>
    <t>Construc. a 3 -Balcarce 156-Costos Inmueble-Inst elÃ©ctrica-Mano obra Batia</t>
  </si>
  <si>
    <t xml:space="preserve">      5.02.36.30.53.0003</t>
  </si>
  <si>
    <t xml:space="preserve">Construc. a 3 -Balcarce 156-Costos Inmueble-Inst elÃ©ctrica-Mano obra de 3 </t>
  </si>
  <si>
    <t xml:space="preserve">   5.02.37</t>
  </si>
  <si>
    <t>Construc. a 3 -San Lorenzo al 900</t>
  </si>
  <si>
    <t xml:space="preserve">    5.02.37.01</t>
  </si>
  <si>
    <t>Construc. a 3 -San Lorenzo al -Proyecto y dire</t>
  </si>
  <si>
    <t xml:space="preserve">     5.02.37.01.01</t>
  </si>
  <si>
    <t>Construc. a 3 -San Lorenzo al -Proyecto y dire-Honorarios proy</t>
  </si>
  <si>
    <t xml:space="preserve">      5.02.37.01.01.0075</t>
  </si>
  <si>
    <t>Construc. a 3 -San Lorenzo al -Proyecto y dire-Honorarios proy-Honorarios</t>
  </si>
  <si>
    <t xml:space="preserve">      5.02.37.01.01.0315</t>
  </si>
  <si>
    <t>Construc. a 3 -San Lorenzo al -Proyecto y dire-Honorarios proy-Hon.Hig.y segur</t>
  </si>
  <si>
    <t xml:space="preserve">    5.02.37.03</t>
  </si>
  <si>
    <t>Construc. a 3 -San Lorenzo al -Movilidad y fle</t>
  </si>
  <si>
    <t xml:space="preserve">     5.02.37.03.03</t>
  </si>
  <si>
    <t>Construc. a 3 -San Lorenzo al -Movilidad y fle-Movilidad y Fle</t>
  </si>
  <si>
    <t xml:space="preserve">      5.02.37.03.03.0007</t>
  </si>
  <si>
    <t>Construc. a 3 -San Lorenzo al -Movilidad y fle-Movilidad y Fle-Fletes</t>
  </si>
  <si>
    <t xml:space="preserve">    5.02.37.04</t>
  </si>
  <si>
    <t>Construc. a 3 -San Lorenzo al -Mov. suelo  exc</t>
  </si>
  <si>
    <t xml:space="preserve">     5.02.37.04.04</t>
  </si>
  <si>
    <t>Construc. a 3 -San Lorenzo al -Mov. suelo  exc-Demoliciones</t>
  </si>
  <si>
    <t xml:space="preserve">      5.02.37.04.04.0056</t>
  </si>
  <si>
    <t>Construc. a 3 -San Lorenzo al -Mov. suelo  exc-Demoliciones-Sueldos y Jorna</t>
  </si>
  <si>
    <t xml:space="preserve">      5.02.37.04.04.0057</t>
  </si>
  <si>
    <t>Construc. a 3 -San Lorenzo al -Mov. suelo  exc-Demoliciones-Cargas Sociales</t>
  </si>
  <si>
    <t xml:space="preserve">      5.02.37.04.04.0316</t>
  </si>
  <si>
    <t>Construc. a 3 -San Lorenzo al -Mov. suelo  exc-Demoliciones-Excavac.a mano</t>
  </si>
  <si>
    <t xml:space="preserve">      5.02.37.04.04.0317</t>
  </si>
  <si>
    <t>Construc. a 3 -San Lorenzo al -Mov. suelo  exc-Demoliciones-Excavac.a mÃ¡qui</t>
  </si>
  <si>
    <t xml:space="preserve">      5.02.37.04.04.0318</t>
  </si>
  <si>
    <t>Construc. a 3 -San Lorenzo al -Mov. suelo  exc-Demoliciones-Retiro de tierr</t>
  </si>
  <si>
    <t xml:space="preserve">     5.02.37.04.59</t>
  </si>
  <si>
    <t>Construc. a 3 -San Lorenzo al -Mov. suelo  exc-Varios</t>
  </si>
  <si>
    <t xml:space="preserve">      5.02.37.04.59.0056</t>
  </si>
  <si>
    <t>Construc. a 3 -San Lorenzo al -Mov. suelo  exc-Varios-Sueldos y Jorna</t>
  </si>
  <si>
    <t xml:space="preserve">      5.02.37.04.59.0057</t>
  </si>
  <si>
    <t>Construc. a 3 -San Lorenzo al -Mov. suelo  exc-Varios-Cargas Sociales</t>
  </si>
  <si>
    <t xml:space="preserve">    5.02.37.05</t>
  </si>
  <si>
    <t>Construc. a 3 -San Lorenzo al 900-Estructura</t>
  </si>
  <si>
    <t xml:space="preserve">     5.02.37.05.59</t>
  </si>
  <si>
    <t>Construc. a 3 -San Lorenzo al 900-Estructura-Varios</t>
  </si>
  <si>
    <t xml:space="preserve">      5.02.37.05.59.0003</t>
  </si>
  <si>
    <t xml:space="preserve">Construc. a 3 -San Lorenzo al -Estructura-Varios-Mano obra de 3 </t>
  </si>
  <si>
    <t xml:space="preserve">      5.02.37.05.59.0056</t>
  </si>
  <si>
    <t>Construc. a 3 -San Lorenzo al 900-Estructura-Varios-Sueldos y Jorna</t>
  </si>
  <si>
    <t xml:space="preserve">      5.02.37.05.59.0057</t>
  </si>
  <si>
    <t>Construc. a 3 -San lorenzo al 900-Estructura-Varios-Cargas Sociales</t>
  </si>
  <si>
    <t xml:space="preserve">      5.02.37.05.59.0310</t>
  </si>
  <si>
    <t>Construc. a 3 -San Lorenzo al -Estructura-Varios-Madera</t>
  </si>
  <si>
    <t xml:space="preserve">      5.02.37.05.59.0311</t>
  </si>
  <si>
    <t>Construc. a 3 -San Lorenzo al -Estructura-Varios-Materiales elÃ©c</t>
  </si>
  <si>
    <t xml:space="preserve">      5.02.37.05.59.0312</t>
  </si>
  <si>
    <t>Construc. a 3 -San Lorenzo al -Estructura-Varios-Clavos y alambr</t>
  </si>
  <si>
    <t xml:space="preserve">      5.02.37.05.59.0313</t>
  </si>
  <si>
    <t>Construc. a 3 -San Lorenzo al -Estructura-Varios-Telgopor</t>
  </si>
  <si>
    <t xml:space="preserve">    5.02.37.06</t>
  </si>
  <si>
    <t>Construc. a 3 -San Lorenzo al -AlbaÃ±ilerÃ­a</t>
  </si>
  <si>
    <t xml:space="preserve">     5.02.37.06.59</t>
  </si>
  <si>
    <t>Construc. a 3 -San Lorenzo al -AlbaÃ±ilerÃ­a-Varios</t>
  </si>
  <si>
    <t xml:space="preserve">      5.02.37.06.59.0001</t>
  </si>
  <si>
    <t>Construc. a 3 -San Lorenzo al -AlbaÃ±ilerÃ­a-Varios-Materiales</t>
  </si>
  <si>
    <t xml:space="preserve">      5.02.37.06.59.0002</t>
  </si>
  <si>
    <t>Construc. a 3 -San Lorenzo al -AlbaÃ±ilerÃ­a-Varios-Mano obra Batia</t>
  </si>
  <si>
    <t xml:space="preserve">      5.02.37.06.59.0003</t>
  </si>
  <si>
    <t xml:space="preserve">Construc. a 3 -San Lorenzo al -AlbaÃ±ilerÃ­a-Varios-Mano obra de 3 </t>
  </si>
  <si>
    <t xml:space="preserve">      5.02.37.06.59.0056</t>
  </si>
  <si>
    <t>Construc. a 3 -San Lorenzo al -AlbaÃ±ilerÃ­a-Varios-Sueldos y Jorna</t>
  </si>
  <si>
    <t xml:space="preserve">      5.02.37.06.59.0057</t>
  </si>
  <si>
    <t>Construc. a 3 -San Lorenzo al -AlbaÃ±ilerÃ­a-Varios-Cargas Sociales</t>
  </si>
  <si>
    <t xml:space="preserve">    5.02.37.08</t>
  </si>
  <si>
    <t>Construc. a 3 -San Lorenzo al -YeserÃ­a</t>
  </si>
  <si>
    <t xml:space="preserve">     5.02.37.08.59</t>
  </si>
  <si>
    <t>Construc. a 3 -San Lorenzo al -YeserÃ­a-Varios</t>
  </si>
  <si>
    <t xml:space="preserve">      5.02.37.08.59.0056</t>
  </si>
  <si>
    <t>Construc. a 3 -San Lorenzo al -YeserÃ­a-Varios-Sueldos y Jorna</t>
  </si>
  <si>
    <t xml:space="preserve">      5.02.37.08.59.0057</t>
  </si>
  <si>
    <t>Construc. a 3 -San Lorenzo al -YeserÃ­a-Varios-Cargas Sociales</t>
  </si>
  <si>
    <t xml:space="preserve">    5.02.37.09</t>
  </si>
  <si>
    <t>Construc. a 3 -San Lorenzo al -CarpinterÃ­a</t>
  </si>
  <si>
    <t xml:space="preserve">     5.02.37.09.59</t>
  </si>
  <si>
    <t>Construc. a 3 -San Lorenzo al -CarpinterÃ­a-Varios</t>
  </si>
  <si>
    <t xml:space="preserve">      5.02.37.09.59.0003</t>
  </si>
  <si>
    <t xml:space="preserve">Construc. a 3 -San Lorenzo al -CarpinterÃ­a-Varios-Mano obra de 3 </t>
  </si>
  <si>
    <t xml:space="preserve">      5.02.37.09.59.0056</t>
  </si>
  <si>
    <t>Construc. a 3 -San Lorenzo al -CarpinterÃ­a-Varios-Sueldos y Jorna</t>
  </si>
  <si>
    <t xml:space="preserve">      5.02.37.09.59.0057</t>
  </si>
  <si>
    <t>Construc. a 3 -San Lorenzo al -CarpinterÃ­a-Varios-Cargas Sociales</t>
  </si>
  <si>
    <t xml:space="preserve">    5.02.37.10</t>
  </si>
  <si>
    <t>Construc. a 3 -San Lorenzo al -Sanitarios</t>
  </si>
  <si>
    <t xml:space="preserve">     5.02.37.10.59</t>
  </si>
  <si>
    <t>Construc. a 3 -San Lorenzo al -Sanitarios-Varios</t>
  </si>
  <si>
    <t xml:space="preserve">      5.02.37.10.59.0056</t>
  </si>
  <si>
    <t>Construc. a 3 -San Lorenzo al -Sanitarios-Varios-Sueldos y Jorna</t>
  </si>
  <si>
    <t xml:space="preserve">      5.02.37.10.59.0057</t>
  </si>
  <si>
    <t>Construc. a 3 -San Lorenzo al -Sanitarios-Varios-Cargas Sociales</t>
  </si>
  <si>
    <t xml:space="preserve">    5.02.37.11</t>
  </si>
  <si>
    <t>Construc. a 3 -San Lorenzo al -Inst. ElÃ©ctrica</t>
  </si>
  <si>
    <t xml:space="preserve">     5.02.37.11.53</t>
  </si>
  <si>
    <t>Construc. a 3 -San Lorenzo al -Inst. ElÃ©ctrica-Inst elÃ©ctrica</t>
  </si>
  <si>
    <t xml:space="preserve">      5.02.37.11.53.0003</t>
  </si>
  <si>
    <t xml:space="preserve">Construc. a 3 -San Lorenzo al -Inst. ElÃ©ctrica-Inst elÃ©ctrica-Mano obra de 3 </t>
  </si>
  <si>
    <t xml:space="preserve">    5.02.37.13</t>
  </si>
  <si>
    <t>Construc. a 3 -San Lorenzo al -Pintura</t>
  </si>
  <si>
    <t xml:space="preserve">     5.02.37.13.59</t>
  </si>
  <si>
    <t>Construc. a 3 -San Lorenzo al -Pintura-Varios</t>
  </si>
  <si>
    <t xml:space="preserve">      5.02.37.13.59.0056</t>
  </si>
  <si>
    <t>Construc. a 3 -San Lorenzo al -Pintura-Varios-Sueldos y Jorna</t>
  </si>
  <si>
    <t xml:space="preserve">      5.02.37.13.59.0057</t>
  </si>
  <si>
    <t>Construc. a 3 -San Lorenzo al -Pintura-Varios-Cargas Sociales</t>
  </si>
  <si>
    <t xml:space="preserve">    5.02.37.15</t>
  </si>
  <si>
    <t>Construc. a 3 -San Lorenzo al -Varios</t>
  </si>
  <si>
    <t xml:space="preserve">     5.02.37.15.59</t>
  </si>
  <si>
    <t>Construc. a 3 -San Lorenzo al -Varios-Varios</t>
  </si>
  <si>
    <t xml:space="preserve">      5.02.37.15.59.0084</t>
  </si>
  <si>
    <t xml:space="preserve">Construc. a 3 -San Lorenzo al -Varios-Varios-Gs Seguridad y </t>
  </si>
  <si>
    <t xml:space="preserve">      5.02.37.15.59.0302</t>
  </si>
  <si>
    <t>Construc. a 3 -San Lorenzo al -Varios-Varios-Edific.terminad</t>
  </si>
  <si>
    <t xml:space="preserve">      5.02.37.15.59.0314</t>
  </si>
  <si>
    <t>Construc. a 3 -San Lorenzo al -Varios-Varios-Materiales a re</t>
  </si>
  <si>
    <t xml:space="preserve">     5.02.37.15.60</t>
  </si>
  <si>
    <t>Construc. a 3 -San Lorenzo al -Varios-Costos Vs MO</t>
  </si>
  <si>
    <t xml:space="preserve">      5.02.37.15.60.0009</t>
  </si>
  <si>
    <t>Construc. a 3 -San Lorenzo al -Varios-Costos Vs MO-Herram de Consu</t>
  </si>
  <si>
    <t xml:space="preserve">      5.02.37.15.60.0060</t>
  </si>
  <si>
    <t>Construc. a 3 -San Lorenzo al -Varios-Costos Vs MO-Uniformes Perso</t>
  </si>
  <si>
    <t xml:space="preserve">      5.02.37.15.60.0076</t>
  </si>
  <si>
    <t>Construc. a 3 -San Lorenzo al -Varios-Costos Vs MO-Gastos Diversos</t>
  </si>
  <si>
    <t xml:space="preserve">      5.02.37.15.60.0097</t>
  </si>
  <si>
    <t>Construc. a 3 -San Lorenzo al -Varios-Costos Vs MO-Vacaciones</t>
  </si>
  <si>
    <t xml:space="preserve">      5.02.37.15.60.0098</t>
  </si>
  <si>
    <t>Construc. a 3 -San Lorenzo al -Varios-Costos Vs MO-Aguinaldo</t>
  </si>
  <si>
    <t xml:space="preserve">   5.02.39</t>
  </si>
  <si>
    <t xml:space="preserve">    5.02.39.05</t>
  </si>
  <si>
    <t>Construc. a 3 -Salta 450-Estructura</t>
  </si>
  <si>
    <t xml:space="preserve">     5.02.39.05.59</t>
  </si>
  <si>
    <t>Construc. a 3 -Salta 450-Estructura-Varios</t>
  </si>
  <si>
    <t xml:space="preserve">      5.02.39.05.59.0001</t>
  </si>
  <si>
    <t>Construc. a 3 -Salta 450-Estructura-Varios-Materiales</t>
  </si>
  <si>
    <t xml:space="preserve">      5.02.39.05.59.0003</t>
  </si>
  <si>
    <t xml:space="preserve">Construc. a 3 -Salta 450-Estructura-Varios-Mano obra de 3 </t>
  </si>
  <si>
    <t xml:space="preserve">      5.02.39.05.59.0004</t>
  </si>
  <si>
    <t>Construc. a 3 -Salta 450-Estructura-Varios-Permisos munici</t>
  </si>
  <si>
    <t xml:space="preserve">      5.02.39.05.59.0007</t>
  </si>
  <si>
    <t>Construc. a 3 -Salta 450-Estructura-Varios-Fletes</t>
  </si>
  <si>
    <t xml:space="preserve">      5.02.39.05.59.0056</t>
  </si>
  <si>
    <t>Construc. a 3 -Salta 450-Estructura-Varios-Sueldos y Jorna</t>
  </si>
  <si>
    <t xml:space="preserve">      5.02.39.05.59.0057</t>
  </si>
  <si>
    <t>Construc. a 3 -Salta 450-Estructura-Varios-Cargas Sociales</t>
  </si>
  <si>
    <t xml:space="preserve">    5.02.39.15</t>
  </si>
  <si>
    <t>Construc. a 3 -Salta 450-Varios</t>
  </si>
  <si>
    <t xml:space="preserve">     5.02.39.15.60</t>
  </si>
  <si>
    <t>Construc. a 3 -Salta 450-Varios-Costos Vs MO</t>
  </si>
  <si>
    <t xml:space="preserve">      5.02.39.15.60.0009</t>
  </si>
  <si>
    <t>Construc. a 3 -Salta 450-Varios-Costos Vs MO-Herram de Consu</t>
  </si>
  <si>
    <t xml:space="preserve">      5.02.39.15.60.0060</t>
  </si>
  <si>
    <t>Construc. a 3 -Salta 450-Varios-Costos Vs MO-Uniformes Perso</t>
  </si>
  <si>
    <t xml:space="preserve">      5.02.39.15.60.0076</t>
  </si>
  <si>
    <t>Construc. a 3 -Salta 450-Varios-Costos Vs MO-Gastos Diversos</t>
  </si>
  <si>
    <t xml:space="preserve">      5.02.39.15.60.0097</t>
  </si>
  <si>
    <t>Construc. a 3 -Salta 450-Varios-Costos Vs MO-Vacaciones</t>
  </si>
  <si>
    <t xml:space="preserve">      5.02.39.15.60.0098</t>
  </si>
  <si>
    <t>Construc. a 3 -Salta 450-Varios-Costos Vs MO-Aguinaldo</t>
  </si>
  <si>
    <t xml:space="preserve">   5.02.40</t>
  </si>
  <si>
    <t>Construc. a 3 -Av.Avellaneda 5</t>
  </si>
  <si>
    <t xml:space="preserve">    5.02.40.01</t>
  </si>
  <si>
    <t>Construc. a 3 -Av.Avell. 585-Proyecto y dire</t>
  </si>
  <si>
    <t xml:space="preserve">     5.02.40.01.01</t>
  </si>
  <si>
    <t>Construc. a 3 -Av.Avell. 585-Proyecto y dire-Honorarios proy</t>
  </si>
  <si>
    <t xml:space="preserve">      5.02.40.01.01.0075</t>
  </si>
  <si>
    <t>Construc. a 3 -Av.Avell. 585-Proyecto y dire-Honorarios proy-Honorarios</t>
  </si>
  <si>
    <t xml:space="preserve">      5.02.40.01.01.0315</t>
  </si>
  <si>
    <t>Construc. a 3 -Av.Avell. 585-Proyecto y dire-Honorarios proy-Hon.Hig.y segur</t>
  </si>
  <si>
    <t xml:space="preserve">    5.02.40.03</t>
  </si>
  <si>
    <t>Construc. a 3 -Av.Avell. 585-Movilidad y fle</t>
  </si>
  <si>
    <t xml:space="preserve">     5.02.40.03.03</t>
  </si>
  <si>
    <t>Construc. a 3 -Av.Avell. 585-Movilidad y fle-Movilidad y Fle</t>
  </si>
  <si>
    <t xml:space="preserve">      5.02.40.03.03.0007</t>
  </si>
  <si>
    <t>Construc. a 3 -Av.Avell. 585-Movilidad y fle-Movilidad y Fle-Fletes</t>
  </si>
  <si>
    <t xml:space="preserve">    5.02.40.04</t>
  </si>
  <si>
    <t>Construc. a 3 -Av.Avellaneda 5-Mov. suelo  exc</t>
  </si>
  <si>
    <t xml:space="preserve">     5.02.40.04.04</t>
  </si>
  <si>
    <t>Construc. a 3 -Av.Avell. 585-Mov. suelo  exc-Demoliciones</t>
  </si>
  <si>
    <t xml:space="preserve">      5.02.40.04.04.0316</t>
  </si>
  <si>
    <t>Construc. a 3 -Av.Avell. 585-Mov. suelo  exc-Demoliciones-Excavac.a mano</t>
  </si>
  <si>
    <t xml:space="preserve">      5.02.40.04.04.0317</t>
  </si>
  <si>
    <t>Construc. a 3 -Av.Avell. 585-Mov. suelo  exc-Demoliciones-Excavac.a mÃ¡qui</t>
  </si>
  <si>
    <t xml:space="preserve">      5.02.40.04.04.0318</t>
  </si>
  <si>
    <t>Construc. a 3 -Av.Avell. 585-Mov. suelo  exc-Demoliciones-Retiro de tierr</t>
  </si>
  <si>
    <t xml:space="preserve">     5.02.40.04.05</t>
  </si>
  <si>
    <t>Construc. a 3 -Av.Avellaneda 5-Mov. suelo  exc-Movimiento tier</t>
  </si>
  <si>
    <t xml:space="preserve">      5.02.40.04.05.0001</t>
  </si>
  <si>
    <t>Construc. a 3 -Av.Avell. 585-Mov. suelo  exc-Movimiento tier-Materiales</t>
  </si>
  <si>
    <t xml:space="preserve">      5.02.40.04.05.0002</t>
  </si>
  <si>
    <t>Construc. a 3 -Av.Avellaneda 5-Mov. suelo  exc-Movimiento tier-Mano obra Batia</t>
  </si>
  <si>
    <t xml:space="preserve">      5.02.40.04.05.0003</t>
  </si>
  <si>
    <t xml:space="preserve">Construc. a 3 -Av.Avellaneda 5-Mov. suelo  exc-Movimiento tier-Mano obra de 3 </t>
  </si>
  <si>
    <t xml:space="preserve">      5.02.40.04.05.0056</t>
  </si>
  <si>
    <t>Construc. a 3 -Av.Avell. 585-Mov. suelo  exc-Movimiento tier-Sueldos y Jorna</t>
  </si>
  <si>
    <t xml:space="preserve">      5.02.40.04.05.0057</t>
  </si>
  <si>
    <t>Construc. a 3 -Av.Avell. 585-Mov. suelo  exc-Movimiento tier-Cargas Sociales</t>
  </si>
  <si>
    <t xml:space="preserve">      5.02.40.04.05.0440</t>
  </si>
  <si>
    <t>Construc. a 3 -Av.Avellaneda 5-Mov. suelo  exc-Movimiento tier-Cercado Perimet</t>
  </si>
  <si>
    <t xml:space="preserve">    5.02.40.05</t>
  </si>
  <si>
    <t>Construc. a 3 -Av.Avellaneda 5-Estructura</t>
  </si>
  <si>
    <t xml:space="preserve">     5.02.40.05.59</t>
  </si>
  <si>
    <t>Construc. a 3 -Av.Avellaneda 5-Estructura-Varios</t>
  </si>
  <si>
    <t xml:space="preserve">      5.02.40.05.59.0001</t>
  </si>
  <si>
    <t>Construc. a 3 -Av.Avellaneda 5-Estructura-Varios-Materiales</t>
  </si>
  <si>
    <t xml:space="preserve">      5.02.40.05.59.0003</t>
  </si>
  <si>
    <t xml:space="preserve">Construc. a 3 -Av.Avellaneda 5-Estructura-Varios-Mano obra de 3 </t>
  </si>
  <si>
    <t xml:space="preserve">      5.02.40.05.59.0004</t>
  </si>
  <si>
    <t>Construc. a 3 -Av.Avellaneda 5-Estructura-Varios-Permisos munici</t>
  </si>
  <si>
    <t xml:space="preserve">      5.02.40.05.59.0007</t>
  </si>
  <si>
    <t>Construc. a 3 -Av.Avellaneda 5-Estructura-Varios-Fletes</t>
  </si>
  <si>
    <t xml:space="preserve">      5.02.40.05.59.0056</t>
  </si>
  <si>
    <t>Construc. a 3 -Av.Avellaneda 5-Estructura-Varios-Sueldos y Jorna</t>
  </si>
  <si>
    <t xml:space="preserve">      5.02.40.05.59.0057</t>
  </si>
  <si>
    <t>Construc. a 3 -Av.Avellaneda 5-Estructura-Varios-Cargas Sociales</t>
  </si>
  <si>
    <t xml:space="preserve">      5.02.40.05.59.0310</t>
  </si>
  <si>
    <t>Construc. a 3 -Av.Avell. 585-Estructura-Varios-Madera</t>
  </si>
  <si>
    <t xml:space="preserve">      5.02.40.05.59.0311</t>
  </si>
  <si>
    <t>Construc. a 3 -Av.Avell. 585-Estructura-Varios-Materiales elÃ©c</t>
  </si>
  <si>
    <t xml:space="preserve">      5.02.40.05.59.0312</t>
  </si>
  <si>
    <t>Construc. a 3 -Av.Avell. 585-Estructura-Varios-Clavos y alambr</t>
  </si>
  <si>
    <t xml:space="preserve">      5.02.40.05.59.0313</t>
  </si>
  <si>
    <t>Construc. a 3 -Av.Avell. 585-Estructura-Varios-Telgopor</t>
  </si>
  <si>
    <t xml:space="preserve">    5.02.40.06</t>
  </si>
  <si>
    <t>Construc. a 3 -Av.Avell. 585-AlbaÃ±ilerÃ­a</t>
  </si>
  <si>
    <t xml:space="preserve">     5.02.40.06.59</t>
  </si>
  <si>
    <t>Construc. a 3 -Av.Avell. 585-AlbaÃ±ilerÃ­a-Varios</t>
  </si>
  <si>
    <t xml:space="preserve">      5.02.40.06.59.0056</t>
  </si>
  <si>
    <t>Construc. a 3 -Av.Avell. 585-AlbaÃ±ilerÃ­a-Varios-Sueldos y Jorna</t>
  </si>
  <si>
    <t xml:space="preserve">      5.02.40.06.59.0057</t>
  </si>
  <si>
    <t>Construc. a 3 -Av.Avell. 585-AlbaÃ±ilerÃ­a-Varios-Cargas Sociales</t>
  </si>
  <si>
    <t xml:space="preserve">    5.02.40.09</t>
  </si>
  <si>
    <t>Construc. a 3 -Av.Avell. 585-CarpinterÃ­a</t>
  </si>
  <si>
    <t xml:space="preserve">     5.02.40.09.59</t>
  </si>
  <si>
    <t>Construc. a 3 -Av.Avell. 585-CarpinterÃ­a-Varios</t>
  </si>
  <si>
    <t xml:space="preserve">      5.02.40.09.59.0056</t>
  </si>
  <si>
    <t>Construc. a 3 -Av.Avell. 585-CarpinterÃ­a-Varios-Sueldos y Jornales</t>
  </si>
  <si>
    <t xml:space="preserve">      5.02.40.09.59.0057</t>
  </si>
  <si>
    <t>Construc. a 3 -Av.Avell. 585-CarpinterÃ­a-Varios-Cargas Sociales</t>
  </si>
  <si>
    <t xml:space="preserve">    5.02.40.10</t>
  </si>
  <si>
    <t>Construc. a 3 -Av.Avell. 585-Sanitarios</t>
  </si>
  <si>
    <t xml:space="preserve">     5.02.40.10.59</t>
  </si>
  <si>
    <t>Construc. a 3 -Av.Avell. 585-Sanitarios-Varios</t>
  </si>
  <si>
    <t xml:space="preserve">      5.02.40.10.59.0056</t>
  </si>
  <si>
    <t>Construc. a 3 -Av.Avell. 585-Sanitarios-Varios-Sueldos y Jorna</t>
  </si>
  <si>
    <t xml:space="preserve">      5.02.40.10.59.0057</t>
  </si>
  <si>
    <t>Construc. a 3 -Av.Avell. 585-Sanitarios-Varios-Cargas Sociales</t>
  </si>
  <si>
    <t xml:space="preserve">    5.02.40.15</t>
  </si>
  <si>
    <t>Construc. a 3 -Av.Avellaneda 5-Varios</t>
  </si>
  <si>
    <t xml:space="preserve">     5.02.40.15.59</t>
  </si>
  <si>
    <t>Construc. a 3 -Av.Avell. 585-Varios-Varios</t>
  </si>
  <si>
    <t xml:space="preserve">      5.02.40.15.59.0084</t>
  </si>
  <si>
    <t xml:space="preserve">Construc. a 3 -Av.Avell. 585-Varios-Varios-Gs Seguridad y </t>
  </si>
  <si>
    <t xml:space="preserve">      5.02.40.15.59.0314</t>
  </si>
  <si>
    <t>Construc. a 3 -Av.Avell. 585-Varios-Varios-Materiales a re</t>
  </si>
  <si>
    <t xml:space="preserve">     5.02.40.15.60</t>
  </si>
  <si>
    <t>Construc. a 3 -Av.Avellaneda 5-Varios-Costos Vs MO</t>
  </si>
  <si>
    <t xml:space="preserve">      5.02.40.15.60.0009</t>
  </si>
  <si>
    <t>Construc. a 3 -Av.Avellaneda 5-Varios-Costos Vs MO-Herram de Consu</t>
  </si>
  <si>
    <t xml:space="preserve">      5.02.40.15.60.0060</t>
  </si>
  <si>
    <t>Construc. a 3 -Av.Avellaneda 5-Varios-Costos Vs MO-Uniformes Perso</t>
  </si>
  <si>
    <t xml:space="preserve">      5.02.40.15.60.0076</t>
  </si>
  <si>
    <t>Construc. a 3 -Av.Avellaneda 5-Varios-Costos Vs MO-Gastos Diversos</t>
  </si>
  <si>
    <t xml:space="preserve">      5.02.40.15.60.0097</t>
  </si>
  <si>
    <t>Construc. a 3 -Av.Avellaneda 5-Varios-Costos Vs MO-Vacaciones</t>
  </si>
  <si>
    <t xml:space="preserve">      5.02.40.15.60.0098</t>
  </si>
  <si>
    <t>Construc. a 3 -Av.Avellaneda 5-Varios-Costos Vs MO-Aguinaldo</t>
  </si>
  <si>
    <t xml:space="preserve">   5.02.42</t>
  </si>
  <si>
    <t xml:space="preserve">    5.02.42.05</t>
  </si>
  <si>
    <t>Construc. a 3 -Anta La Rincona-Estructura</t>
  </si>
  <si>
    <t xml:space="preserve">     5.02.42.05.59</t>
  </si>
  <si>
    <t>Construc. a 3 -Anta La Rincona-Estructura-Varios</t>
  </si>
  <si>
    <t xml:space="preserve">      5.02.42.05.59.0056</t>
  </si>
  <si>
    <t>Construc. a 3 -Anta La Rincona-Estructura-Varios-Sueldos y Jorna</t>
  </si>
  <si>
    <t xml:space="preserve">      5.02.42.05.59.0057</t>
  </si>
  <si>
    <t>Construc. a 3 -Anta La Rincona-Estructura-Varios-Cargas Sociales</t>
  </si>
  <si>
    <t xml:space="preserve">    5.02.42.15</t>
  </si>
  <si>
    <t>Construc. a 3 -Anta La Rincona-Varios</t>
  </si>
  <si>
    <t xml:space="preserve">     5.02.42.15.60</t>
  </si>
  <si>
    <t>Construc. a 3 -Anta La Rincona-Varios-Costos Vs MO</t>
  </si>
  <si>
    <t xml:space="preserve">      5.02.42.15.60.0009</t>
  </si>
  <si>
    <t>Construc. a 3 -Anta La Rincona-Varios-Costos Vs MO-Herram de Consu</t>
  </si>
  <si>
    <t xml:space="preserve">      5.02.42.15.60.0060</t>
  </si>
  <si>
    <t>Construc. a 3 -Anta La Rincona-Varios-Costos Vs MO-Uniformes Perso</t>
  </si>
  <si>
    <t xml:space="preserve">      5.02.42.15.60.0076</t>
  </si>
  <si>
    <t>Construc. a 3 -Anta La Rincona-Varios-Costos Vs MO-Gastos Diversos</t>
  </si>
  <si>
    <t xml:space="preserve">      5.02.42.15.60.0097</t>
  </si>
  <si>
    <t>Construc. a 3 -Anta La Rincona-Varios-Costos Vs MO-Vacaciones</t>
  </si>
  <si>
    <t xml:space="preserve">      5.02.42.15.60.0098</t>
  </si>
  <si>
    <t>Construc. a 3 -Anta La Rincona-Varios-Costos Vs MO-Aguinaldo</t>
  </si>
  <si>
    <t xml:space="preserve">   5.02.43</t>
  </si>
  <si>
    <t xml:space="preserve">    5.02.43.01</t>
  </si>
  <si>
    <t>Construc. a 3 -Bs.As.670-Proyecto y dire</t>
  </si>
  <si>
    <t xml:space="preserve">     5.02.43.01.01</t>
  </si>
  <si>
    <t>Construc. a 3 -Bs.As.670-Proyecto y dire-Honorarios proy</t>
  </si>
  <si>
    <t xml:space="preserve">      5.02.43.01.01.0075</t>
  </si>
  <si>
    <t>Construc. a 3 -Bs.As.670-Proyecto y dire-Honorarios proy-Honorarios</t>
  </si>
  <si>
    <t xml:space="preserve">      5.02.43.01.01.0315</t>
  </si>
  <si>
    <t>Construc. a 3 -Bs.As.670-Proyecto y dire-Honorarios proy-Hon.Hig.y segur</t>
  </si>
  <si>
    <t xml:space="preserve">    5.02.43.02</t>
  </si>
  <si>
    <t>Construc. a 3 -Bs.As.670-Tasas  der y se</t>
  </si>
  <si>
    <t xml:space="preserve">     5.02.43.02.02</t>
  </si>
  <si>
    <t>Construc. a 3 -Bs.As.670-Tasas  der y se-Trab. prelimina</t>
  </si>
  <si>
    <t xml:space="preserve">      5.02.43.02.02.0004</t>
  </si>
  <si>
    <t>Construc. a 3 -Bs.As.670-Tasas  der y se-Trab. prelimina-Permisos munici</t>
  </si>
  <si>
    <t xml:space="preserve">      5.02.43.02.02.0005</t>
  </si>
  <si>
    <t>Construc. a 3 -Bs.As.670-Tasas  der y se-Trab. prelimina-Sellados</t>
  </si>
  <si>
    <t xml:space="preserve">      5.02.43.02.02.0006</t>
  </si>
  <si>
    <t>Construc. a 3 -Bs.As.670-Tasas  der y se-Trab. prelimina-Otros Gtos Inic</t>
  </si>
  <si>
    <t xml:space="preserve">      5.02.43.02.02.0008</t>
  </si>
  <si>
    <t xml:space="preserve">Construc. a 3 -Bs.As.670-Tasas  der y se-Trab. prelimina-Luz Agua Otros </t>
  </si>
  <si>
    <t xml:space="preserve">    5.02.43.03</t>
  </si>
  <si>
    <t>Construc. a 3 -Bs.As.670-Movilidad y fle</t>
  </si>
  <si>
    <t xml:space="preserve">     5.02.43.03.03</t>
  </si>
  <si>
    <t>Construc. a 3 -Bs.As.670-Movilidad y fle-Movilidad y Fle</t>
  </si>
  <si>
    <t xml:space="preserve">      5.02.43.03.03.0007</t>
  </si>
  <si>
    <t>Construc. a 3 -Bs.As.670-Movilidad y fle-Movilidad y Fle-Fletes</t>
  </si>
  <si>
    <t xml:space="preserve">    5.02.43.04</t>
  </si>
  <si>
    <t>Construc. a 3 -Bs.As.670-Mov. suelo  exc</t>
  </si>
  <si>
    <t xml:space="preserve">     5.02.43.04.04</t>
  </si>
  <si>
    <t>Construc. a 3 -Bs.As.670-Mov. suelo  exc-Demoliciones</t>
  </si>
  <si>
    <t xml:space="preserve">      5.02.43.04.04.0002</t>
  </si>
  <si>
    <t>Construc. a 3 -Bs.As.670-Mov. suelo  exc-Demoliciones-Mano obra Batia</t>
  </si>
  <si>
    <t xml:space="preserve">      5.02.43.04.04.0003</t>
  </si>
  <si>
    <t xml:space="preserve">Construc. a 3 -Bs.As.670-Mov. suelo  exc-Demoliciones-Mano obra de 3 </t>
  </si>
  <si>
    <t xml:space="preserve">      5.02.43.04.04.0316</t>
  </si>
  <si>
    <t>Construc. a 3 -Bs.As.670-Mov. suelo  exc-Demoliciones-Excavac.a mano</t>
  </si>
  <si>
    <t xml:space="preserve">      5.02.43.04.04.0317</t>
  </si>
  <si>
    <t>Construc. a 3 -Bs.As.670-Mov. suelo  exc-Demoliciones-Excavac.a mÃ¡qui</t>
  </si>
  <si>
    <t xml:space="preserve">      5.02.43.04.04.0318</t>
  </si>
  <si>
    <t>Construc. a 3 -Bs.As.670-Mov. suelo  exc-Demoliciones-Retiro de tierr</t>
  </si>
  <si>
    <t xml:space="preserve">     5.02.43.04.59</t>
  </si>
  <si>
    <t>Construc. a 3 -Bs.As.670-Mov. suelo  exc-Varios</t>
  </si>
  <si>
    <t xml:space="preserve">      5.02.43.04.59.0056</t>
  </si>
  <si>
    <t>Construc. a 3 -Bs.As.670-Mov. suelo  exc-Varios-Sueldos y Jorna</t>
  </si>
  <si>
    <t xml:space="preserve">      5.02.43.04.59.0057</t>
  </si>
  <si>
    <t>Construc. a 3 -Bs.As.670-Mov. suelo  exc-Varios-Cargas Sociales</t>
  </si>
  <si>
    <t xml:space="preserve">    5.02.43.05</t>
  </si>
  <si>
    <t>Construc. a 3 -Bs.As.670-Estructura</t>
  </si>
  <si>
    <t xml:space="preserve">     5.02.43.05.59</t>
  </si>
  <si>
    <t>Construc. a 3 -Bs.As.670-Estructura-Varios</t>
  </si>
  <si>
    <t xml:space="preserve">      5.02.43.05.59.0001</t>
  </si>
  <si>
    <t>Construc. a 3 -Bs.As.670-Estructura-Varios-Materiales</t>
  </si>
  <si>
    <t xml:space="preserve">      5.02.43.05.59.0002</t>
  </si>
  <si>
    <t>Construc. a 3 -Bs.As.670-Estructura-Varios-Mano obra Batia</t>
  </si>
  <si>
    <t xml:space="preserve">      5.02.43.05.59.0003</t>
  </si>
  <si>
    <t xml:space="preserve">Construc. a 3 -Bs.As.670-Estructura-Varios-Mano obra de 3 </t>
  </si>
  <si>
    <t xml:space="preserve">      5.02.43.05.59.0056</t>
  </si>
  <si>
    <t>Construc. a 3 -Bs.As.670-Estructura-Varios-Sueldos y Jorna</t>
  </si>
  <si>
    <t xml:space="preserve">      5.02.43.05.59.0057</t>
  </si>
  <si>
    <t>Construc. a 3 -Bs.As.670-Estructura-Varios-Cargas Sociales</t>
  </si>
  <si>
    <t xml:space="preserve">      5.02.43.05.59.0310</t>
  </si>
  <si>
    <t>Construc. a 3 -Bs.As.670-Estructura-Varios-Madera</t>
  </si>
  <si>
    <t xml:space="preserve">      5.02.43.05.59.0311</t>
  </si>
  <si>
    <t>Construc. a 3 -Bs.As.670-Estructura-Varios-Materiales elÃ©c</t>
  </si>
  <si>
    <t xml:space="preserve">      5.02.43.05.59.0312</t>
  </si>
  <si>
    <t>Construc. a 3 -Bs.As.670-Estructura-Varios-Clavos y alambr</t>
  </si>
  <si>
    <t xml:space="preserve">      5.02.43.05.59.0313</t>
  </si>
  <si>
    <t>Construc. a 3 -Bs.As.670-Estructura-Varios-Telgopor</t>
  </si>
  <si>
    <t xml:space="preserve">    5.02.43.06</t>
  </si>
  <si>
    <t>Construc. a 3 -Bs.As.670-AlbaÃ±ilerÃ­a</t>
  </si>
  <si>
    <t xml:space="preserve">     5.02.43.06.59</t>
  </si>
  <si>
    <t>Construc. a 3 -Bs.As.670-AlbaÃ±ilerÃ­a-Varios</t>
  </si>
  <si>
    <t xml:space="preserve">      5.02.43.06.59.0056</t>
  </si>
  <si>
    <t>Construc. a 3 -Bs.As.670-AlbaÃ±ilerÃ­a-Varios-Sueldos y Jorna</t>
  </si>
  <si>
    <t xml:space="preserve">      5.02.43.06.59.0057</t>
  </si>
  <si>
    <t>Construc. a 3 -Bs.As.670-AlbaÃ±ilerÃ­a-Varios-Cargas Sociales</t>
  </si>
  <si>
    <t xml:space="preserve">    5.02.43.10</t>
  </si>
  <si>
    <t>Construc. a 3 -Bs.As.670-Sanitarios</t>
  </si>
  <si>
    <t xml:space="preserve">     5.02.43.10.59</t>
  </si>
  <si>
    <t>Construc. a 3 -Bs.As.670-Sanitarios-Varios</t>
  </si>
  <si>
    <t xml:space="preserve">      5.02.43.10.59.0056</t>
  </si>
  <si>
    <t>Construc. a 3 -Bs.As.670-Sanitarios-Varios-Sueldos y Jorna</t>
  </si>
  <si>
    <t xml:space="preserve">      5.02.43.10.59.0057</t>
  </si>
  <si>
    <t>Construc. a 3 -Bs.As.670-Sanitarios-Varios-Cargas Sociales</t>
  </si>
  <si>
    <t xml:space="preserve">    5.02.43.15</t>
  </si>
  <si>
    <t>Construc. a 3 -Bs.As.670-Varios</t>
  </si>
  <si>
    <t xml:space="preserve">     5.02.43.15.59</t>
  </si>
  <si>
    <t>Construc. a 3 -Bs.As.670-Varios-Varios</t>
  </si>
  <si>
    <t xml:space="preserve">      5.02.43.15.59.0009</t>
  </si>
  <si>
    <t>Construc. a 3 -Bs.As.670-Varios-Varios-Herram de Consu</t>
  </si>
  <si>
    <t xml:space="preserve">      5.02.43.15.59.0060</t>
  </si>
  <si>
    <t>Construc. a 3 -Bs.As.670-Varios-Varios-Uniformes Perso</t>
  </si>
  <si>
    <t xml:space="preserve">      5.02.43.15.59.0069</t>
  </si>
  <si>
    <t>Construc. a 3 -Bs.As.670-Varios-Varios-Seguros</t>
  </si>
  <si>
    <t xml:space="preserve">      5.02.43.15.59.0076</t>
  </si>
  <si>
    <t>Construc. a 3 -Bs.As.670-Varios-Varios-Gastos Diversos</t>
  </si>
  <si>
    <t xml:space="preserve">      5.02.43.15.59.0079</t>
  </si>
  <si>
    <t>Construc. a 3 -Bs.As.670-Varios-Varios-Rep. y Mant. Ro</t>
  </si>
  <si>
    <t xml:space="preserve">      5.02.43.15.59.0084</t>
  </si>
  <si>
    <t xml:space="preserve">Construc. a 3 -Bs.As.670-Varios-Varios-Gs Seguridad y </t>
  </si>
  <si>
    <t xml:space="preserve">      5.02.43.15.59.0314</t>
  </si>
  <si>
    <t>Construc. a 3 -Bs.As.670-Varios-Varios-Materiales a re</t>
  </si>
  <si>
    <t xml:space="preserve">     5.02.43.15.60</t>
  </si>
  <si>
    <t>Construc. a 3 -Bs.As.670-Varios-Costos Vs MO</t>
  </si>
  <si>
    <t xml:space="preserve">      5.02.43.15.60.0097</t>
  </si>
  <si>
    <t>Construc. a 3 -Bs.As.670-Varios-Costos Vs MO-Vacaciones</t>
  </si>
  <si>
    <t xml:space="preserve">      5.02.43.15.60.0098</t>
  </si>
  <si>
    <t>Construc. a 3 -Bs.As.670-Varios-Costos Vs MO-Aguinaldo</t>
  </si>
  <si>
    <t xml:space="preserve">   5.02.44</t>
  </si>
  <si>
    <t xml:space="preserve">    5.02.44.01</t>
  </si>
  <si>
    <t>Construc. a 3 -S.Fe 245-Proyecto y dire</t>
  </si>
  <si>
    <t xml:space="preserve">     5.02.44.01.01</t>
  </si>
  <si>
    <t>Construc. a 3 -S.Fe 245-Proyecto y dire-Honorarios proy</t>
  </si>
  <si>
    <t xml:space="preserve">      5.02.44.01.01.0075</t>
  </si>
  <si>
    <t>Construc. a 3 -S.Fe 245-Proyecto y dire-Honorarios proy-Honorarios</t>
  </si>
  <si>
    <t xml:space="preserve">      5.02.44.01.01.0315</t>
  </si>
  <si>
    <t>Construc. a 3 -S.Fe 245-Proyecto y dire-Honorarios proy-Hon.Hig.y segur</t>
  </si>
  <si>
    <t xml:space="preserve">    5.02.44.02</t>
  </si>
  <si>
    <t>Construc. a 3 -S.Fe 245-Tasas  der y se</t>
  </si>
  <si>
    <t xml:space="preserve">     5.02.44.02.02</t>
  </si>
  <si>
    <t>Construc. a 3 -S.Fe 245-Tasas  der y se-Trab. prelimina</t>
  </si>
  <si>
    <t xml:space="preserve">      5.02.44.02.02.0004</t>
  </si>
  <si>
    <t>Construc. a 3 -S.Fe 245-Tasas  der y se-Trab. prelimina-Permisos munici</t>
  </si>
  <si>
    <t xml:space="preserve">      5.02.44.02.02.0005</t>
  </si>
  <si>
    <t>Construc. a 3 -S.Fe 245-Tasas  der y se-Trab. prelimina-Sellados</t>
  </si>
  <si>
    <t xml:space="preserve">      5.02.44.02.02.0006</t>
  </si>
  <si>
    <t>Construc. a 3 -S.Fe 245-Tasas  der y se-Trab. prelimina-Otros Gtos Inic</t>
  </si>
  <si>
    <t xml:space="preserve">      5.02.44.02.02.0008</t>
  </si>
  <si>
    <t xml:space="preserve">Construc. a 3 -S.Fe 245-Tasas  der y se-Trab. prelimina-Luz Agua Otros </t>
  </si>
  <si>
    <t xml:space="preserve">    5.02.44.03</t>
  </si>
  <si>
    <t>Construc. a 3 -S.Fe 245-Movilidad y fle</t>
  </si>
  <si>
    <t xml:space="preserve">     5.02.44.03.03</t>
  </si>
  <si>
    <t>Construc. a 3 -S.Fe 245-Movilidad y fle-Movilidad y Fle</t>
  </si>
  <si>
    <t xml:space="preserve">      5.02.44.03.03.0007</t>
  </si>
  <si>
    <t>Construc. a 3 -S.Fe 245-Movilidad y fle-Movilidad y Fle-Fletes</t>
  </si>
  <si>
    <t xml:space="preserve">    5.02.44.04</t>
  </si>
  <si>
    <t>Construc. a 3 -S.Fe 245-Mov. suelo  exc</t>
  </si>
  <si>
    <t xml:space="preserve">     5.02.44.04.04</t>
  </si>
  <si>
    <t>Construc. a 3 -S.Fe 245-Mov. suelo  exc-Demoliciones</t>
  </si>
  <si>
    <t xml:space="preserve">      5.02.44.04.04.0002</t>
  </si>
  <si>
    <t>Construc. a 3 -S.Fe 245-Mov. suelo  exc-Demoliciones-Mano obra Batia</t>
  </si>
  <si>
    <t xml:space="preserve">      5.02.44.04.04.0003</t>
  </si>
  <si>
    <t xml:space="preserve">Construc. a 3 -S.Fe 245-Mov. suelo  exc-Demoliciones-Mano obra de 3 </t>
  </si>
  <si>
    <t xml:space="preserve">      5.02.44.04.04.0056</t>
  </si>
  <si>
    <t>Construc. a 3 -S.Fe 245-Mov. suelo  exc-Demoliciones-Sueldos y Jorna</t>
  </si>
  <si>
    <t xml:space="preserve">      5.02.44.04.04.0057</t>
  </si>
  <si>
    <t>Construc. a 3 -S.Fe 245-Mov. suelo  exc-Demoliciones-Cargas Sociales</t>
  </si>
  <si>
    <t xml:space="preserve">      5.02.44.04.04.0316</t>
  </si>
  <si>
    <t>Construc. a 3 -S.Fe 245-Mov. suelo  exc-Demoliciones-Excavac.a mano</t>
  </si>
  <si>
    <t xml:space="preserve">      5.02.44.04.04.0317</t>
  </si>
  <si>
    <t>Construc. a 3 -S.Fe 245-Mov. suelo  exc-Demoliciones-Excavac.a mÃ¡qui</t>
  </si>
  <si>
    <t xml:space="preserve">      5.02.44.04.04.0318</t>
  </si>
  <si>
    <t>Construc. a 3 -S.Fe 245-Mov. suelo  exc-Demoliciones-Retiro de tierr</t>
  </si>
  <si>
    <t xml:space="preserve">    5.02.44.05</t>
  </si>
  <si>
    <t>Construc. a 3 -S.Fe 245-Estructura</t>
  </si>
  <si>
    <t xml:space="preserve">     5.02.44.05.59</t>
  </si>
  <si>
    <t>Construc. a 3 -S.Fe 245-Estructura-Varios</t>
  </si>
  <si>
    <t xml:space="preserve">      5.02.44.05.59.0001</t>
  </si>
  <si>
    <t>Construc. a 3 -S.Fe 245-Estructura-Varios-Materiales</t>
  </si>
  <si>
    <t xml:space="preserve">      5.02.44.05.59.0002</t>
  </si>
  <si>
    <t>Construc. a 3 -S.Fe 245-Estructura-Varios-Mano obra Batia</t>
  </si>
  <si>
    <t xml:space="preserve">      5.02.44.05.59.0003</t>
  </si>
  <si>
    <t xml:space="preserve">Construc. a 3 -S.Fe 245-Estructura-Varios-Mano obra de 3 </t>
  </si>
  <si>
    <t xml:space="preserve">      5.02.44.05.59.0056</t>
  </si>
  <si>
    <t>Construc. a 3 -S.Fe 245-Estructura-Varios-Sueldos y Jorna</t>
  </si>
  <si>
    <t xml:space="preserve">      5.02.44.05.59.0057</t>
  </si>
  <si>
    <t>Construc. a 3 -S.Fe 245-Estructura-Varios-Cargas Sociales</t>
  </si>
  <si>
    <t xml:space="preserve">      5.02.44.05.59.0310</t>
  </si>
  <si>
    <t>Construc. a 3 -S.Fe 245-Estructura-Varios-Madera</t>
  </si>
  <si>
    <t xml:space="preserve">      5.02.44.05.59.0311</t>
  </si>
  <si>
    <t>Construc. a 3 -S.Fe 245-Estructura-Varios-Materiales elÃ©c</t>
  </si>
  <si>
    <t xml:space="preserve">      5.02.44.05.59.0312</t>
  </si>
  <si>
    <t>Construc. a 3 -S.Fe 245-Estructura-Varios-Clavos y alambr</t>
  </si>
  <si>
    <t xml:space="preserve">      5.02.44.05.59.0313</t>
  </si>
  <si>
    <t>Construc. a 3 -S.Fe 245-Estructura-Varios-Telgopor</t>
  </si>
  <si>
    <t xml:space="preserve">    5.02.44.15</t>
  </si>
  <si>
    <t>Construc. a 3 -S.Fe 245-Varios</t>
  </si>
  <si>
    <t xml:space="preserve">     5.02.44.15.59</t>
  </si>
  <si>
    <t>Construc. a 3 -S.Fe 245-Varios-Varios</t>
  </si>
  <si>
    <t xml:space="preserve">      5.02.44.15.59.0009</t>
  </si>
  <si>
    <t>Construc. a 3 -S.Fe 245-Varios-Varios-Herram de Consu</t>
  </si>
  <si>
    <t xml:space="preserve">      5.02.44.15.59.0060</t>
  </si>
  <si>
    <t>Construc. a 3 -S.Fe 245-Varios-Varios-Uniformes Perso</t>
  </si>
  <si>
    <t xml:space="preserve">      5.02.44.15.59.0066</t>
  </si>
  <si>
    <t>Construc. a 3 -S.Fe 245-Varios-Varios-Gas</t>
  </si>
  <si>
    <t xml:space="preserve">      5.02.44.15.59.0076</t>
  </si>
  <si>
    <t>Construc. a 3 -S.Fe 245-Varios-Varios-Gastos Diversos</t>
  </si>
  <si>
    <t xml:space="preserve">      5.02.44.15.59.0079</t>
  </si>
  <si>
    <t>Construc. a 3 -S.Fe 245-Varios-Varios-Rep. y Mant. Ro</t>
  </si>
  <si>
    <t xml:space="preserve">      5.02.44.15.59.0084</t>
  </si>
  <si>
    <t xml:space="preserve">Construc. a 3 -S.Fe 245-Varios-Varios-Gs Seguridad y </t>
  </si>
  <si>
    <t xml:space="preserve">      5.02.44.15.59.0314</t>
  </si>
  <si>
    <t>Construc. a 3 -S.Fe 245-Varios-Varios-Materiales a re</t>
  </si>
  <si>
    <t xml:space="preserve">     5.02.44.15.60</t>
  </si>
  <si>
    <t>Construc. a 3 -S.Fe 245-Varios-Costos Vs MO</t>
  </si>
  <si>
    <t xml:space="preserve">      5.02.44.15.60.0097</t>
  </si>
  <si>
    <t>Construc. a 3 -S.Fe 245-Varios-Costos Vs MO-Vacaciones</t>
  </si>
  <si>
    <t xml:space="preserve">      5.02.44.15.60.0098</t>
  </si>
  <si>
    <t>Construc. a 3 -S.Fe 245-Varios-Costos Vs MO-Aguinaldo</t>
  </si>
  <si>
    <t xml:space="preserve">   5.02.45</t>
  </si>
  <si>
    <t xml:space="preserve">    5.02.45.01</t>
  </si>
  <si>
    <t>Construc. a 3 -L.Heras 429-Proyecto y dire</t>
  </si>
  <si>
    <t xml:space="preserve">     5.02.45.01.01</t>
  </si>
  <si>
    <t>Construc. a 3 -L.Heras 429-Proyecto y dire-Honorarios proy</t>
  </si>
  <si>
    <t xml:space="preserve">      5.02.45.01.01.0075</t>
  </si>
  <si>
    <t>Construc. a 3 -L.Heras 429-Proyecto y dire-Honorarios proy-Honorarios</t>
  </si>
  <si>
    <t xml:space="preserve">      5.02.45.01.01.0315</t>
  </si>
  <si>
    <t>Construc. a 3 -L.Heras 429-Proyecto y dire-Honorarios proy-Hon.Hig.y segur</t>
  </si>
  <si>
    <t xml:space="preserve">    5.02.45.02</t>
  </si>
  <si>
    <t>Construc. a 3 -L.Heras 429-Tasas  der y se</t>
  </si>
  <si>
    <t xml:space="preserve">     5.02.45.02.02</t>
  </si>
  <si>
    <t>Construc. a 3 -L.Heras 429-Tasas  der y se-Trab. prelimina</t>
  </si>
  <si>
    <t xml:space="preserve">      5.02.45.02.02.0004</t>
  </si>
  <si>
    <t>Construc. a 3 -L.Heras 429-Tasas  der y se-Trab. prelimina-Permisos munici</t>
  </si>
  <si>
    <t xml:space="preserve">      5.02.45.02.02.0005</t>
  </si>
  <si>
    <t>Construc. a 3 -L.Heras 429-Tasas  der y se-Trab. prelimina-Sellados</t>
  </si>
  <si>
    <t xml:space="preserve">      5.02.45.02.02.0006</t>
  </si>
  <si>
    <t>Construc. a 3 -L.Heras 429-Tasas  der y se-Trab. prelimina-Otros Gtos Inic</t>
  </si>
  <si>
    <t xml:space="preserve">      5.02.45.02.02.0008</t>
  </si>
  <si>
    <t xml:space="preserve">Construc. a 3 -L.Heras 429-Tasas  der y se-Trab. prelimina-Luz Agua Otros </t>
  </si>
  <si>
    <t xml:space="preserve">    5.02.45.03</t>
  </si>
  <si>
    <t>Construc. a 3 -L.Heras 429-Movilidad y fle</t>
  </si>
  <si>
    <t xml:space="preserve">     5.02.45.03.03</t>
  </si>
  <si>
    <t>Construc. a 3 -L.Heras 429-Movilidad y fle-Movilidad y Fle</t>
  </si>
  <si>
    <t xml:space="preserve">      5.02.45.03.03.0007</t>
  </si>
  <si>
    <t>Construc. a 3 -L.Heras 429-Movilidad y fle-Movilidad y Fle-Fletes</t>
  </si>
  <si>
    <t xml:space="preserve">    5.02.45.04</t>
  </si>
  <si>
    <t>Construc. a 3 -L.Heras 429-Mov. suelo  exc</t>
  </si>
  <si>
    <t xml:space="preserve">     5.02.45.04.04</t>
  </si>
  <si>
    <t>Construc. a 3 -L.Heras 429-Mov. suelo  exc-Demoliciones</t>
  </si>
  <si>
    <t xml:space="preserve">      5.02.45.04.04.0002</t>
  </si>
  <si>
    <t>Construc. a 3 -L.Heras 429-Mov. suelo  exc-Demoliciones-Mano obra Batia</t>
  </si>
  <si>
    <t xml:space="preserve">      5.02.45.04.04.0003</t>
  </si>
  <si>
    <t xml:space="preserve">Construc. a 3 -L.Heras 429-Mov. suelo  exc-Demoliciones-Mano obra de 3 </t>
  </si>
  <si>
    <t xml:space="preserve">      5.02.45.04.04.0056</t>
  </si>
  <si>
    <t>Construc. a 3 -L.Heras 429-Mov. suelo  exc-Demoliciones-Sueldos y Jorna</t>
  </si>
  <si>
    <t xml:space="preserve">      5.02.45.04.04.0057</t>
  </si>
  <si>
    <t>Construc. a 3 -L.Heras 429-Mov. suelo  exc-Demoliciones-Cargas Sociales</t>
  </si>
  <si>
    <t xml:space="preserve">      5.02.45.04.04.0316</t>
  </si>
  <si>
    <t>Construc. a 3 -L.Heras 429-Mov. suelo  exc-Demoliciones-Excavac.a mano</t>
  </si>
  <si>
    <t xml:space="preserve">      5.02.45.04.04.0317</t>
  </si>
  <si>
    <t>Construc. a 3 -L.Heras 429-Mov. suelo  exc-Demoliciones-Excavac.a mÃ¡qui</t>
  </si>
  <si>
    <t xml:space="preserve">      5.02.45.04.04.0318</t>
  </si>
  <si>
    <t>Construc. a 3 -L.Heras 429-Mov. suelo  exc-Demoliciones-Retiro de tierr</t>
  </si>
  <si>
    <t xml:space="preserve">    5.02.45.05</t>
  </si>
  <si>
    <t>Construc. a 3 -L.Heras 429-Estructura</t>
  </si>
  <si>
    <t xml:space="preserve">     5.02.45.05.59</t>
  </si>
  <si>
    <t>Construc. a 3 -L.Heras 429-Estructura-Varios</t>
  </si>
  <si>
    <t xml:space="preserve">      5.02.45.05.59.0001</t>
  </si>
  <si>
    <t>Construc. a 3 -L.Heras 429-Estructura-Varios-Materiales</t>
  </si>
  <si>
    <t xml:space="preserve">      5.02.45.05.59.0002</t>
  </si>
  <si>
    <t>Construc. a 3 -L.Heras 429-Estructura-Varios-Mano obra Batia</t>
  </si>
  <si>
    <t xml:space="preserve">      5.02.45.05.59.0003</t>
  </si>
  <si>
    <t xml:space="preserve">Construc. a 3 -L.Heras 429-Estructura-Varios-Mano obra de 3 </t>
  </si>
  <si>
    <t xml:space="preserve">      5.02.45.05.59.0056</t>
  </si>
  <si>
    <t>Construc. a 3 -L.Heras 429-Estructura-Varios-Sueldos y Jorna</t>
  </si>
  <si>
    <t xml:space="preserve">      5.02.45.05.59.0057</t>
  </si>
  <si>
    <t>Construc. a 3 -L.Heras 429-Estructura-Varios-Cargas Sociales</t>
  </si>
  <si>
    <t xml:space="preserve">      5.02.45.05.59.0310</t>
  </si>
  <si>
    <t>Construc. a 3 -L.Heras 429-Estructura-Varios-Madera</t>
  </si>
  <si>
    <t xml:space="preserve">      5.02.45.05.59.0311</t>
  </si>
  <si>
    <t>Construc. a 3 -L.Heras 429-Estructura-Varios-Materiales elÃ©c</t>
  </si>
  <si>
    <t xml:space="preserve">      5.02.45.05.59.0312</t>
  </si>
  <si>
    <t>Construc. a 3 -L.Heras 429-Estructura-Varios-Clavos y alambr</t>
  </si>
  <si>
    <t xml:space="preserve">      5.02.45.05.59.0313</t>
  </si>
  <si>
    <t>Construc. a 3 -L.Heras 429-Estructura-Varios-Telgopor</t>
  </si>
  <si>
    <t xml:space="preserve">    5.02.45.10</t>
  </si>
  <si>
    <t>Construc. a 3 -L.Heras 429-Sanitarios</t>
  </si>
  <si>
    <t xml:space="preserve">     5.02.45.10.59</t>
  </si>
  <si>
    <t>Construc. a 3 -L.Heras 429-Sanitarios-Varios</t>
  </si>
  <si>
    <t xml:space="preserve">      5.02.45.10.59.0056</t>
  </si>
  <si>
    <t>Construc. a 3 -L.Heras 429-Sanitarios-Varios-Sueldos y Jorna</t>
  </si>
  <si>
    <t xml:space="preserve">      5.02.45.10.59.0057</t>
  </si>
  <si>
    <t>Construc. a 3 -L.Heras 429-Sanitarios-Varios-Cargas Sociales</t>
  </si>
  <si>
    <t xml:space="preserve">    5.02.45.15</t>
  </si>
  <si>
    <t>Construc. a 3 -L.Heras 429-Varios</t>
  </si>
  <si>
    <t xml:space="preserve">     5.02.45.15.59</t>
  </si>
  <si>
    <t>Construc. a 3 -L.Heras 429-Varios-Varios</t>
  </si>
  <si>
    <t xml:space="preserve">      5.02.45.15.59.0009</t>
  </si>
  <si>
    <t>Construc. a 3 -L.Heras 429-Varios-Varios-Herram de Consu</t>
  </si>
  <si>
    <t xml:space="preserve">      5.02.45.15.59.0060</t>
  </si>
  <si>
    <t>Construc. a 3 -L.Heras 429-Varios-Varios-Uniformes Perso</t>
  </si>
  <si>
    <t xml:space="preserve">      5.02.45.15.59.0069</t>
  </si>
  <si>
    <t>Construc. a 3 -L.Heras 429-Varios-Varios-Seguros</t>
  </si>
  <si>
    <t xml:space="preserve">      5.02.45.15.59.0076</t>
  </si>
  <si>
    <t>Construc. a 3 -L.Heras 429-Varios-Varios-Gastos Diversos</t>
  </si>
  <si>
    <t xml:space="preserve">      5.02.45.15.59.0079</t>
  </si>
  <si>
    <t>Construc. a 3 -L.Heras 429-Varios-Varios-Rep. y Mant. Ro</t>
  </si>
  <si>
    <t xml:space="preserve">      5.02.45.15.59.0084</t>
  </si>
  <si>
    <t xml:space="preserve">Construc. a 3 -L.Heras 429-Varios-Varios-Gs Seguridad y </t>
  </si>
  <si>
    <t xml:space="preserve">      5.02.45.15.59.0314</t>
  </si>
  <si>
    <t>Construc. a 3 -L.Heras 429-Varios-Varios-Materiales a re</t>
  </si>
  <si>
    <t xml:space="preserve">     5.02.45.15.60</t>
  </si>
  <si>
    <t>Construc. a 3 -L.Heras 429-Varios-Costos Vs MO</t>
  </si>
  <si>
    <t xml:space="preserve">      5.02.45.15.60.0097</t>
  </si>
  <si>
    <t>Construc. a 3 -L.Heras 429-Varios-Costos Vs MO-Vacaciones</t>
  </si>
  <si>
    <t xml:space="preserve">      5.02.45.15.60.0098</t>
  </si>
  <si>
    <t>Construc. a 3 -L.Heras 429-Varios-Costos Vs MO-Aguinaldo</t>
  </si>
  <si>
    <t xml:space="preserve">   5.02.46</t>
  </si>
  <si>
    <t xml:space="preserve">    5.02.46.01</t>
  </si>
  <si>
    <t>Construc. a 3 -M.Paz 80-Proyecto y dire</t>
  </si>
  <si>
    <t xml:space="preserve">     5.02.46.01.01</t>
  </si>
  <si>
    <t>Construc. a 3 -M.Paz 80-Proyecto y dire-Honorarios proy</t>
  </si>
  <si>
    <t xml:space="preserve">      5.02.46.01.01.0075</t>
  </si>
  <si>
    <t>Construc. a 3 -M.Paz 80-Proyecto y dire-Honorarios proy-Honorarios</t>
  </si>
  <si>
    <t xml:space="preserve">      5.02.46.01.01.0315</t>
  </si>
  <si>
    <t>Construc. a 3 -M.Paz 80-Proyecto y dire-Honorarios proy-Hon.Hig.y segur</t>
  </si>
  <si>
    <t xml:space="preserve">    5.02.46.02</t>
  </si>
  <si>
    <t>Construc. a 3 -M.Paz 80-Tasas  der y se</t>
  </si>
  <si>
    <t xml:space="preserve">     5.02.46.02.02</t>
  </si>
  <si>
    <t>Construc. a 3 -M.Paz 80-Tasas  der y se-Trab. prelimina</t>
  </si>
  <si>
    <t xml:space="preserve">      5.02.46.02.02.0004</t>
  </si>
  <si>
    <t>Construc. a 3 -M.Paz 80-Tasas  der y se-Trab. prelimina-Permisos munici</t>
  </si>
  <si>
    <t xml:space="preserve">      5.02.46.02.02.0005</t>
  </si>
  <si>
    <t>Construc. a 3 -M.Paz 80-Tasas  der y se-Trab. prelimina-Sellados</t>
  </si>
  <si>
    <t xml:space="preserve">      5.02.46.02.02.0006</t>
  </si>
  <si>
    <t>Construc. a 3 -M.Paz 80-Tasas  der y se-Trab. prelimina-Otros Gtos Inic</t>
  </si>
  <si>
    <t xml:space="preserve">      5.02.46.02.02.0008</t>
  </si>
  <si>
    <t xml:space="preserve">Construc. a 3 -M.Paz 80-Tasas  der y se-Trab. prelimina-Luz Agua Otros </t>
  </si>
  <si>
    <t xml:space="preserve">    5.02.46.03</t>
  </si>
  <si>
    <t>Construc. a 3 -M.Paz 80-Movilidad y fle</t>
  </si>
  <si>
    <t xml:space="preserve">     5.02.46.03.03</t>
  </si>
  <si>
    <t>Construc. a 3 -M.Paz 80-Movilidad y fle-Movilidad y Fle</t>
  </si>
  <si>
    <t xml:space="preserve">      5.02.46.03.03.0007</t>
  </si>
  <si>
    <t>Construc. a 3 -M.Paz 80-Movilidad y fle-Movilidad y Fle-Fletes</t>
  </si>
  <si>
    <t xml:space="preserve">    5.02.46.04</t>
  </si>
  <si>
    <t>Construc. a 3 -M.Paz 80-Mov. suelo  exc</t>
  </si>
  <si>
    <t xml:space="preserve">     5.02.46.04.04</t>
  </si>
  <si>
    <t>Construc. a 3 -M.Paz 80-Mov. suelo  exc-Demoliciones</t>
  </si>
  <si>
    <t xml:space="preserve">      5.02.46.04.04.0002</t>
  </si>
  <si>
    <t>Construc. a 3 -M.Paz 80-Mov. suelo  exc-Demoliciones-Mano obra Batia</t>
  </si>
  <si>
    <t xml:space="preserve">      5.02.46.04.04.0003</t>
  </si>
  <si>
    <t xml:space="preserve">Construc. a 3 -M.Paz 80-Mov. suelo  exc-Demoliciones-Mano obra de 3 </t>
  </si>
  <si>
    <t xml:space="preserve">      5.02.46.04.04.0316</t>
  </si>
  <si>
    <t>Construc. a 3 -M.Paz 80-Mov. suelo  exc-Demoliciones-Excavac.a mano</t>
  </si>
  <si>
    <t xml:space="preserve">      5.02.46.04.04.0317</t>
  </si>
  <si>
    <t>Construc. a 3 -M.Paz 80-Mov. suelo  exc-Demoliciones-Excavac.a mÃ¡qui</t>
  </si>
  <si>
    <t xml:space="preserve">      5.02.46.04.04.0318</t>
  </si>
  <si>
    <t>Construc. a 3 -M.Paz 80-Mov. suelo  exc-Demoliciones-Retiro de tierr</t>
  </si>
  <si>
    <t xml:space="preserve">     5.02.46.04.59</t>
  </si>
  <si>
    <t>Construc. a 3 -M.Paz 80-Mov. suelo  exc-Varios</t>
  </si>
  <si>
    <t xml:space="preserve">      5.02.46.04.59.0056</t>
  </si>
  <si>
    <t>Construc. a 3 -M.Paz 80-Mov. suelo  exc-Varios-Sueldos y Jorna</t>
  </si>
  <si>
    <t xml:space="preserve">      5.02.46.04.59.0057</t>
  </si>
  <si>
    <t>Construc. a 3 -M.Paz 80-Mov. suelo  exc-Varios-Cargas Sociales</t>
  </si>
  <si>
    <t xml:space="preserve">    5.02.46.05</t>
  </si>
  <si>
    <t>Construc. a 3 -M.Paz 80-Estructura</t>
  </si>
  <si>
    <t xml:space="preserve">     5.02.46.05.59</t>
  </si>
  <si>
    <t>Construc. a 3 -M.Paz 80-Estructura-Varios</t>
  </si>
  <si>
    <t xml:space="preserve">      5.02.46.05.59.0001</t>
  </si>
  <si>
    <t>Construc. a 3 -M.Paz 80-Estructura-Varios-Materiales</t>
  </si>
  <si>
    <t xml:space="preserve">      5.02.46.05.59.0002</t>
  </si>
  <si>
    <t>Construc. a 3 -M.Paz 80-Estructura-Varios-Mano obra Batia</t>
  </si>
  <si>
    <t xml:space="preserve">      5.02.46.05.59.0003</t>
  </si>
  <si>
    <t xml:space="preserve">Construc. a 3 -M.Paz 80-Estructura-Varios-Mano obra de 3 </t>
  </si>
  <si>
    <t xml:space="preserve">      5.02.46.05.59.0056</t>
  </si>
  <si>
    <t>Construc. a 3 -M.Paz 80-Estructura-Varios-Sueldos y Jorna</t>
  </si>
  <si>
    <t xml:space="preserve">      5.02.46.05.59.0057</t>
  </si>
  <si>
    <t>Construc. a 3 -M.Paz 80-Estructura-Varios-Cargas Sociales</t>
  </si>
  <si>
    <t xml:space="preserve">      5.02.46.05.59.0310</t>
  </si>
  <si>
    <t>Construc. a 3 -M.Paz 80-Estructura-Varios-Madera</t>
  </si>
  <si>
    <t xml:space="preserve">      5.02.46.05.59.0311</t>
  </si>
  <si>
    <t>Construc. a 3 -M.Paz 80-Estructura-Varios-Materiales elÃ©c</t>
  </si>
  <si>
    <t xml:space="preserve">      5.02.46.05.59.0312</t>
  </si>
  <si>
    <t>Construc. a 3 -M.Paz 80-Estructura-Varios-Clavos y alambr</t>
  </si>
  <si>
    <t xml:space="preserve">      5.02.46.05.59.0313</t>
  </si>
  <si>
    <t>Construc. a 3 -M.Paz 80-Estructura-Varios-Telgopor</t>
  </si>
  <si>
    <t xml:space="preserve">    5.02.46.10</t>
  </si>
  <si>
    <t>Construc. a 3 -M.Paz 80-Sanitarios</t>
  </si>
  <si>
    <t xml:space="preserve">     5.02.46.10.59</t>
  </si>
  <si>
    <t>Construc. a 3 -M.Paz 80-Sanitarios-Varios</t>
  </si>
  <si>
    <t xml:space="preserve">      5.02.46.10.59.0056</t>
  </si>
  <si>
    <t>Construc. a 3 -M.Paz 80-Sanitarios-Varios-Sueldos y Jorna</t>
  </si>
  <si>
    <t xml:space="preserve">      5.02.46.10.59.0057</t>
  </si>
  <si>
    <t>Construc. a 3 -M.Paz 80-Sanitarios-Varios-Cargas Sociales</t>
  </si>
  <si>
    <t xml:space="preserve">    5.02.46.13</t>
  </si>
  <si>
    <t>Construc. a 3 -M.Paz 80-Pintura</t>
  </si>
  <si>
    <t xml:space="preserve">     5.02.46.13.59</t>
  </si>
  <si>
    <t>Construc. a 3 -M.Paz 80-Pintura-Varios</t>
  </si>
  <si>
    <t xml:space="preserve">      5.02.46.13.59.0056</t>
  </si>
  <si>
    <t>Construc. a 3 -M.Paz 80-Pintura-Varios-Sueldos y Jorna</t>
  </si>
  <si>
    <t xml:space="preserve">      5.02.46.13.59.0057</t>
  </si>
  <si>
    <t>Construc. a 3 -M.Paz 80-Pintura-Varios-Cargas Sociales</t>
  </si>
  <si>
    <t xml:space="preserve">    5.02.46.15</t>
  </si>
  <si>
    <t>Construc. a 3 -M.Paz 80-Varios</t>
  </si>
  <si>
    <t xml:space="preserve">     5.02.46.15.59</t>
  </si>
  <si>
    <t>Construc. a 3 -M.Paz 80-Varios-Varios</t>
  </si>
  <si>
    <t xml:space="preserve">      5.02.46.15.59.0009</t>
  </si>
  <si>
    <t>Construc. a 3 -M.Paz 80-Varios-Varios-Herram de Consu</t>
  </si>
  <si>
    <t xml:space="preserve">      5.02.46.15.59.0060</t>
  </si>
  <si>
    <t>Construc. a 3 -M.Paz 80-Varios-Varios-Uniformes Perso</t>
  </si>
  <si>
    <t xml:space="preserve">      5.02.46.15.59.0069</t>
  </si>
  <si>
    <t>Construc. a 3 -M.Paz 80-Varios-Varios-Seguros</t>
  </si>
  <si>
    <t xml:space="preserve">      5.02.46.15.59.0076</t>
  </si>
  <si>
    <t>Construc. a 3 -M.Paz 80-Varios-Varios-Gastos Diversos</t>
  </si>
  <si>
    <t xml:space="preserve">      5.02.46.15.59.0079</t>
  </si>
  <si>
    <t>Construc. a 3 -M.Paz 80-Varios-Varios-Rep. y Mant. Ro</t>
  </si>
  <si>
    <t xml:space="preserve">      5.02.46.15.59.0084</t>
  </si>
  <si>
    <t xml:space="preserve">Construc. a 3 -M.Paz 80-Varios-Varios-Gs Seguridad y </t>
  </si>
  <si>
    <t xml:space="preserve">      5.02.46.15.59.0314</t>
  </si>
  <si>
    <t>Construc. a 3 -M.Paz 80-Varios-Varios-Materiales a re</t>
  </si>
  <si>
    <t xml:space="preserve">     5.02.46.15.60</t>
  </si>
  <si>
    <t>Construc. a 3 -M.Paz 80-Varios-Costos Vs MO</t>
  </si>
  <si>
    <t xml:space="preserve">      5.02.46.15.60.0097</t>
  </si>
  <si>
    <t>Construc. a 3 -M.Paz 80-Varios-Costos Vs MO-Vacaciones</t>
  </si>
  <si>
    <t xml:space="preserve">      5.02.46.15.60.0098</t>
  </si>
  <si>
    <t>Construc. a 3 -M.Paz 80-Varios-Costos Vs MO-Aguinaldo</t>
  </si>
  <si>
    <t xml:space="preserve">   5.02.47</t>
  </si>
  <si>
    <t xml:space="preserve">    5.02.47.01</t>
  </si>
  <si>
    <t>Construc. a 3 -Laprida 1074-Proyecto y dire</t>
  </si>
  <si>
    <t xml:space="preserve">     5.02.47.01.01</t>
  </si>
  <si>
    <t>Construc. a 3 -Laprida 1074-Proyecto y dire-Honorarios proy</t>
  </si>
  <si>
    <t xml:space="preserve">      5.02.47.01.01.0075</t>
  </si>
  <si>
    <t>Construc. a 3 -Laprida 1074-Proyecto y dire-Honorarios proy-Honorarios</t>
  </si>
  <si>
    <t xml:space="preserve">      5.02.47.01.01.0315</t>
  </si>
  <si>
    <t>Construc. a 3 -Laprida 1074-Proyecto y dire-Honorarios proy-Hon.Hig.y segur</t>
  </si>
  <si>
    <t xml:space="preserve">    5.02.47.02</t>
  </si>
  <si>
    <t>Construc. a 3 -Laprida 1074-Tasas  der y se</t>
  </si>
  <si>
    <t xml:space="preserve">     5.02.47.02.02</t>
  </si>
  <si>
    <t>Construc. a 3 -Laprida 1074-Tasas  der y se-Trab. prelimina</t>
  </si>
  <si>
    <t xml:space="preserve">      5.02.47.02.02.0004</t>
  </si>
  <si>
    <t>Construc. a 3 -Laprida 1074-Tasas  der y se-Trab. prelimina-Permisos munici</t>
  </si>
  <si>
    <t xml:space="preserve">      5.02.47.02.02.0005</t>
  </si>
  <si>
    <t>Construc. a 3 -Laprida 1074-Tasas  der y se-Trab. prelimina-Sellados</t>
  </si>
  <si>
    <t xml:space="preserve">      5.02.47.02.02.0006</t>
  </si>
  <si>
    <t>Construc. a 3 -Laprida 1074-Tasas  der y se-Trab. prelimina-Otros Gtos Inic</t>
  </si>
  <si>
    <t xml:space="preserve">      5.02.47.02.02.0008</t>
  </si>
  <si>
    <t xml:space="preserve">Construc. a 3 -Laprida 1074-Tasas  der y se-Trab. prelimina-Luz Agua Otros </t>
  </si>
  <si>
    <t xml:space="preserve">    5.02.47.03</t>
  </si>
  <si>
    <t>Construc. a 3 -Laprida 1074-Movilidad y fle</t>
  </si>
  <si>
    <t xml:space="preserve">     5.02.47.03.03</t>
  </si>
  <si>
    <t>Construc. a 3 -Laprida 1074-Movilidad y fle-Movilidad y Fle</t>
  </si>
  <si>
    <t xml:space="preserve">      5.02.47.03.03.0007</t>
  </si>
  <si>
    <t>Construc. a 3 -Laprida 1074-Movilidad y fle-Movilidad y Fle-Fletes</t>
  </si>
  <si>
    <t xml:space="preserve">    5.02.47.04</t>
  </si>
  <si>
    <t>Construc. a 3 -Laprida 1074-Mov. suelo  exc</t>
  </si>
  <si>
    <t xml:space="preserve">     5.02.47.04.04</t>
  </si>
  <si>
    <t>Construc. a 3 -Laprida 1074-Mov. suelo  exc-Demoliciones</t>
  </si>
  <si>
    <t xml:space="preserve">      5.02.47.04.04.0001</t>
  </si>
  <si>
    <t>Construc. a 3 -Laprida 1074-Mov. suelo  exc-Demoliciones-Materiales</t>
  </si>
  <si>
    <t xml:space="preserve">      5.02.47.04.04.0002</t>
  </si>
  <si>
    <t>Construc. a 3 -Laprida 1074-Mov. suelo  exc-Demoliciones-Mano obra Batia</t>
  </si>
  <si>
    <t xml:space="preserve">      5.02.47.04.04.0003</t>
  </si>
  <si>
    <t xml:space="preserve">Construc. a 3 -Laprida 1074-Mov. suelo  exc-Demoliciones-Mano obra de 3 </t>
  </si>
  <si>
    <t xml:space="preserve">      5.02.47.04.04.0316</t>
  </si>
  <si>
    <t>Construc. a 3 -Laprida 1074-Mov. suelo  exc-Demoliciones-Excavac.a mano</t>
  </si>
  <si>
    <t xml:space="preserve">      5.02.47.04.04.0317</t>
  </si>
  <si>
    <t>Construc. a 3 -Laprida 1074-Mov. suelo  exc-Demoliciones-Excavac.a mÃ¡qui</t>
  </si>
  <si>
    <t xml:space="preserve">      5.02.47.04.04.0318</t>
  </si>
  <si>
    <t>Construc. a 3 -Laprida 1074-Mov. suelo  exc-Demoliciones-Retiro de tierr</t>
  </si>
  <si>
    <t xml:space="preserve">     5.02.47.04.59</t>
  </si>
  <si>
    <t>Construc. a 3 -Laprida 1074-Mov. suelo  exc-Varios</t>
  </si>
  <si>
    <t xml:space="preserve">      5.02.47.04.59.0056</t>
  </si>
  <si>
    <t>Construc. a 3 -Laprida 1074-Mov. suelo  exc-Varios-Sueldos y Jorna</t>
  </si>
  <si>
    <t xml:space="preserve">      5.02.47.04.59.0057</t>
  </si>
  <si>
    <t>Construc. a 3 -Laprida 1074-Mov. suelo  exc-Varios-Cargas Sociales</t>
  </si>
  <si>
    <t xml:space="preserve">    5.02.47.05</t>
  </si>
  <si>
    <t>Construc. a 3 -Laprida 1074-Estructura</t>
  </si>
  <si>
    <t xml:space="preserve">     5.02.47.05.59</t>
  </si>
  <si>
    <t>Construc. a 3 -Laprida 1074-Estructura-Varios</t>
  </si>
  <si>
    <t xml:space="preserve">      5.02.47.05.59.0001</t>
  </si>
  <si>
    <t>Construc. a 3 -Laprida 1074-Estructura-Varios-Materiales</t>
  </si>
  <si>
    <t xml:space="preserve">      5.02.47.05.59.0002</t>
  </si>
  <si>
    <t>Construc. a 3 -Laprida 1074-Estructura-Varios-Mano obra Batia</t>
  </si>
  <si>
    <t xml:space="preserve">      5.02.47.05.59.0003</t>
  </si>
  <si>
    <t xml:space="preserve">Construc. a 3 -Laprida 1074-Estructura-Varios-Mano obra de 3 </t>
  </si>
  <si>
    <t xml:space="preserve">      5.02.47.05.59.0056</t>
  </si>
  <si>
    <t>Construc. a 3 -Laprida 1074-Estructura-Varios-Sueldos y Jorna</t>
  </si>
  <si>
    <t xml:space="preserve">      5.02.47.05.59.0057</t>
  </si>
  <si>
    <t>Construc. a 3 -Laprida 1074-Estructura-Varios-Cargas Sociales</t>
  </si>
  <si>
    <t xml:space="preserve">      5.02.47.05.59.0310</t>
  </si>
  <si>
    <t>Construc. a 3 -Laprida 1074-Estructura-Varios-Madera</t>
  </si>
  <si>
    <t xml:space="preserve">      5.02.47.05.59.0311</t>
  </si>
  <si>
    <t>Construc. a 3 -Laprida 1074-Estructura-Varios-Materiales elÃ©c</t>
  </si>
  <si>
    <t xml:space="preserve">      5.02.47.05.59.0312</t>
  </si>
  <si>
    <t>Construc. a 3 -Laprida 1074-Estructura-Varios-Clavos y alambr</t>
  </si>
  <si>
    <t xml:space="preserve">      5.02.47.05.59.0313</t>
  </si>
  <si>
    <t>Construc. a 3 -Laprida 1074-Estructura-Varios-Telgopor</t>
  </si>
  <si>
    <t xml:space="preserve">    5.02.47.06</t>
  </si>
  <si>
    <t>Construc. a 3 -Laprida 1074-AlbaÃ±ilerÃ­a</t>
  </si>
  <si>
    <t xml:space="preserve">     5.02.47.06.18</t>
  </si>
  <si>
    <t>Construc. a 3 -Laprida 1074-AlbaÃ±ilerÃ­a-Cubiertas</t>
  </si>
  <si>
    <t xml:space="preserve">      5.02.47.06.18.0001</t>
  </si>
  <si>
    <t>Construc. a 3 -Laprida 1074-AlbaÃ±ilerÃ­a-Cubiertas-Materiales</t>
  </si>
  <si>
    <t xml:space="preserve">      5.02.47.06.18.0002</t>
  </si>
  <si>
    <t>Construc. a 3 -Laprida 1074-AlbaÃ±ilerÃ­a-Cubiertas-Mano obra Batia</t>
  </si>
  <si>
    <t xml:space="preserve">      5.02.47.06.18.0003</t>
  </si>
  <si>
    <t xml:space="preserve">Construc. a 3 -Laprida 1074-AlbaÃ±ilerÃ­a-Cubiertas-Mano obra de 3 </t>
  </si>
  <si>
    <t xml:space="preserve">     5.02.47.06.59</t>
  </si>
  <si>
    <t>Construc. a 3 -Laprida 1074-AlbaÃ±ilerÃ­a-Varios</t>
  </si>
  <si>
    <t xml:space="preserve">      5.02.47.06.59.0056</t>
  </si>
  <si>
    <t>Construc. a 3 -Laprida 1074-AlbaÃ±ilerÃ­a-Varios-Sueldos y Jorna</t>
  </si>
  <si>
    <t xml:space="preserve">      5.02.47.06.59.0057</t>
  </si>
  <si>
    <t>Construc. a 3 -Laprida 1074-AlbaÃ±ilerÃ­a-Varios-Cargas Sociales</t>
  </si>
  <si>
    <t xml:space="preserve">    5.02.47.10</t>
  </si>
  <si>
    <t>Construc. a 3 -Laprida 1074-Sanitarios</t>
  </si>
  <si>
    <t xml:space="preserve">     5.02.47.10.59</t>
  </si>
  <si>
    <t>Construc. a 3 -Laprida 1074-Sanitarios-Varios</t>
  </si>
  <si>
    <t xml:space="preserve">      5.02.47.10.59.0056</t>
  </si>
  <si>
    <t>Construc. a 3 -Laprida 1074-Sanitarios-Varios-Sueldos y Jorna</t>
  </si>
  <si>
    <t xml:space="preserve">      5.02.47.10.59.0057</t>
  </si>
  <si>
    <t>Construc. a 3 -Laprida 1074-Sanitarios-Varios-Cargas Sociales</t>
  </si>
  <si>
    <t xml:space="preserve">    5.02.47.11</t>
  </si>
  <si>
    <t>Construc. a 3 -Laprida 1074-Inst. ElÃ©ctrica</t>
  </si>
  <si>
    <t xml:space="preserve">     5.02.47.11.53</t>
  </si>
  <si>
    <t>Construc. a 3 -Laprida 1074-Inst. ElÃ©ctrica-Inst elÃ©ctrica</t>
  </si>
  <si>
    <t xml:space="preserve">      5.02.47.11.53.0001</t>
  </si>
  <si>
    <t>Construc. a 3 -Laprida 1074-Inst. ElÃ©ctrica-Inst elÃ©ctrica-Materiales</t>
  </si>
  <si>
    <t xml:space="preserve">      5.02.47.11.53.0002</t>
  </si>
  <si>
    <t>Construc. a 3 -Laprida 1074-Inst. ElÃ©ctrica-Inst elÃ©ctrica-Mano obra Batia</t>
  </si>
  <si>
    <t xml:space="preserve">      5.02.47.11.53.0003</t>
  </si>
  <si>
    <t xml:space="preserve">Construc. a 3 -Laprida 1074-Inst. ElÃ©ctrica-Inst elÃ©ctrica-Mano obra de 3 </t>
  </si>
  <si>
    <t xml:space="preserve">    5.02.47.13</t>
  </si>
  <si>
    <t>Construc. a 3 -Laprida 1074-Pintura</t>
  </si>
  <si>
    <t xml:space="preserve">     5.02.47.13.59</t>
  </si>
  <si>
    <t>Construc. a 3 -Laprida 1074-Pintura-Varios</t>
  </si>
  <si>
    <t xml:space="preserve">      5.02.47.13.59.0001</t>
  </si>
  <si>
    <t>Constr a 3 -Lapr 1074-Pint-Vs-Materiales</t>
  </si>
  <si>
    <t xml:space="preserve">      5.02.47.13.59.0056</t>
  </si>
  <si>
    <t>Construc. a 3 -Laprida 1074-Pintura-Varios-Sueldos y Jorna</t>
  </si>
  <si>
    <t xml:space="preserve">      5.02.47.13.59.0057</t>
  </si>
  <si>
    <t>Construc. a 3 -Laprida 1074-Pintura-Varios-Cargas Sociales</t>
  </si>
  <si>
    <t xml:space="preserve">    5.02.47.15</t>
  </si>
  <si>
    <t>Construc. a 3 -Laprida 1074-Varios</t>
  </si>
  <si>
    <t xml:space="preserve">     5.02.47.15.59</t>
  </si>
  <si>
    <t>Construc. a 3 -Laprida 1074-Varios-Varios</t>
  </si>
  <si>
    <t xml:space="preserve">      5.02.47.15.59.0009</t>
  </si>
  <si>
    <t>Construc. a 3 -Laprida 1074-Varios-Varios-Herram de Consu</t>
  </si>
  <si>
    <t xml:space="preserve">      5.02.47.15.59.0060</t>
  </si>
  <si>
    <t>Construc. a 3 -Laprida 1074-Varios-Varios-Uniformes Perso</t>
  </si>
  <si>
    <t xml:space="preserve">      5.02.47.15.59.0069</t>
  </si>
  <si>
    <t>Construc. a 3 -Laprida 1074-Varios-Varios-Seguros</t>
  </si>
  <si>
    <t xml:space="preserve">      5.02.47.15.59.0076</t>
  </si>
  <si>
    <t>Construc. a 3 -Laprida 1074-Varios-Varios-Gastos Diversos</t>
  </si>
  <si>
    <t xml:space="preserve">      5.02.47.15.59.0079</t>
  </si>
  <si>
    <t>Construc. a 3 -Laprida 1074-Varios-Varios-Rep. y Mant. Ro</t>
  </si>
  <si>
    <t xml:space="preserve">      5.02.47.15.59.0084</t>
  </si>
  <si>
    <t xml:space="preserve">Construc. a 3 -Laprida 1074-Varios-Varios-Gs Seguridad y </t>
  </si>
  <si>
    <t xml:space="preserve">      5.02.47.15.59.0314</t>
  </si>
  <si>
    <t>Construc. a 3 -Laprida 1074-Varios-Varios-Materiales a re</t>
  </si>
  <si>
    <t xml:space="preserve">     5.02.47.15.60</t>
  </si>
  <si>
    <t>Construc. a 3 -Laprida 1074-Varios-Costos Vs MO</t>
  </si>
  <si>
    <t xml:space="preserve">      5.02.47.15.60.0097</t>
  </si>
  <si>
    <t>Construc. a 3 -Laprida 1074-Varios-Costos Vs MO-Vacaciones</t>
  </si>
  <si>
    <t xml:space="preserve">      5.02.47.15.60.0098</t>
  </si>
  <si>
    <t>Construc. a 3 -Laprida 1074-Varios-Costos Vs MO-Aguinaldo</t>
  </si>
  <si>
    <t xml:space="preserve">   5.02.48</t>
  </si>
  <si>
    <t xml:space="preserve">    5.02.48.01</t>
  </si>
  <si>
    <t>Construc. a 3 -Av.Avell.517-Proyecto y dire</t>
  </si>
  <si>
    <t xml:space="preserve">     5.02.48.01.01</t>
  </si>
  <si>
    <t>Construc. a 3 -Av.Avell.517-Proyecto y dire-Honorarios proy</t>
  </si>
  <si>
    <t xml:space="preserve">      5.02.48.01.01.0075</t>
  </si>
  <si>
    <t>Construc. a 3 -Av.Avell.517-Proyecto y dire-Honorarios proy-Honorarios</t>
  </si>
  <si>
    <t xml:space="preserve">      5.02.48.01.01.0315</t>
  </si>
  <si>
    <t>Construc. a 3 -Av.Avell.517-Proyecto y dire-Honorarios proy-Hon.Hig.y segur</t>
  </si>
  <si>
    <t xml:space="preserve">    5.02.48.02</t>
  </si>
  <si>
    <t>Construc. a 3 -Av.Avell.517-Tasas  der y se</t>
  </si>
  <si>
    <t xml:space="preserve">     5.02.48.02.02</t>
  </si>
  <si>
    <t>Construc. a 3 -Av.Avell.517-Tasas  der y se-Trab. prelimina</t>
  </si>
  <si>
    <t xml:space="preserve">      5.02.48.02.02.0004</t>
  </si>
  <si>
    <t>Construc. a 3 -Av.Avell.517-Tasas  der y se-Trab. prelimina-Permisos munici</t>
  </si>
  <si>
    <t xml:space="preserve">      5.02.48.02.02.0005</t>
  </si>
  <si>
    <t>Construc. a 3 -Av.Avell.517-Tasas  der y se-Trab. prelimina-Sellados</t>
  </si>
  <si>
    <t xml:space="preserve">      5.02.48.02.02.0006</t>
  </si>
  <si>
    <t>Construc. a 3 -Av.Avell.517-Tasas  der y se-Trab. prelimina-Otros Gtos Inic</t>
  </si>
  <si>
    <t xml:space="preserve">    5.02.48.03</t>
  </si>
  <si>
    <t>Construc. a 3 -Av.Avell.517-Movilidad y fle</t>
  </si>
  <si>
    <t xml:space="preserve">     5.02.48.03.03</t>
  </si>
  <si>
    <t>Construc. a 3 -Av.Avell.517-Movilidad y fle-Movilidad y Fle</t>
  </si>
  <si>
    <t xml:space="preserve">      5.02.48.03.03.0007</t>
  </si>
  <si>
    <t>Construc. a 3 -Av.Avell.517-Movilidad y fle-Movilidad y Fle-Fletes</t>
  </si>
  <si>
    <t xml:space="preserve">    5.02.48.04</t>
  </si>
  <si>
    <t>Construc. a 3 -Av.Avell.517-Mov. suelo  exc</t>
  </si>
  <si>
    <t xml:space="preserve">     5.02.48.04.04</t>
  </si>
  <si>
    <t>Construc. a 3 -Av.Avell.517-Mov. suelo  exc-Demoliciones</t>
  </si>
  <si>
    <t xml:space="preserve">      5.02.48.04.04.0001</t>
  </si>
  <si>
    <t>Construc. a 3 -Av.Avell.517-Mov. suelo  exc-Demoliciones-Materiales</t>
  </si>
  <si>
    <t xml:space="preserve">      5.02.48.04.04.0002</t>
  </si>
  <si>
    <t>Construc. a 3 -Av.Avell.517-Mov. suelo  exc-Demoliciones-Mano obra Batia</t>
  </si>
  <si>
    <t xml:space="preserve">      5.02.48.04.04.0003</t>
  </si>
  <si>
    <t xml:space="preserve">Construc. a 3 -Av.Avell.517-Mov. suelo  exc-Demoliciones-Mano obra de 3 </t>
  </si>
  <si>
    <t xml:space="preserve">      5.02.48.04.04.0316</t>
  </si>
  <si>
    <t>Construc. a 3 -Av.Avell.517-Mov. suelo  exc-Demoliciones-Excavac.a mano</t>
  </si>
  <si>
    <t xml:space="preserve">      5.02.48.04.04.0317</t>
  </si>
  <si>
    <t>Construc. a 3 -Av.Avell.517-Mov. suelo  exc-Demoliciones-Excavac.a mÃ¡qui</t>
  </si>
  <si>
    <t xml:space="preserve">      5.02.48.04.04.0318</t>
  </si>
  <si>
    <t>Construc. a 3 -Av.Avell.517-Mov. suelo  exc-Demoliciones-Retiro de tierr</t>
  </si>
  <si>
    <t xml:space="preserve">     5.02.48.04.59</t>
  </si>
  <si>
    <t>Construc. a 3 -Av.Avell.517-Mov. suelo  exc-Varios</t>
  </si>
  <si>
    <t xml:space="preserve">      5.02.48.04.59.0056</t>
  </si>
  <si>
    <t>Construc. a 3 -Av.Avell.517-Mov. suelo  exc-Varios-Sueldos y Jorna</t>
  </si>
  <si>
    <t xml:space="preserve">      5.02.48.04.59.0057</t>
  </si>
  <si>
    <t>Construc. a 3 -Av.Avell.517-Mov. suelo  exc-Varios-Cargas Sociales</t>
  </si>
  <si>
    <t xml:space="preserve">    5.02.48.05</t>
  </si>
  <si>
    <t>Construc. a 3 -Av.Avell.517-Estructura</t>
  </si>
  <si>
    <t xml:space="preserve">     5.02.48.05.59</t>
  </si>
  <si>
    <t>Construc. a 3 -Av.Avell.517-Estructura-Varios</t>
  </si>
  <si>
    <t xml:space="preserve">      5.02.48.05.59.0001</t>
  </si>
  <si>
    <t>Construc. a 3 -Av.Avell.517-Estructura-Varios-Materiales</t>
  </si>
  <si>
    <t xml:space="preserve">      5.02.48.05.59.0002</t>
  </si>
  <si>
    <t>Construc. a 3 -Av.Avell.517-Estructura-Varios-Mano obra Batia</t>
  </si>
  <si>
    <t xml:space="preserve">      5.02.48.05.59.0003</t>
  </si>
  <si>
    <t xml:space="preserve">Construc. a 3 -Av.Avell.517-Estructura-Varios-Mano obra de 3 </t>
  </si>
  <si>
    <t xml:space="preserve">      5.02.48.05.59.0056</t>
  </si>
  <si>
    <t>Construc. a 3 -Av.Avell.517-Estructura-Varios-Sueldos y Jorna</t>
  </si>
  <si>
    <t xml:space="preserve">      5.02.48.05.59.0057</t>
  </si>
  <si>
    <t>Construc. a 3 -Av.Avell.517-Estructura-Varios-Cargas Sociales</t>
  </si>
  <si>
    <t xml:space="preserve">      5.02.48.05.59.0310</t>
  </si>
  <si>
    <t>Construc. a 3 -Av.Avell.517-Estructura-Varios-Madera</t>
  </si>
  <si>
    <t xml:space="preserve">      5.02.48.05.59.0311</t>
  </si>
  <si>
    <t>Construc. a 3 -Av.Avell.517-Estructura-Varios-Materiales elÃ©c</t>
  </si>
  <si>
    <t xml:space="preserve">      5.02.48.05.59.0312</t>
  </si>
  <si>
    <t>Construc. a 3 -Av.Avell.517-Estructura-Varios-Clavos y alambr</t>
  </si>
  <si>
    <t xml:space="preserve">      5.02.48.05.59.0313</t>
  </si>
  <si>
    <t>Construc. a 3 -Av.Avell.517-Estructura-Varios-Telgopor</t>
  </si>
  <si>
    <t xml:space="preserve">    5.02.48.15</t>
  </si>
  <si>
    <t>Construc. a 3 -Av.Avell.517-Varios</t>
  </si>
  <si>
    <t xml:space="preserve">     5.02.48.15.59</t>
  </si>
  <si>
    <t>Construc. a 3 -Av.Avell.517-Varios-Varios</t>
  </si>
  <si>
    <t xml:space="preserve">      5.02.48.15.59.0009</t>
  </si>
  <si>
    <t>Construc. a 3 -Av.Avell.517-Varios-Varios-Herram de Consu</t>
  </si>
  <si>
    <t xml:space="preserve">      5.02.48.15.59.0060</t>
  </si>
  <si>
    <t>Construc. a 3 -Av.Avell.517-Varios-Varios-Uniformes Perso</t>
  </si>
  <si>
    <t xml:space="preserve">      5.02.48.15.59.0069</t>
  </si>
  <si>
    <t>Construc. a 3 -Av.Avell.517-Varios-Varios-Seguros</t>
  </si>
  <si>
    <t xml:space="preserve">      5.02.48.15.59.0076</t>
  </si>
  <si>
    <t>Construc. a 3 -Av.Avell.517-Varios-Varios-Gastos Diversos</t>
  </si>
  <si>
    <t xml:space="preserve">      5.02.48.15.59.0079</t>
  </si>
  <si>
    <t>Construc. a 3 -Av.Avell.517-Varios-Varios-Rep. y Mant. Ro</t>
  </si>
  <si>
    <t xml:space="preserve">   5.02.57</t>
  </si>
  <si>
    <t xml:space="preserve">    5.02.57.01</t>
  </si>
  <si>
    <t>Construc. a 3 -Salta 372-Proyecto y dire</t>
  </si>
  <si>
    <t xml:space="preserve">     5.02.57.01.01</t>
  </si>
  <si>
    <t>Construc. a 3 -Salta 372-Proyecto y dire-Honorarios proy</t>
  </si>
  <si>
    <t xml:space="preserve">      5.02.57.01.01.0075</t>
  </si>
  <si>
    <t>Construc. a 3 -Salta 372-Proyecto y dire-Honorarios proy-Honorarios</t>
  </si>
  <si>
    <t xml:space="preserve">      5.02.57.01.01.0315</t>
  </si>
  <si>
    <t>Construc. a 3 -Salta 372-Proyecto y dire-Honorarios proy-Hon.Hig.y segur</t>
  </si>
  <si>
    <t xml:space="preserve">    5.02.57.02</t>
  </si>
  <si>
    <t>Construc. a 3 -Salta 372-Tasas  der y se</t>
  </si>
  <si>
    <t xml:space="preserve">     5.02.57.02.02</t>
  </si>
  <si>
    <t>Construc. a 3 -Salta 372-Tasas  der y se-Trab. prelimina</t>
  </si>
  <si>
    <t xml:space="preserve">      5.02.57.02.02.0004</t>
  </si>
  <si>
    <t>Construc. a 3 -Salta 372-Tasas  der y se-Trab. prelimina-Permisos munici</t>
  </si>
  <si>
    <t xml:space="preserve">      5.02.57.02.02.0005</t>
  </si>
  <si>
    <t>Construc. a 3 -Salta 372-Tasas  der y se-Trab. prelimina-Sellados</t>
  </si>
  <si>
    <t xml:space="preserve">      5.02.57.02.02.0006</t>
  </si>
  <si>
    <t>Construc. a 3 -Salta 372-Tasas  der y se-Trab. prelimina-Otros Gtos Inic</t>
  </si>
  <si>
    <t xml:space="preserve">      5.02.57.02.02.0008</t>
  </si>
  <si>
    <t xml:space="preserve">Construc. a 3 -Salta 372-Tasas  der y se-Trab. prelimina-Luz Agua Otros </t>
  </si>
  <si>
    <t xml:space="preserve">    5.02.57.03</t>
  </si>
  <si>
    <t>Construc. a 3 -Salta 372-Movilidad y fle</t>
  </si>
  <si>
    <t xml:space="preserve">     5.02.57.03.03</t>
  </si>
  <si>
    <t>Construc. a 3 -Salta 372-Movilidad y fle-Movilidad y Fle</t>
  </si>
  <si>
    <t xml:space="preserve">      5.02.57.03.03.0007</t>
  </si>
  <si>
    <t>Construc. a 3 -Salta 372-Movilidad y fle-Movilidad y Fle-Fletes</t>
  </si>
  <si>
    <t xml:space="preserve">    5.02.57.04</t>
  </si>
  <si>
    <t>Construc. a 3 -Salta 372-Mov. suelo  exc</t>
  </si>
  <si>
    <t xml:space="preserve">     5.02.57.04.04</t>
  </si>
  <si>
    <t>Construc. a 3 -Salta 372-Mov. suelo  exc-Demoliciones</t>
  </si>
  <si>
    <t xml:space="preserve">      5.02.57.04.04.0001</t>
  </si>
  <si>
    <t>Construc. a 3 -Salta 372-Mov. suelo  exc-Demoliciones-Materiales</t>
  </si>
  <si>
    <t xml:space="preserve">      5.02.57.04.04.0002</t>
  </si>
  <si>
    <t>Construc. a 3 -Salta 372-Mov. suelo  exc-Demoliciones-Mano obra Batia</t>
  </si>
  <si>
    <t xml:space="preserve">      5.02.57.04.04.0003</t>
  </si>
  <si>
    <t xml:space="preserve">Construc. a 3 -Salta 372-Mov. suelo  exc-Demoliciones-Mano obra de 3 </t>
  </si>
  <si>
    <t xml:space="preserve">      5.02.57.04.04.0316</t>
  </si>
  <si>
    <t>Construc. a 3 -Salta 372-Mov. suelo  exc-Demoliciones-Excavac.a mano</t>
  </si>
  <si>
    <t xml:space="preserve">      5.02.57.04.04.0317</t>
  </si>
  <si>
    <t>Construc. a 3 -Salta 372-Mov. suelo  exc-Demoliciones-Excavac.a mÃ¡qui</t>
  </si>
  <si>
    <t xml:space="preserve">      5.02.57.04.04.0318</t>
  </si>
  <si>
    <t>Construc. a 3 -Salta 372-Mov. suelo  exc-Demoliciones-Retiro de tierr</t>
  </si>
  <si>
    <t xml:space="preserve">     5.02.57.04.59</t>
  </si>
  <si>
    <t>Construc. a 3 -Salta 372-Mov. suelo  exc-Varios</t>
  </si>
  <si>
    <t xml:space="preserve">      5.02.57.04.59.0056</t>
  </si>
  <si>
    <t>Construc. a 3 -Salta 372-Mov. suelo  exc-Varios-Sueldos y Jorna</t>
  </si>
  <si>
    <t xml:space="preserve">      5.02.57.04.59.0057</t>
  </si>
  <si>
    <t>Construc. a 3 -Salta 372-Mov. suelo  exc-Varios-Cargas Sociales</t>
  </si>
  <si>
    <t xml:space="preserve">    5.02.57.05</t>
  </si>
  <si>
    <t>Construc. a 3 -Salta 372-Estructura</t>
  </si>
  <si>
    <t xml:space="preserve">     5.02.57.05.59</t>
  </si>
  <si>
    <t>Construc. a 3 -Salta 372-Estructura-Varios</t>
  </si>
  <si>
    <t xml:space="preserve">      5.02.57.05.59.0001</t>
  </si>
  <si>
    <t>Construc. a 3 -Salta 372-Estructura-Varios-Materiales</t>
  </si>
  <si>
    <t xml:space="preserve">      5.02.57.05.59.0002</t>
  </si>
  <si>
    <t>Construc. a 3 -Salta 372-Estructura-Varios-Mano obra Batia</t>
  </si>
  <si>
    <t xml:space="preserve">      5.02.57.05.59.0003</t>
  </si>
  <si>
    <t xml:space="preserve">Construc. a 3 -Salta 372-Estructura-Varios-Mano obra de 3 </t>
  </si>
  <si>
    <t xml:space="preserve">      5.02.57.05.59.0056</t>
  </si>
  <si>
    <t>Construc. a 3 -Salta 372-Estructura-Varios-Sueldos y Jorna</t>
  </si>
  <si>
    <t xml:space="preserve">      5.02.57.05.59.0057</t>
  </si>
  <si>
    <t>Construc. a 3 -Salta 372-Estructura-Varios-Cargas Sociales</t>
  </si>
  <si>
    <t xml:space="preserve">      5.02.57.05.59.0310</t>
  </si>
  <si>
    <t>Construc. a 3 -Salta 372-Estructura-Varios-Madera</t>
  </si>
  <si>
    <t xml:space="preserve">      5.02.57.05.59.0311</t>
  </si>
  <si>
    <t>Construc. a 3 -Salta 372-Estructura-Varios-Materiales elÃ©c</t>
  </si>
  <si>
    <t xml:space="preserve">      5.02.57.05.59.0312</t>
  </si>
  <si>
    <t>Construc. a 3 -Salta 372-Estructura-Varios-Clavos y alambr</t>
  </si>
  <si>
    <t xml:space="preserve">      5.02.57.05.59.0313</t>
  </si>
  <si>
    <t>Construc. a 3 -Salta 372-Estructura-Varios-Telgopor</t>
  </si>
  <si>
    <t xml:space="preserve">    5.02.57.06</t>
  </si>
  <si>
    <t>Construc. a 3 -Salta 372-AlbaÃ±ilerÃ­a</t>
  </si>
  <si>
    <t xml:space="preserve">     5.02.57.06.18</t>
  </si>
  <si>
    <t>Construc. a 3 -Salta 372-AlbaÃ±ilerÃ­a-Cubiertas</t>
  </si>
  <si>
    <t xml:space="preserve">      5.02.57.06.18.0001</t>
  </si>
  <si>
    <t>Construc. a 3 -Salta 372-AlbaÃ±ilerÃ­a-Cubiertas-Materiales</t>
  </si>
  <si>
    <t xml:space="preserve">      5.02.57.06.18.0002</t>
  </si>
  <si>
    <t>Construc. a 3 -Salta 372-AlbaÃ±ilerÃ­a-Cubiertas-Mano obra Batia</t>
  </si>
  <si>
    <t xml:space="preserve">      5.02.57.06.18.0003</t>
  </si>
  <si>
    <t xml:space="preserve">Construc. a 3 -Salta 372-AlbaÃ±ilerÃ­a-Cubiertas-Mano obra de 3 </t>
  </si>
  <si>
    <t xml:space="preserve">     5.02.57.06.59</t>
  </si>
  <si>
    <t>Construc. a 3 -Salta 372-AlbaÃ±ilerÃ­a-Varios</t>
  </si>
  <si>
    <t xml:space="preserve">      5.02.57.06.59.0056</t>
  </si>
  <si>
    <t>Construc. a 3 -Salta 372-AlbaÃ±ilerÃ­a-Varios-Sueldos y Jorna</t>
  </si>
  <si>
    <t xml:space="preserve">      5.02.57.06.59.0057</t>
  </si>
  <si>
    <t>Construc. a 3 -Salta 372-AlbaÃ±ilerÃ­a-Varios-Cargas Sociales</t>
  </si>
  <si>
    <t xml:space="preserve">    5.02.57.09</t>
  </si>
  <si>
    <t>Construc. a 3 -Salta 372-CarpinterÃ­a</t>
  </si>
  <si>
    <t xml:space="preserve">     5.02.57.09.59</t>
  </si>
  <si>
    <t>Construc. a 3 -Salta 372-CarpinterÃ­a-Varios</t>
  </si>
  <si>
    <t xml:space="preserve">      5.02.57.09.59.0056</t>
  </si>
  <si>
    <t>Construc. a 3 -Salta 372-CarpinterÃ­a-Varios-Sueldos y Jornales-</t>
  </si>
  <si>
    <t xml:space="preserve">      5.02.57.09.59.0057</t>
  </si>
  <si>
    <t>Egresos-Construc. a 3 -Salta 372-CarpinterÃ­a-Varios-Cargas Sociales-</t>
  </si>
  <si>
    <t xml:space="preserve">    5.02.57.10</t>
  </si>
  <si>
    <t>Construc. a 3 -Salta 372-Sanitarios</t>
  </si>
  <si>
    <t xml:space="preserve">     5.02.57.10.59</t>
  </si>
  <si>
    <t>Construc. a 3 -Salta 372-Sanitarios-Varios</t>
  </si>
  <si>
    <t xml:space="preserve">      5.02.57.10.59.0056</t>
  </si>
  <si>
    <t>Construc. a 3 -Salta 372-Sanitarios-Varios-Sueldos y Jorna</t>
  </si>
  <si>
    <t xml:space="preserve">      5.02.57.10.59.0057</t>
  </si>
  <si>
    <t>Construc. a 3 -Salta 372-Sanitarios-Varios-Cargas Sociales</t>
  </si>
  <si>
    <t xml:space="preserve">    5.02.57.11</t>
  </si>
  <si>
    <t>Construc. a 3 -Salta 372-Inst. ElÃ©ctrica</t>
  </si>
  <si>
    <t xml:space="preserve">     5.02.57.11.53</t>
  </si>
  <si>
    <t>Construc. a 3 -Salta 372-Inst. ElÃ©ctrica-Inst elÃ©ctrica</t>
  </si>
  <si>
    <t xml:space="preserve">      5.02.57.11.53.0001</t>
  </si>
  <si>
    <t>Construc. a 3 -Salta 372-Inst. ElÃ©ctrica-Inst elÃ©ctrica-Materiales</t>
  </si>
  <si>
    <t xml:space="preserve">      5.02.57.11.53.0002</t>
  </si>
  <si>
    <t>Construc. a 3 -Salta 372-Inst. ElÃ©ctrica-Inst elÃ©ctrica-Mano obra Batia</t>
  </si>
  <si>
    <t xml:space="preserve">      5.02.57.11.53.0003</t>
  </si>
  <si>
    <t xml:space="preserve">Construc. a 3 -Salta 372-Inst. ElÃ©ctrica-Inst elÃ©ctrica-Mano obra de 3 </t>
  </si>
  <si>
    <t xml:space="preserve">    5.02.57.15</t>
  </si>
  <si>
    <t>Construc. a 3 -Salta 372-Varios</t>
  </si>
  <si>
    <t xml:space="preserve">     5.02.57.15.59</t>
  </si>
  <si>
    <t>Construc. a 3 -Salta 372-Varios-Varios</t>
  </si>
  <si>
    <t xml:space="preserve">      5.02.57.15.59.0009</t>
  </si>
  <si>
    <t>Construc. a 3 -Salta 372-Varios-Varios-Herram de Consu</t>
  </si>
  <si>
    <t xml:space="preserve">      5.02.57.15.59.0060</t>
  </si>
  <si>
    <t>Construc. a 3 -Salta 372-Varios-Varios-Uniformes Perso</t>
  </si>
  <si>
    <t xml:space="preserve">      5.02.57.15.59.0069</t>
  </si>
  <si>
    <t>Construc. a 3 -Salta 372-Varios-Varios-Seguros</t>
  </si>
  <si>
    <t xml:space="preserve">      5.02.57.15.59.0076</t>
  </si>
  <si>
    <t>Construc. a 3 -Salta 372-Varios-Varios-Gastos Diversos</t>
  </si>
  <si>
    <t xml:space="preserve">      5.02.57.15.59.0079</t>
  </si>
  <si>
    <t>Construc. a 3 -Salta 372-Varios-Varios-Rep. y Mant. Ro</t>
  </si>
  <si>
    <t xml:space="preserve">      5.02.57.15.59.0084</t>
  </si>
  <si>
    <t xml:space="preserve">Construc. a 3 -Salta 372-Varios-Varios-Gs Seguridad y </t>
  </si>
  <si>
    <t xml:space="preserve">      5.02.57.15.59.0314</t>
  </si>
  <si>
    <t>Construc. a 3 -Salta 372-Varios-Varios-Materiales a re</t>
  </si>
  <si>
    <t xml:space="preserve">     5.02.57.15.60</t>
  </si>
  <si>
    <t>Construc. a 3 -Salta 372-Varios-Costos Vs MO</t>
  </si>
  <si>
    <t xml:space="preserve">      5.02.57.15.60.0097</t>
  </si>
  <si>
    <t>Construc. a 3 -Salta 372-Varios-Costos Vs MO-Vacaciones</t>
  </si>
  <si>
    <t xml:space="preserve">      5.02.57.15.60.0098</t>
  </si>
  <si>
    <t>Construc. a 3 -Salta 372-Varios-Costos Vs MO-Aguinaldo</t>
  </si>
  <si>
    <t xml:space="preserve">   5.02.58</t>
  </si>
  <si>
    <t xml:space="preserve">    5.02.58.01</t>
  </si>
  <si>
    <t>Construc. a 3 -Solano Vera-Proyecto y dire</t>
  </si>
  <si>
    <t xml:space="preserve">     5.02.58.01.01</t>
  </si>
  <si>
    <t>Construc. a 3 -Solano Vera-Proyecto y dire-Honorarios proy</t>
  </si>
  <si>
    <t xml:space="preserve">      5.02.58.01.01.0075</t>
  </si>
  <si>
    <t>Construc. a 3 -Solano Vera-Proyecto y dire-Honorarios proy-Honorarios</t>
  </si>
  <si>
    <t xml:space="preserve">      5.02.58.01.01.0315</t>
  </si>
  <si>
    <t>Construc. a 3 -Solano Vera-Proyecto y dire-Honorarios proy-Hon.Hig.y segur</t>
  </si>
  <si>
    <t xml:space="preserve">    5.02.58.02</t>
  </si>
  <si>
    <t>Construc. a 3 -Solano Vera-Tasas  der y se</t>
  </si>
  <si>
    <t xml:space="preserve">     5.02.58.02.02</t>
  </si>
  <si>
    <t>Construc. a 3 -Solano Vera-Tasas  der y se-Trab. prelimina</t>
  </si>
  <si>
    <t xml:space="preserve">      5.02.58.02.02.0004</t>
  </si>
  <si>
    <t>Construc. a 3 -Solano Vera-Tasas  der y se-Trab. prelimina-Permisos munici</t>
  </si>
  <si>
    <t xml:space="preserve">      5.02.58.02.02.0005</t>
  </si>
  <si>
    <t>Construc. a 3 -Solano Vera-Tasas  der y se-Trab. prelimina-Sellados</t>
  </si>
  <si>
    <t xml:space="preserve">      5.02.58.02.02.0006</t>
  </si>
  <si>
    <t>Construc. a 3 -Solano Vera-Tasas  der y se-Trab. prelimina-Otros Gtos Inic</t>
  </si>
  <si>
    <t xml:space="preserve">      5.02.58.02.02.0008</t>
  </si>
  <si>
    <t xml:space="preserve">Construc. a 3 -Solano Vera-Tasas  der y se-Trab. prelimina-Luz Agua Otros </t>
  </si>
  <si>
    <t xml:space="preserve">    5.02.58.03</t>
  </si>
  <si>
    <t>Construc. a 3 -Solano Vera-Movilidad y fle</t>
  </si>
  <si>
    <t xml:space="preserve">     5.02.58.03.03</t>
  </si>
  <si>
    <t>Construc. a 3 -Solano Vera-Movilidad y fle-Movilidad y Fle</t>
  </si>
  <si>
    <t xml:space="preserve">      5.02.58.03.03.0007</t>
  </si>
  <si>
    <t>Construc. a 3 -Solano Vera-Movilidad y fle-Movilidad y Fle-Fletes</t>
  </si>
  <si>
    <t xml:space="preserve">    5.02.58.04</t>
  </si>
  <si>
    <t>Construc. a 3 -Solano Vera-Mov. suelo  exc</t>
  </si>
  <si>
    <t xml:space="preserve">     5.02.58.04.04</t>
  </si>
  <si>
    <t>Construc. a 3 -Solano Vera-Mov. suelo  exc-Demoliciones</t>
  </si>
  <si>
    <t xml:space="preserve">      5.02.58.04.04.0001</t>
  </si>
  <si>
    <t>Construc. a 3 -Solano Vera-Mov. suelo  exc-Demoliciones-Materiales</t>
  </si>
  <si>
    <t xml:space="preserve">      5.02.58.04.04.0002</t>
  </si>
  <si>
    <t>Construc. a 3 -Solano Vera-Mov. suelo  exc-Demoliciones-Mano obra Batia</t>
  </si>
  <si>
    <t xml:space="preserve">      5.02.58.04.04.0003</t>
  </si>
  <si>
    <t xml:space="preserve">Construc. a 3 -Solano Vera-Mov. suelo  exc-Demoliciones-Mano obra de 3 </t>
  </si>
  <si>
    <t xml:space="preserve">      5.02.58.04.04.0316</t>
  </si>
  <si>
    <t>Construc. a 3 -Solano Vera-Mov. suelo  exc-Demoliciones-Excavac.a mano</t>
  </si>
  <si>
    <t xml:space="preserve">      5.02.58.04.04.0317</t>
  </si>
  <si>
    <t>Construc. a 3 -Solano Vera-Mov. suelo  exc-Demoliciones-Excavac.a mÃ¡qui</t>
  </si>
  <si>
    <t xml:space="preserve">      5.02.58.04.04.0318</t>
  </si>
  <si>
    <t>Construc. a 3 -Solano Vera-Mov. suelo  exc-Demoliciones-Retiro de tierr</t>
  </si>
  <si>
    <t xml:space="preserve">     5.02.58.04.59</t>
  </si>
  <si>
    <t>Construc. a 3 -Solano Vera-Mov. suelo  exc-Varios</t>
  </si>
  <si>
    <t xml:space="preserve">      5.02.58.04.59.0056</t>
  </si>
  <si>
    <t>Construc. a 3 -Solano Vera-Mov. suelo  exc-Varios-Sueldos y Jorna</t>
  </si>
  <si>
    <t xml:space="preserve">      5.02.58.04.59.0057</t>
  </si>
  <si>
    <t>Construc. a 3 -Solano Vera-Mov. suelo  exc-Varios-Cargas Sociales</t>
  </si>
  <si>
    <t xml:space="preserve">    5.02.58.05</t>
  </si>
  <si>
    <t>Construc. a 3 -Solano Vera-Estructura</t>
  </si>
  <si>
    <t xml:space="preserve">     5.02.58.05.59</t>
  </si>
  <si>
    <t>Construc. a 3 -Solano Vera-Estructura-Varios</t>
  </si>
  <si>
    <t xml:space="preserve">      5.02.58.05.59.0001</t>
  </si>
  <si>
    <t>Construc. a 3 -Solano Vera-Estructura-Varios-Materiales</t>
  </si>
  <si>
    <t xml:space="preserve">      5.02.58.05.59.0002</t>
  </si>
  <si>
    <t>Construc. a 3 -Solano Vera-Estructura-Varios-Mano obra Batia</t>
  </si>
  <si>
    <t xml:space="preserve">      5.02.58.05.59.0003</t>
  </si>
  <si>
    <t xml:space="preserve">Construc. a 3 -Solano Vera-Estructura-Varios-Mano obra de 3 </t>
  </si>
  <si>
    <t xml:space="preserve">      5.02.58.05.59.0056</t>
  </si>
  <si>
    <t>Construc. a 3 -Solano Vera-Estructura-Varios-Sueldos y Jorna</t>
  </si>
  <si>
    <t xml:space="preserve">      5.02.58.05.59.0057</t>
  </si>
  <si>
    <t>Construc. a 3 -Solano Vera-Estructura-Varios-Cargas Sociales</t>
  </si>
  <si>
    <t xml:space="preserve">      5.02.58.05.59.0310</t>
  </si>
  <si>
    <t>Construc. a 3 -Solano Vera-Estructura-Varios-Madera</t>
  </si>
  <si>
    <t xml:space="preserve">      5.02.58.05.59.0311</t>
  </si>
  <si>
    <t>Construc. a 3 -Solano Vera-Estructura-Varios-Materiales elÃ©c</t>
  </si>
  <si>
    <t xml:space="preserve">      5.02.58.05.59.0312</t>
  </si>
  <si>
    <t>Construc. a 3 -Solano Vera-Estructura-Varios-Clavos y alambr</t>
  </si>
  <si>
    <t xml:space="preserve">      5.02.58.05.59.0313</t>
  </si>
  <si>
    <t>Construc. a 3 -Solano Vera-Estructura-Varios-Telgopor</t>
  </si>
  <si>
    <t xml:space="preserve">    5.02.58.06</t>
  </si>
  <si>
    <t>Construc. a 3 -Solano Vera-AlbaÃ±ilerÃ­a</t>
  </si>
  <si>
    <t xml:space="preserve">     5.02.58.06.18</t>
  </si>
  <si>
    <t>Construc. a 3 -Solano Vera-AlbaÃ±ilerÃ­a-Cubiertas</t>
  </si>
  <si>
    <t xml:space="preserve">      5.02.58.06.18.0001</t>
  </si>
  <si>
    <t>Construc. a 3 -Solano Vera-AlbaÃ±ilerÃ­a-Cubiertas-Materiales</t>
  </si>
  <si>
    <t xml:space="preserve">      5.02.58.06.18.0002</t>
  </si>
  <si>
    <t>Construc. a 3 -Solano Vera-AlbaÃ±ilerÃ­a-Cubiertas-Mano obra Batia</t>
  </si>
  <si>
    <t xml:space="preserve">      5.02.58.06.18.0003</t>
  </si>
  <si>
    <t xml:space="preserve">Construc. a 3 -Solano Vera-AlbaÃ±ilerÃ­a-Cubiertas-Mano obra de 3 </t>
  </si>
  <si>
    <t xml:space="preserve">     5.02.58.06.59</t>
  </si>
  <si>
    <t>Construc. a 3 -Solano Vera-AlbaÃ±ilerÃ­a-Varios</t>
  </si>
  <si>
    <t xml:space="preserve">      5.02.58.06.59.0056</t>
  </si>
  <si>
    <t>Construc. a 3 -Solano Vera-AlbaÃ±ilerÃ­a-Varios-Sueldos y Jorna</t>
  </si>
  <si>
    <t xml:space="preserve">      5.02.58.06.59.0057</t>
  </si>
  <si>
    <t>Construc. a 3 -Solano Vera-AlbaÃ±ilerÃ­a-Varios-Cargas Sociales</t>
  </si>
  <si>
    <t xml:space="preserve">    5.02.58.11</t>
  </si>
  <si>
    <t>Construc. a 3 -Solano Vera-Inst. ElÃ©ctrica</t>
  </si>
  <si>
    <t xml:space="preserve">     5.02.58.11.53</t>
  </si>
  <si>
    <t>Construc. a 3 -Solano Vera-Inst. ElÃ©ctrica-Inst elÃ©ctrica</t>
  </si>
  <si>
    <t xml:space="preserve">      5.02.58.11.53.0001</t>
  </si>
  <si>
    <t>Construc. a 3 -Solano Vera-Inst. ElÃ©ctrica-Inst elÃ©ctrica-Materiales</t>
  </si>
  <si>
    <t xml:space="preserve">      5.02.58.11.53.0002</t>
  </si>
  <si>
    <t>Construc. a 3 -Solano Vera-Inst. ElÃ©ctrica-Inst elÃ©ctrica-Mano obra Batia</t>
  </si>
  <si>
    <t xml:space="preserve">      5.02.58.11.53.0003</t>
  </si>
  <si>
    <t xml:space="preserve">Construc. a 3 -Solano Vera-Inst. ElÃ©ctrica-Inst elÃ©ctrica-Mano obra de 3 </t>
  </si>
  <si>
    <t xml:space="preserve">    5.02.58.15</t>
  </si>
  <si>
    <t>Construc. a 3 -Solano Vera-Varios</t>
  </si>
  <si>
    <t xml:space="preserve">     5.02.58.15.59</t>
  </si>
  <si>
    <t>Construc. a 3 -Solano Vera-Varios-Varios</t>
  </si>
  <si>
    <t xml:space="preserve">      5.02.58.15.59.0009</t>
  </si>
  <si>
    <t>Construc. a 3 -Solano Vera-Varios-Varios-Herram de Consu</t>
  </si>
  <si>
    <t xml:space="preserve">      5.02.58.15.59.0060</t>
  </si>
  <si>
    <t>Construc. a 3 -Solano Vera-Varios-Varios-Uniformes Perso</t>
  </si>
  <si>
    <t xml:space="preserve">      5.02.58.15.59.0069</t>
  </si>
  <si>
    <t>Construc. a 3 -Solano Vera-Varios-Varios-Seguros</t>
  </si>
  <si>
    <t xml:space="preserve">      5.02.58.15.59.0076</t>
  </si>
  <si>
    <t>Construc. a 3 -Solano Vera-Varios-Varios-Gastos Diversos</t>
  </si>
  <si>
    <t xml:space="preserve">      5.02.58.15.59.0079</t>
  </si>
  <si>
    <t>Construc. a 3 -Solano Vera-Varios-Varios-Rep. y Mant. Ro</t>
  </si>
  <si>
    <t xml:space="preserve">      5.02.58.15.59.0084</t>
  </si>
  <si>
    <t xml:space="preserve">Construc. a 3 -Solano Vera-Varios-Varios-Gs Seguridad y </t>
  </si>
  <si>
    <t xml:space="preserve">      5.02.58.15.59.0314</t>
  </si>
  <si>
    <t>Construc. a 3 -Solano Vera-Varios-Varios-Materiales a re</t>
  </si>
  <si>
    <t xml:space="preserve">   5.02.59</t>
  </si>
  <si>
    <t xml:space="preserve">    5.02.59.01</t>
  </si>
  <si>
    <t>Construc. a 3 -Victor Iajya-Proyecto y dire</t>
  </si>
  <si>
    <t xml:space="preserve">     5.02.59.01.01</t>
  </si>
  <si>
    <t>Construc. a 3 -Victor Iajya-Proyecto y dire-Honorarios proy</t>
  </si>
  <si>
    <t xml:space="preserve">      5.02.59.01.01.0075</t>
  </si>
  <si>
    <t>Construc. a 3 -Victor Iajya-Proyecto y dire-Honorarios proy-Honorarios</t>
  </si>
  <si>
    <t xml:space="preserve">      5.02.59.01.01.0315</t>
  </si>
  <si>
    <t>Construc. a 3 -Victor Iajya-Proyecto y dire-Honorarios proy-Hon.Hig.y segur</t>
  </si>
  <si>
    <t xml:space="preserve">    5.02.59.02</t>
  </si>
  <si>
    <t>Construc. a 3 -Victor Iajya-Tasas  der y se</t>
  </si>
  <si>
    <t xml:space="preserve">     5.02.59.02.02</t>
  </si>
  <si>
    <t>Construc. a 3 -Victor Iajya-Tasas  der y se-Trab. prelimina</t>
  </si>
  <si>
    <t xml:space="preserve">      5.02.59.02.02.0004</t>
  </si>
  <si>
    <t>Construc. a 3 -Victor Iajya-Tasas  der y se-Trab. prelimina-Permisos munici</t>
  </si>
  <si>
    <t>Egresos-Gs Construc.a Distr.-----</t>
  </si>
  <si>
    <t xml:space="preserve">   5.04.41</t>
  </si>
  <si>
    <t>Egresos-Gs Construc. a Distr.-Gs a Distr.</t>
  </si>
  <si>
    <t xml:space="preserve">    5.04.41.01</t>
  </si>
  <si>
    <t>Gs Construc.a Distr.-Gs a Dist-Proy y direcc obras--</t>
  </si>
  <si>
    <t xml:space="preserve">     5.04.41.01.01</t>
  </si>
  <si>
    <t>Gs Construc. a Distr.-Gs Distr-Proy direcc obras-Honorarios proyecto--</t>
  </si>
  <si>
    <t xml:space="preserve">      5.04.41.01.01.0075</t>
  </si>
  <si>
    <t>Otros-Proyecto y dire-Honorarios proy-Honorarios</t>
  </si>
  <si>
    <t xml:space="preserve">     5.04.41.01.02</t>
  </si>
  <si>
    <t>Materiales de Construccion Guare SRL</t>
  </si>
  <si>
    <t xml:space="preserve">     5.04.41.01.03</t>
  </si>
  <si>
    <t>Materiales de construcción Torres SP SRL</t>
  </si>
  <si>
    <t xml:space="preserve">     5.04.41.01.04</t>
  </si>
  <si>
    <t>Materiales de Construcción - Torres SP SRL</t>
  </si>
  <si>
    <t xml:space="preserve">    5.04.41.03</t>
  </si>
  <si>
    <t>Gs Construc.a Distr.-Gs Distrib-Movilidad y fletes---</t>
  </si>
  <si>
    <t xml:space="preserve">     5.04.41.03.03</t>
  </si>
  <si>
    <t>Gs Construc.a Distr.-Mov y fletes-Mov y Fletes--</t>
  </si>
  <si>
    <t xml:space="preserve">      5.04.41.03.03.0056</t>
  </si>
  <si>
    <t>Otros-Movilidad y fle-Movilidad y Fle-Sueldos y Jorna</t>
  </si>
  <si>
    <t xml:space="preserve">      5.04.41.03.03.0057</t>
  </si>
  <si>
    <t>Otros-Movilidad y fle-Movilidad y Fle-Cargas Sociales</t>
  </si>
  <si>
    <t xml:space="preserve">      5.04.41.03.03.0068</t>
  </si>
  <si>
    <t>Otros-Movilidad y fle-Movilidad y Fle-Movilidad y Gas</t>
  </si>
  <si>
    <t xml:space="preserve">      5.04.41.03.03.0078</t>
  </si>
  <si>
    <t>Gs a Distribuir-Varios-Varios-Combustibles</t>
  </si>
  <si>
    <t xml:space="preserve">      5.04.41.03.03.0079</t>
  </si>
  <si>
    <t>Otros-Movilidad y fle-Movilidad y Fle-Rep. y Mant. Ro</t>
  </si>
  <si>
    <t xml:space="preserve">      5.04.41.03.03.0097</t>
  </si>
  <si>
    <t>Otros-Movilidad y fle-Movilidad y Fle-Vacaciones</t>
  </si>
  <si>
    <t xml:space="preserve">      5.04.41.03.03.0098</t>
  </si>
  <si>
    <t>Otros-Movilidad y fle-Movilidad y Fle-Aguinaldo</t>
  </si>
  <si>
    <t xml:space="preserve">      5.04.41.03.03.0200</t>
  </si>
  <si>
    <t>Otros-AmortizaciÃ³n Bs-Amort B.U. expl-Amortizaciones</t>
  </si>
  <si>
    <t xml:space="preserve">    5.04.41.15</t>
  </si>
  <si>
    <t>Gs Construc. a Distr.-Varios---</t>
  </si>
  <si>
    <t xml:space="preserve">     5.04.41.15.60</t>
  </si>
  <si>
    <t>Gs Construc. a Distr.-Vs-Costos Vs MO--</t>
  </si>
  <si>
    <t xml:space="preserve">      5.04.41.15.60.0047</t>
  </si>
  <si>
    <t>Gs a Distribuir-Vs M Obra-Rep Mant Otr Bs Uso</t>
  </si>
  <si>
    <t xml:space="preserve">      5.04.41.15.60.0067</t>
  </si>
  <si>
    <t>Gs a Distribuir-Vs M Obra-Impresos y Util</t>
  </si>
  <si>
    <t xml:space="preserve">      5.04.41.15.60.0076</t>
  </si>
  <si>
    <t>Gs a Distribuir-Vs M Obra-Gastos Diversos</t>
  </si>
  <si>
    <t xml:space="preserve">      5.04.41.15.60.0100</t>
  </si>
  <si>
    <t>Gs Constr.a Dis-Gs a Distribuir-Varios-Costos Vs MO-REcupero 7.6% R</t>
  </si>
  <si>
    <t xml:space="preserve">      5.04.41.15.60.0200</t>
  </si>
  <si>
    <t>Gs a Distribuir-Vs M Obra-Amortiz.Herr Mayores-</t>
  </si>
  <si>
    <t xml:space="preserve">   5.21.51</t>
  </si>
  <si>
    <t>Loteos-Loteo GCI</t>
  </si>
  <si>
    <t xml:space="preserve">    5.21.51.30</t>
  </si>
  <si>
    <t>Loteo GCI-Costos Inmueble</t>
  </si>
  <si>
    <t xml:space="preserve">     5.21.51.30.59</t>
  </si>
  <si>
    <t>Loteo GCI-Costos Inm-Varios</t>
  </si>
  <si>
    <t xml:space="preserve">      5.21.51.30.59.0070</t>
  </si>
  <si>
    <t>Loteo GCI-Costos Inm-Varios-Gs Escrituras</t>
  </si>
  <si>
    <t xml:space="preserve">      5.21.51.30.59.0071</t>
  </si>
  <si>
    <t>Loteo GCI-Costos Inm-Varios-Certificaciones</t>
  </si>
  <si>
    <t xml:space="preserve">      5.21.51.30.59.0078</t>
  </si>
  <si>
    <t>Loteo GCI-Costos Inm-Varios-Combustibles</t>
  </si>
  <si>
    <t xml:space="preserve">      5.21.51.30.59.0084</t>
  </si>
  <si>
    <t>Loteo GCI-Costos Inm-Varios-Gs Seguridad</t>
  </si>
  <si>
    <t xml:space="preserve">      5.21.51.30.59.0123</t>
  </si>
  <si>
    <t>Loteo GCI-Costos Inm-Varios-Impuesto Inmobi</t>
  </si>
  <si>
    <t xml:space="preserve">      5.21.51.30.59.0303</t>
  </si>
  <si>
    <t>Loteo GCI-Costos Inm-Varios-Gs. Infraestruc</t>
  </si>
  <si>
    <t xml:space="preserve">      5.21.51.30.59.0304</t>
  </si>
  <si>
    <t>Loteo GCI-Costos Inm-Varios-Mant. Loteos</t>
  </si>
  <si>
    <t xml:space="preserve">      5.21.51.30.59.0305</t>
  </si>
  <si>
    <t>Loteos-Loteo GCI-Costos Inmueble-Varios-Costo Vta Inmue</t>
  </si>
  <si>
    <t xml:space="preserve">   5.21.52</t>
  </si>
  <si>
    <t xml:space="preserve">    5.21.52.30</t>
  </si>
  <si>
    <t>Loteo ECI-Costos Inm</t>
  </si>
  <si>
    <t xml:space="preserve">     5.21.52.30.59</t>
  </si>
  <si>
    <t>Loteo ECI-Costos Inm-Varios</t>
  </si>
  <si>
    <t xml:space="preserve">      5.21.52.30.59.0070</t>
  </si>
  <si>
    <t>Loteo ECI-Costos Inm-Varios-Gs Escrituras</t>
  </si>
  <si>
    <t xml:space="preserve">      5.21.52.30.59.0071</t>
  </si>
  <si>
    <t>Loteo ECI-Costos Inm-Varios-Certificaciones</t>
  </si>
  <si>
    <t xml:space="preserve">      5.21.52.30.59.0078</t>
  </si>
  <si>
    <t>Loteo ECI-Costos Inm-Varios-Combustibles</t>
  </si>
  <si>
    <t xml:space="preserve">      5.21.52.30.59.0084</t>
  </si>
  <si>
    <t>Loteo ECI-Costos Inm-Varios-Gs Seguridad</t>
  </si>
  <si>
    <t xml:space="preserve">      5.21.52.30.59.0123</t>
  </si>
  <si>
    <t>Loteo ECI-Costos Inm-Varios-Impuesto Inmobi</t>
  </si>
  <si>
    <t xml:space="preserve">      5.21.52.30.59.0303</t>
  </si>
  <si>
    <t>Loteo ECI-Costos Inm-Varios-Gs. Infraestruc</t>
  </si>
  <si>
    <t xml:space="preserve">      5.21.52.30.59.0304</t>
  </si>
  <si>
    <t>Loteo ECI-Costos Inm-Varios-Mant. Loteos</t>
  </si>
  <si>
    <t xml:space="preserve">      5.21.52.30.59.0305</t>
  </si>
  <si>
    <t>Loteos-Loteo ECI-Costos Inmueble-Varios-Costo Vta Inmue</t>
  </si>
  <si>
    <t xml:space="preserve">   5.21.53</t>
  </si>
  <si>
    <t xml:space="preserve">    5.21.53.30</t>
  </si>
  <si>
    <t>Loteo AW-Costos Inm</t>
  </si>
  <si>
    <t xml:space="preserve">     5.21.53.30.59</t>
  </si>
  <si>
    <t>Loteo AW-Costos Inm-Varios</t>
  </si>
  <si>
    <t xml:space="preserve">      5.21.53.30.59.0070</t>
  </si>
  <si>
    <t>Loteo AW-Costos Inm-Varios-Gs Escrituras</t>
  </si>
  <si>
    <t xml:space="preserve">      5.21.53.30.59.0071</t>
  </si>
  <si>
    <t>Loteo AW-Costos Inm-Varios-Certificaciones</t>
  </si>
  <si>
    <t xml:space="preserve">      5.21.53.30.59.0078</t>
  </si>
  <si>
    <t>Loteo AW-Costos Inm-Varios-Combustibles</t>
  </si>
  <si>
    <t xml:space="preserve">      5.21.53.30.59.0084</t>
  </si>
  <si>
    <t>Loteo AW-Costos Inm-Varios-Gs Seguridad</t>
  </si>
  <si>
    <t xml:space="preserve">      5.21.53.30.59.0123</t>
  </si>
  <si>
    <t>Loteo AW-Costos Inm-Varios-Impuesto Inmobiliario</t>
  </si>
  <si>
    <t xml:space="preserve">      5.21.53.30.59.0303</t>
  </si>
  <si>
    <t>Loteo AW-Costos Inm-Varios-Gs. Infraestruc</t>
  </si>
  <si>
    <t xml:space="preserve">      5.21.53.30.59.0304</t>
  </si>
  <si>
    <t>Loteo AW-Costos Inm-Varios-Mant. Loteos</t>
  </si>
  <si>
    <t xml:space="preserve">      5.21.53.30.59.0305</t>
  </si>
  <si>
    <t>Loteos-Loteo AW-Costos Inmueble-Varios-Costo Vta Inmue</t>
  </si>
  <si>
    <t xml:space="preserve">   5.21.54</t>
  </si>
  <si>
    <t xml:space="preserve">    5.21.54.30</t>
  </si>
  <si>
    <t>Loteo EL-Costos Inm</t>
  </si>
  <si>
    <t xml:space="preserve">     5.21.54.30.59</t>
  </si>
  <si>
    <t>Loteo EL-Costos Inm-Varios</t>
  </si>
  <si>
    <t xml:space="preserve">      5.21.54.30.59.0070</t>
  </si>
  <si>
    <t>Loteo EL-Costos Inm-Varios-Gs Escrituras</t>
  </si>
  <si>
    <t xml:space="preserve">      5.21.54.30.59.0071</t>
  </si>
  <si>
    <t>Loteo EL-Costos Inm-Varios-Certificaciones</t>
  </si>
  <si>
    <t xml:space="preserve">      5.21.54.30.59.0073</t>
  </si>
  <si>
    <t>Loteos-Loteo EL-Costos Inmueble-Varios-Honorarios Soci</t>
  </si>
  <si>
    <t xml:space="preserve">      5.21.54.30.59.0078</t>
  </si>
  <si>
    <t>Loteo EL-Costos Inm-Varios-Combustibles</t>
  </si>
  <si>
    <t xml:space="preserve">      5.21.54.30.59.0084</t>
  </si>
  <si>
    <t>Loteo EL-Costos Inm-Varios-Gs Seguridad</t>
  </si>
  <si>
    <t xml:space="preserve">      5.21.54.30.59.0085</t>
  </si>
  <si>
    <t>Loteo EL-Costos Inm-Varios-Expensas</t>
  </si>
  <si>
    <t xml:space="preserve">      5.21.54.30.59.0123</t>
  </si>
  <si>
    <t>Loteo EL-Costos Inm-Varios-Impuesto Inmobi</t>
  </si>
  <si>
    <t xml:space="preserve">      5.21.54.30.59.0303</t>
  </si>
  <si>
    <t>Loteo EL-Costos Inm-Varios-Gs. Infraestruc</t>
  </si>
  <si>
    <t xml:space="preserve">      5.21.54.30.59.0304</t>
  </si>
  <si>
    <t>Loteo EL-Costos Inm-Varios-Mant. Loteos</t>
  </si>
  <si>
    <t xml:space="preserve">      5.21.54.30.59.0305</t>
  </si>
  <si>
    <t>Loteos-Loteo EL-Costos Inmueble-Varios-Costo Vta Inmue</t>
  </si>
  <si>
    <t xml:space="preserve">   5.21.55</t>
  </si>
  <si>
    <t xml:space="preserve">    5.21.55.30</t>
  </si>
  <si>
    <t>Loteos-Ruta 9-Costos Inmueble</t>
  </si>
  <si>
    <t xml:space="preserve">     5.21.55.30.59</t>
  </si>
  <si>
    <t>Loteos-Ruta 9-Costos Inmueble-Varios</t>
  </si>
  <si>
    <t xml:space="preserve">   5.21.56</t>
  </si>
  <si>
    <t>Loteos-Loteo Esquina</t>
  </si>
  <si>
    <t xml:space="preserve">    5.21.56.30</t>
  </si>
  <si>
    <t>Loteos-Loteo Esquina-Costos Inmueble</t>
  </si>
  <si>
    <t xml:space="preserve">     5.21.56.30.59</t>
  </si>
  <si>
    <t>Loteos-Loteo Esquina-Costos Inmueble-Varios</t>
  </si>
  <si>
    <t xml:space="preserve">      5.21.56.30.59.0070</t>
  </si>
  <si>
    <t>Loteos-Loteo Esquina-Costos Inmueble-Varios-Gs Escrituras</t>
  </si>
  <si>
    <t xml:space="preserve">      5.21.56.30.59.0071</t>
  </si>
  <si>
    <t>Loteos-Loteo Esquina-Costos Inmueble-Varios-Certificaciones</t>
  </si>
  <si>
    <t xml:space="preserve">      5.21.56.30.59.0078</t>
  </si>
  <si>
    <t>Loteos-Loteo Esquina-Costos Inmueble-Varios-Combustibles</t>
  </si>
  <si>
    <t xml:space="preserve">      5.21.56.30.59.0084</t>
  </si>
  <si>
    <t>Loteos-Loteo Esquina-Costos Inmueble-Varios-Gs Seguridad</t>
  </si>
  <si>
    <t xml:space="preserve">      5.21.56.30.59.0123</t>
  </si>
  <si>
    <t>Loteos-Loteo Esquina-Costos Inmueble-Varios-Impuesto Inmobi</t>
  </si>
  <si>
    <t xml:space="preserve">      5.21.56.30.59.0303</t>
  </si>
  <si>
    <t>Loteos-Loteo Esquina-Costos Inmueble-Varios-Gs. Infraestruc</t>
  </si>
  <si>
    <t xml:space="preserve">      5.21.56.30.59.0304</t>
  </si>
  <si>
    <t>Loteos-Loteo Esquina-Costos Inmueble-Varios-Mant. Loteos</t>
  </si>
  <si>
    <t xml:space="preserve">      5.21.56.30.59.0305</t>
  </si>
  <si>
    <t>Loteos-Loteo Esquina-Costos Inmueble-Varios-Costo Vta Inmue</t>
  </si>
  <si>
    <t xml:space="preserve">   5.21.75</t>
  </si>
  <si>
    <t>Loteos-Prado del Liber</t>
  </si>
  <si>
    <t xml:space="preserve">    5.21.75.30</t>
  </si>
  <si>
    <t>Loteos-Prado del Liber-Costos Inmueble</t>
  </si>
  <si>
    <t xml:space="preserve">     5.21.75.30.59</t>
  </si>
  <si>
    <t>Loteos-Prado del Liber-Costos Inmueble-Varios</t>
  </si>
  <si>
    <t xml:space="preserve">      5.21.75.30.59.01</t>
  </si>
  <si>
    <t>Loteos-Prado del Libertador-Costos Inmuebles-Varios-Ingresos Brutos</t>
  </si>
  <si>
    <t xml:space="preserve">      5.21.75.30.59.0305</t>
  </si>
  <si>
    <t>Loteos Prado Lib GCI 2-Costo Vta Inmue</t>
  </si>
  <si>
    <t xml:space="preserve">   5.21.76</t>
  </si>
  <si>
    <t xml:space="preserve">    5.21.76.30</t>
  </si>
  <si>
    <t xml:space="preserve">     5.21.76.30.59</t>
  </si>
  <si>
    <t xml:space="preserve">      5.21.76.30.59.0305</t>
  </si>
  <si>
    <t>Loteos Prado Lib-Costo Vta Inmuebles</t>
  </si>
  <si>
    <t xml:space="preserve">   5.21.79</t>
  </si>
  <si>
    <t>Loteos-San Pablo----</t>
  </si>
  <si>
    <t xml:space="preserve">    5.21.79.30</t>
  </si>
  <si>
    <t>Loteos- San Pablo-Costos Inmuebles---</t>
  </si>
  <si>
    <t xml:space="preserve">     5.21.79.30.59</t>
  </si>
  <si>
    <t>Loteos- San Pablo-Costos Inmuebles-Varios--</t>
  </si>
  <si>
    <t xml:space="preserve">      5.21.79.30.59.0070</t>
  </si>
  <si>
    <t>Loteos- San Pablo-Costos Inmuebles-Varios-Gs Escrituras</t>
  </si>
  <si>
    <t xml:space="preserve">      5.21.79.30.59.0071</t>
  </si>
  <si>
    <t>Loteos-San Pablo-Costos Inmuebles-Varios-Certificaciones</t>
  </si>
  <si>
    <t xml:space="preserve">      5.21.79.30.59.0076</t>
  </si>
  <si>
    <t>Loteos-San Pablo-Costos Inmuebles-Varios-Gastos Diversos</t>
  </si>
  <si>
    <t>Egresos-Inmobiliaria-----</t>
  </si>
  <si>
    <t xml:space="preserve">   5.33.08</t>
  </si>
  <si>
    <t xml:space="preserve">    5.33.08.35</t>
  </si>
  <si>
    <t xml:space="preserve">     5.33.08.35.66</t>
  </si>
  <si>
    <t xml:space="preserve">      5.33.08.35.66.0076</t>
  </si>
  <si>
    <t>Inmobiliaria-Monteagudo 740-Alq x cta de 3 -Alq x cta de 3 -Gastos Diversos</t>
  </si>
  <si>
    <t xml:space="preserve">      5.33.08.35.66.0117</t>
  </si>
  <si>
    <t>Inmobiliaria-Monteagudo 740-Alq x cta de 3 -Alq x cta de 3 -TACIS - TEM</t>
  </si>
  <si>
    <t xml:space="preserve">      5.33.08.35.66.0118</t>
  </si>
  <si>
    <t>Inmobiliaria-Monteagudo 740-Alq x cta de 3 -Alq x cta de 3 -Ingresos Brutos</t>
  </si>
  <si>
    <t xml:space="preserve">   5.33.09</t>
  </si>
  <si>
    <t>Egresos-Inmobiliaria-Laprida 401----</t>
  </si>
  <si>
    <t xml:space="preserve">    5.33.09.31</t>
  </si>
  <si>
    <t>Egresos-Inmobiliaria-Laprida 401-Adm. Edific.---</t>
  </si>
  <si>
    <t xml:space="preserve">     5.33.09.31.65</t>
  </si>
  <si>
    <t>Egresos-Inmobiliaria-Laprida 401-Servicios</t>
  </si>
  <si>
    <t xml:space="preserve">      5.33.09.31.65.0001</t>
  </si>
  <si>
    <t>Laprida 401-Adm. Edif..-Gs. Edific.Admi-Materiales</t>
  </si>
  <si>
    <t xml:space="preserve">      5.33.09.31.65.0002</t>
  </si>
  <si>
    <t>Laprida 401-Adm. Edif.-Gs. Edific.Admi-Mano obra Batia</t>
  </si>
  <si>
    <t xml:space="preserve">      5.33.09.31.65.0003</t>
  </si>
  <si>
    <t xml:space="preserve">Laprida 401-Adm. Edif..-Gs. Edific.Admi-Mano obra de 3 </t>
  </si>
  <si>
    <t xml:space="preserve">      5.33.09.31.65.0056</t>
  </si>
  <si>
    <t>Laprida 401-Otros Gs-Servicios-Sueldos y Jornales</t>
  </si>
  <si>
    <t xml:space="preserve">      5.33.09.31.65.0057</t>
  </si>
  <si>
    <t>Laprida 401-Otros Gs-Servicios-Cargas Sociales</t>
  </si>
  <si>
    <t xml:space="preserve">      5.33.09.31.65.0061</t>
  </si>
  <si>
    <t>Laprida 401-Adm. Edif..-Gs. Edific.Admi-Luz</t>
  </si>
  <si>
    <t xml:space="preserve">      5.33.09.31.65.0065</t>
  </si>
  <si>
    <t>Laprida 401-Adm. Edif.-Servicios-Agua</t>
  </si>
  <si>
    <t xml:space="preserve">      5.33.09.31.65.0066</t>
  </si>
  <si>
    <t>Laprida 401-Adm. Edif..-Servicios-Gas</t>
  </si>
  <si>
    <t xml:space="preserve">      5.33.09.31.65.0076</t>
  </si>
  <si>
    <t>Laprida 401-Adm. Edific.-Servicios-Gastos Diversos</t>
  </si>
  <si>
    <t xml:space="preserve">      5.33.09.31.65.0077</t>
  </si>
  <si>
    <t>Laprida 401-Adm. Edif.-Gs. Edific.Admi-DesinfecciÃ³n</t>
  </si>
  <si>
    <t xml:space="preserve">      5.33.09.31.65.0083</t>
  </si>
  <si>
    <t>Laprida 401-Adm. Edif.-Gs. Edific.Admi-Art Limpieza</t>
  </si>
  <si>
    <t xml:space="preserve">      5.33.09.31.65.0124</t>
  </si>
  <si>
    <t>Laprida 401-Adm. Edif.-Gs. Edific.Admi-CISI</t>
  </si>
  <si>
    <t xml:space="preserve">    5.33.09.34</t>
  </si>
  <si>
    <t>Egresos-Inmobiliaria-Laprida 401-Alq.Inmueb.Propio---</t>
  </si>
  <si>
    <t xml:space="preserve">     5.33.09.34.65</t>
  </si>
  <si>
    <t>Egresos-Inmobiliaria-Laprida 401-Alq.Inmueb.Propio-Servicios--</t>
  </si>
  <si>
    <t xml:space="preserve">      5.33.09.34.65.0001</t>
  </si>
  <si>
    <t>Laprida 401-Alq.Inmueb.Prop-Servicios-Materiales</t>
  </si>
  <si>
    <t xml:space="preserve">      5.33.09.34.65.0002</t>
  </si>
  <si>
    <t>Laprida 401-Alq.Inmueb.Prop-Servicios-Mano obra Batia</t>
  </si>
  <si>
    <t xml:space="preserve">      5.33.09.34.65.0003</t>
  </si>
  <si>
    <t xml:space="preserve">Laprida 401-Alq.Inmueb.Prop-Servicios-Mano obra de 3 </t>
  </si>
  <si>
    <t xml:space="preserve">      5.33.09.34.65.0061</t>
  </si>
  <si>
    <t>Laprida 401-Alq.Inmueb.Prop-Servicios-Luz</t>
  </si>
  <si>
    <t xml:space="preserve">      5.33.09.34.65.0065</t>
  </si>
  <si>
    <t>Laprida 401-Alq.Inmueb.Prop-Servicios-Agua</t>
  </si>
  <si>
    <t xml:space="preserve">      5.33.09.34.65.0066</t>
  </si>
  <si>
    <t>Laprida 401-Alq.Inmueb.Prop-Servicios-Gas</t>
  </si>
  <si>
    <t xml:space="preserve">      5.33.09.34.65.0076</t>
  </si>
  <si>
    <t>Laprida 401-Alq.Inmueb.Prop-Servicios-Gastos Diversos</t>
  </si>
  <si>
    <t xml:space="preserve">      5.33.09.34.65.0123</t>
  </si>
  <si>
    <t>Laprida 401-Alq.Inmueb.Propio.-Gs. Edific.Admi-Impuesto Inmobi</t>
  </si>
  <si>
    <t xml:space="preserve">    5.33.09.35</t>
  </si>
  <si>
    <t xml:space="preserve">     5.33.09.35.66</t>
  </si>
  <si>
    <t xml:space="preserve">      5.33.09.35.66.0001</t>
  </si>
  <si>
    <t>Alq x cta de 3 -Lap 401-Materiales</t>
  </si>
  <si>
    <t xml:space="preserve">      5.33.09.35.66.0002</t>
  </si>
  <si>
    <t>Alq x cta de 3 -Lap 401-M. Obra Batia</t>
  </si>
  <si>
    <t xml:space="preserve">      5.33.09.35.66.0003</t>
  </si>
  <si>
    <t xml:space="preserve">Alq x cta de 3 -Lap 401-M. obra de 3 </t>
  </si>
  <si>
    <t xml:space="preserve">      5.33.09.35.66.0056</t>
  </si>
  <si>
    <t>Alq x cta de 3 -Lap 401-Sueldos y Jorna</t>
  </si>
  <si>
    <t xml:space="preserve">      5.33.09.35.66.0057</t>
  </si>
  <si>
    <t>Alq x cta de 3 -Lap 401-Cargas Sociales</t>
  </si>
  <si>
    <t xml:space="preserve">      5.33.09.35.66.0061</t>
  </si>
  <si>
    <t>Alq x cta de 3 -Lap 401-Luz</t>
  </si>
  <si>
    <t xml:space="preserve">      5.33.09.35.66.0065</t>
  </si>
  <si>
    <t>Alq x cta de 3 -Lap 401-Agua</t>
  </si>
  <si>
    <t xml:space="preserve">      5.33.09.35.66.0066</t>
  </si>
  <si>
    <t>Alq x cta de 3 -Lap 401-Gas</t>
  </si>
  <si>
    <t xml:space="preserve">      5.33.09.35.66.0076</t>
  </si>
  <si>
    <t>Alq x cta de 3 -Lap 401-Gs Diversos</t>
  </si>
  <si>
    <t xml:space="preserve">      5.33.09.35.66.0077</t>
  </si>
  <si>
    <t>Alq x cta de 3 -Lap 401-DesinfecciÃ³n</t>
  </si>
  <si>
    <t xml:space="preserve">      5.33.09.35.66.0083</t>
  </si>
  <si>
    <t>Alq x cta de 3 -Lap 401-Art Limpieza</t>
  </si>
  <si>
    <t xml:space="preserve">      5.33.09.35.66.0117</t>
  </si>
  <si>
    <t>Inmobiliaria-Laprida 401-Alq x cta de 3 -Alq x cta de 3 -TACIS - TEM</t>
  </si>
  <si>
    <t xml:space="preserve">      5.33.09.35.66.0118</t>
  </si>
  <si>
    <t>Inmobiliaria-Laprida 401-Alq x cta de 3 -Alq x cta de 3 -Ingresos Brutos</t>
  </si>
  <si>
    <t xml:space="preserve">      5.33.09.35.66.0123</t>
  </si>
  <si>
    <t>Alq x cta de 3 -Lap 401-Impuesto Inmobi</t>
  </si>
  <si>
    <t xml:space="preserve">      5.33.09.35.66.0124</t>
  </si>
  <si>
    <t>Alq x cta de 3 -Lap 401-CISI</t>
  </si>
  <si>
    <t xml:space="preserve">   5.33.10</t>
  </si>
  <si>
    <t>Egresos-Inmobiliaria-MaipÃ  605----</t>
  </si>
  <si>
    <t xml:space="preserve">    5.33.10.31</t>
  </si>
  <si>
    <t>Egresos-Inmobiliaria-MaipÃ  605-Adm. Edific.---</t>
  </si>
  <si>
    <t xml:space="preserve">     5.33.10.31.65</t>
  </si>
  <si>
    <t>Egresos-Inmobiliaria-MaipÃ  605-Adm. Edific.-Servicios--</t>
  </si>
  <si>
    <t xml:space="preserve">      5.33.10.31.65.0001</t>
  </si>
  <si>
    <t>MaipÃ  605-Adm. Edif.-Gs. Edific.Admi-Materiales</t>
  </si>
  <si>
    <t xml:space="preserve">      5.33.10.31.65.0002</t>
  </si>
  <si>
    <t>MaipÃ  605-Adm. Edif..-Gs. Edific.Admi-Mano obra Batia</t>
  </si>
  <si>
    <t xml:space="preserve">      5.33.10.31.65.0003</t>
  </si>
  <si>
    <t xml:space="preserve">MaipÃ  605-Adm. Edif.-Gs. Edific.Admi-Mano obra de 3 </t>
  </si>
  <si>
    <t xml:space="preserve">      5.33.10.31.65.0056</t>
  </si>
  <si>
    <t>MaipÃ  605-Otros Gs-Servicios-Sueldos y Jorna</t>
  </si>
  <si>
    <t xml:space="preserve">      5.33.10.31.65.0057</t>
  </si>
  <si>
    <t>MaipÃ  605-Otros Gs-Servicios-Cargas Sociales</t>
  </si>
  <si>
    <t xml:space="preserve">      5.33.10.31.65.0061</t>
  </si>
  <si>
    <t>MaipÃ  605-Adm. Edif.-Gs. Edific.Admi-Luz</t>
  </si>
  <si>
    <t xml:space="preserve">      5.33.10.31.65.0065</t>
  </si>
  <si>
    <t>MaipÃ  605-Adm. Edif..-Servicios-Agua</t>
  </si>
  <si>
    <t xml:space="preserve">      5.33.10.31.65.0066</t>
  </si>
  <si>
    <t>MaipÃ  605-Adm. Edif..-Servicios-Gas</t>
  </si>
  <si>
    <t xml:space="preserve">      5.33.10.31.65.0076</t>
  </si>
  <si>
    <t>MaipÃ  605-Adm. Edific.-Servicios-Gastos Diversos</t>
  </si>
  <si>
    <t xml:space="preserve">      5.33.10.31.65.0077</t>
  </si>
  <si>
    <t>MaipÃ  605-Adm. Edif..-Gs. Edific.Admi-DesinfecciÃ³n</t>
  </si>
  <si>
    <t xml:space="preserve">      5.33.10.31.65.0083</t>
  </si>
  <si>
    <t>MaipÃ  605-Adm. Edif.-Gs. Edific.Admi-Art Limpieza</t>
  </si>
  <si>
    <t xml:space="preserve">      5.33.10.31.65.0124</t>
  </si>
  <si>
    <t>MaipÃ  605-Adm. Edif..-Gs. Edific.Admi-CISI</t>
  </si>
  <si>
    <t xml:space="preserve">    5.33.10.34</t>
  </si>
  <si>
    <t>Egresos-Inmobiliaria-MaipÃ  605-Alq.Inmueb.Propio---</t>
  </si>
  <si>
    <t xml:space="preserve">     5.33.10.34.65</t>
  </si>
  <si>
    <t>Egresos-Inmobiliaria-MaipÃ  605-Alq.Inmueb.Propio-Servicios--</t>
  </si>
  <si>
    <t xml:space="preserve">      5.33.10.34.65.0001</t>
  </si>
  <si>
    <t>MaipÃ  605-Alq.Inmueb.Prop-Servicios-Materiales</t>
  </si>
  <si>
    <t xml:space="preserve">      5.33.10.34.65.0002</t>
  </si>
  <si>
    <t>MaipÃ  605-Alq.Inmueb.Prop-Servicios-Mano obra Batia</t>
  </si>
  <si>
    <t xml:space="preserve">      5.33.10.34.65.0003</t>
  </si>
  <si>
    <t xml:space="preserve">MaipÃ  605-Alq.Inmueb.Prop-Servicios-Mano obra de 3 </t>
  </si>
  <si>
    <t xml:space="preserve">      5.33.10.34.65.0061</t>
  </si>
  <si>
    <t>MaipÃ  605-Alq.Inmueb.Prop-Servicios-Luz</t>
  </si>
  <si>
    <t xml:space="preserve">      5.33.10.34.65.0065</t>
  </si>
  <si>
    <t>MaipÃ  605-Alq.Inmueb.Prop-Servicios-Agua</t>
  </si>
  <si>
    <t xml:space="preserve">      5.33.10.34.65.0066</t>
  </si>
  <si>
    <t>MaipÃ  605-Alq.Inmueb.Prop-Servicios-Gas</t>
  </si>
  <si>
    <t xml:space="preserve">      5.33.10.34.65.0076</t>
  </si>
  <si>
    <t>MaipÃ  605-Alq.Inmueb.Prop-Servicios-Gastos Diversos</t>
  </si>
  <si>
    <t xml:space="preserve">      5.33.10.34.65.0123</t>
  </si>
  <si>
    <t>MaipÃ  605-LocaciÃ³n y Adm.-Gs. Edific.Admi-Impuesto Inmobi</t>
  </si>
  <si>
    <t xml:space="preserve">    5.33.10.35</t>
  </si>
  <si>
    <t xml:space="preserve">Inmobiliaria-MaipÃ  605-Alq x cta de 3 </t>
  </si>
  <si>
    <t xml:space="preserve">     5.33.10.35.66</t>
  </si>
  <si>
    <t xml:space="preserve">Inmobiliaria-MaipÃ  605-Alq x cta de 3 -Alq x cta de 3 </t>
  </si>
  <si>
    <t xml:space="preserve">      5.33.10.35.66.0001</t>
  </si>
  <si>
    <t>Alq x cta de 3 -MaipÃ  605-Materiales</t>
  </si>
  <si>
    <t xml:space="preserve">      5.33.10.35.66.0002</t>
  </si>
  <si>
    <t>Alq x cta de 3 -MaipÃ  605-M. Obra Batia</t>
  </si>
  <si>
    <t xml:space="preserve">      5.33.10.35.66.0003</t>
  </si>
  <si>
    <t xml:space="preserve">Alq x cta de 3 -MaipÃ  605-M. obra de 3 </t>
  </si>
  <si>
    <t xml:space="preserve">      5.33.10.35.66.0056</t>
  </si>
  <si>
    <t>Alq x cta de 3 -MaipÃ  605-Sueldos y Jorna</t>
  </si>
  <si>
    <t xml:space="preserve">      5.33.10.35.66.0057</t>
  </si>
  <si>
    <t>Alq x cta de 3 -MaipÃ  605-Cargas Sociales</t>
  </si>
  <si>
    <t xml:space="preserve">      5.33.10.35.66.0061</t>
  </si>
  <si>
    <t>Alq x cta de 3 -MaipÃ  605-Luz</t>
  </si>
  <si>
    <t xml:space="preserve">      5.33.10.35.66.0065</t>
  </si>
  <si>
    <t>Alq x cta de 3 -MaipÃ  605-Agua</t>
  </si>
  <si>
    <t xml:space="preserve">      5.33.10.35.66.0066</t>
  </si>
  <si>
    <t>Alq x cta de 3 -MaipÃ  605-Gas</t>
  </si>
  <si>
    <t xml:space="preserve">      5.33.10.35.66.0076</t>
  </si>
  <si>
    <t>Alq x cta de 3 -MaipÃ  605-Gs Diversos</t>
  </si>
  <si>
    <t xml:space="preserve">      5.33.10.35.66.0077</t>
  </si>
  <si>
    <t>Alq x cta de 3 -MaipÃ  605-DesinfecciÃ³n</t>
  </si>
  <si>
    <t xml:space="preserve">      5.33.10.35.66.0083</t>
  </si>
  <si>
    <t>Alq x cta de 3 -MaipÃ  605-Art Limpieza</t>
  </si>
  <si>
    <t xml:space="preserve">      5.33.10.35.66.0117</t>
  </si>
  <si>
    <t>Inmobiliaria-MaipÃ  605-Alq x cta de 3 -Alq x cta de 3 -TACIS - TEM</t>
  </si>
  <si>
    <t xml:space="preserve">      5.33.10.35.66.0118</t>
  </si>
  <si>
    <t>Inmobiliaria-MaipÃ  605-Alq x cta de 3 -Alq x cta de 3 -Ingresos Brutos</t>
  </si>
  <si>
    <t xml:space="preserve">      5.33.10.35.66.0123</t>
  </si>
  <si>
    <t>Alq x cta de 3 -MaipÃ  605-Impuesto Inmobi</t>
  </si>
  <si>
    <t xml:space="preserve">      5.33.10.35.66.0124</t>
  </si>
  <si>
    <t>Alq x cta de 3 -MaipÃ  605-CISI</t>
  </si>
  <si>
    <t xml:space="preserve">   5.33.14</t>
  </si>
  <si>
    <t xml:space="preserve">    5.33.14.35</t>
  </si>
  <si>
    <t xml:space="preserve">Inmobiliaria-Balcarce 373-Alq x cta de 3 </t>
  </si>
  <si>
    <t xml:space="preserve">     5.33.14.35.66</t>
  </si>
  <si>
    <t xml:space="preserve">Inmobiliaria-Balcarce 373-Alq x cta de 3 -Alq x cta de 3 </t>
  </si>
  <si>
    <t xml:space="preserve">      5.33.14.35.66.0076</t>
  </si>
  <si>
    <t>Inmobiliaria-Balcarce 373-Alq x cta de 3 -Alq x cta de 3 -Gastos Diversos</t>
  </si>
  <si>
    <t xml:space="preserve">      5.33.14.35.66.0117</t>
  </si>
  <si>
    <t>Inmobiliaria-Balcarce 373-Alq x cta de 3 -Alq x cta de 3 -TACIS - TEM</t>
  </si>
  <si>
    <t xml:space="preserve">      5.33.14.35.66.0118</t>
  </si>
  <si>
    <t>Inmobiliaria-Balcarce 373-Alq x cta de 3 -Alq x cta de 3 -Ingresos Brutos</t>
  </si>
  <si>
    <t xml:space="preserve">   5.33.15</t>
  </si>
  <si>
    <t xml:space="preserve">    5.33.15.35</t>
  </si>
  <si>
    <t xml:space="preserve">     5.33.15.35.66</t>
  </si>
  <si>
    <t xml:space="preserve">      5.33.15.35.66.0001</t>
  </si>
  <si>
    <t>Inmobiliaria-Laprida 416-Alq x cta de 3 -Alq x cta de 3 -Materiales</t>
  </si>
  <si>
    <t xml:space="preserve">      5.33.15.35.66.0002</t>
  </si>
  <si>
    <t>Inmobiliaria-Laprida 416-Alq x cta de 3 -Alq x cta de 3 -Mano obra Batia</t>
  </si>
  <si>
    <t xml:space="preserve">      5.33.15.35.66.0003</t>
  </si>
  <si>
    <t xml:space="preserve">Inmobiliaria-Laprida 416-Alq x cta de 3 -Alq x cta de 3 -Mano obra de 3 </t>
  </si>
  <si>
    <t xml:space="preserve">      5.33.15.35.66.0056</t>
  </si>
  <si>
    <t>Inmobiliaria-Laprida 416-Alq x cta de 3 -Alq x cta de 3 -Sueldos y Jorna</t>
  </si>
  <si>
    <t xml:space="preserve">      5.33.15.35.66.0057</t>
  </si>
  <si>
    <t>Inmobiliaria-Laprida 416-Alq x cta de 3 -Alq x cta de 3 -Cargas Sociales</t>
  </si>
  <si>
    <t xml:space="preserve">      5.33.15.35.66.0061</t>
  </si>
  <si>
    <t>Inmobiliaria-Laprida 416-Alq x cta de 3 -Alq x cta de 3 -Luz</t>
  </si>
  <si>
    <t xml:space="preserve">      5.33.15.35.66.0065</t>
  </si>
  <si>
    <t>Inmobiliaria-Laprida 416-Alq x cta de 3 -Alq x cta de 3 -Agua</t>
  </si>
  <si>
    <t xml:space="preserve">      5.33.15.35.66.0066</t>
  </si>
  <si>
    <t>Inmobiliaria-Laprida 416-Alq x cta de 3 -Alq x cta de 3 -Gas</t>
  </si>
  <si>
    <t xml:space="preserve">      5.33.15.35.66.0076</t>
  </si>
  <si>
    <t>Inmobiliaria-Laprida 416-Alq x cta de 3 -Alq x cta de 3 -Gastos Diversos</t>
  </si>
  <si>
    <t xml:space="preserve">      5.33.15.35.66.0077</t>
  </si>
  <si>
    <t>Inmobiliaria-Laprida 416-Alq x cta de 3 -Alq x cta de 3 -DesinfecciÃ³n</t>
  </si>
  <si>
    <t xml:space="preserve">      5.33.15.35.66.0083</t>
  </si>
  <si>
    <t>Inmobiliaria-Laprida 416-Alq x cta de 3 -Alq x cta de 3 -Art Limpieza</t>
  </si>
  <si>
    <t xml:space="preserve">      5.33.15.35.66.0084</t>
  </si>
  <si>
    <t>Inmobiliaria-Laprida 416-Alq x cta de 3 -Alq x cta de 3 -Gs Seguridad</t>
  </si>
  <si>
    <t xml:space="preserve">      5.33.15.35.66.0117</t>
  </si>
  <si>
    <t>Inmobiliaria-Laprida 416-Alq x cta de 3 -Alq x cta de 3 -TACIS - TEM</t>
  </si>
  <si>
    <t xml:space="preserve">      5.33.15.35.66.0118</t>
  </si>
  <si>
    <t>Inmobiliaria-Laprida 416-Alq x cta de 3 -Alq x cta de 3 -Ingresos Brutos</t>
  </si>
  <si>
    <t xml:space="preserve">      5.33.15.35.66.0123</t>
  </si>
  <si>
    <t>Inmobiliaria-Laprida 416-Alq x cta de 3 -Alq x cta de 3 -Impuesto Inmobi</t>
  </si>
  <si>
    <t xml:space="preserve">      5.33.15.35.66.0124</t>
  </si>
  <si>
    <t>Inmobiliaria-Laprida 416-Alq x cta de 3 -Alq x cta de 3 -CISI</t>
  </si>
  <si>
    <t xml:space="preserve">   5.33.33</t>
  </si>
  <si>
    <t>Inmobiliaria-Comitentes</t>
  </si>
  <si>
    <t xml:space="preserve">    5.33.33.33</t>
  </si>
  <si>
    <t>Inmobiliaria-Comitentes-Act.Inmobiliari</t>
  </si>
  <si>
    <t xml:space="preserve">     5.33.33.33.64</t>
  </si>
  <si>
    <t xml:space="preserve">Inmobiliaria-Comitentes-Act.Inmobiliari-Costos Produc. </t>
  </si>
  <si>
    <t xml:space="preserve">      5.33.33.33.64.0305</t>
  </si>
  <si>
    <t>Inmobiliaria-Comitentes-Act.Inmobiliari-Costos Produc. -Costo Vta Inmue</t>
  </si>
  <si>
    <t xml:space="preserve">   5.33.38</t>
  </si>
  <si>
    <t xml:space="preserve">    5.33.38.35</t>
  </si>
  <si>
    <t xml:space="preserve">     5.33.38.35.66</t>
  </si>
  <si>
    <t xml:space="preserve">      5.33.38.35.66.0001</t>
  </si>
  <si>
    <t>Inmobiliaria-San Lorenzo 515-Alq x cta de 3 -Alq x cta de 3 -Materiales</t>
  </si>
  <si>
    <t xml:space="preserve">      5.33.38.35.66.0002</t>
  </si>
  <si>
    <t>Inmobiliaria-San Lorenzo 515-Alq x cta de 3 -Alq x cta de 3 -Mano obra Batia</t>
  </si>
  <si>
    <t xml:space="preserve">      5.33.38.35.66.0003</t>
  </si>
  <si>
    <t xml:space="preserve">Inmobiliaria-San Lorenzo 515-Alq x cta de 3 -Alq x cta de 3 -Mano obra de 3 </t>
  </si>
  <si>
    <t xml:space="preserve">      5.33.38.35.66.0056</t>
  </si>
  <si>
    <t>Inmobiliaria-San Lorenzo 515-Alq x cta de 3 -Alq x cta de 3 -Sueldos y Jorna</t>
  </si>
  <si>
    <t xml:space="preserve">      5.33.38.35.66.0057</t>
  </si>
  <si>
    <t>Inmobiliaria-San Lorenzo 515-Alq x cta de 3 -Alq x cta de 3 -Cargas Sociales</t>
  </si>
  <si>
    <t xml:space="preserve">      5.33.38.35.66.0061</t>
  </si>
  <si>
    <t>Inmobiliaria-San Lorenzo 515-Alq x cta de 3 -Alq x cta de 3 -Luz</t>
  </si>
  <si>
    <t xml:space="preserve">      5.33.38.35.66.0065</t>
  </si>
  <si>
    <t>Inmobiliaria-San Lorenzo 515-Alq x cta de 3 -Alq x cta de 3 -Agua</t>
  </si>
  <si>
    <t xml:space="preserve">      5.33.38.35.66.0066</t>
  </si>
  <si>
    <t>Inmobiliaria-San Lorenzo 515-Alq x cta de 3 -Alq x cta de 3 -Gas</t>
  </si>
  <si>
    <t xml:space="preserve">      5.33.38.35.66.0076</t>
  </si>
  <si>
    <t>Inmobiliaria-San Lorenzo 515-Alq x cta de 3 -Alq x cta de 3 -Gastos Diversos</t>
  </si>
  <si>
    <t xml:space="preserve">      5.33.38.35.66.0077</t>
  </si>
  <si>
    <t>Inmobiliaria-San Lorenzo 515-Alq x cta de 3 -Alq x cta de 3 -DesinfecciÃ³n</t>
  </si>
  <si>
    <t xml:space="preserve">      5.33.38.35.66.0083</t>
  </si>
  <si>
    <t>Inmobiliaria-San Lorenzo 515-Alq x cta de 3 -Alq x cta de 3 -Art Limpieza</t>
  </si>
  <si>
    <t xml:space="preserve">      5.33.38.35.66.0084</t>
  </si>
  <si>
    <t>Inmobiliaria-S.Lzo.515-Alq x cta de 3 -Alq x cta de 3 -Gs Seguridad</t>
  </si>
  <si>
    <t xml:space="preserve">      5.33.38.35.66.0117</t>
  </si>
  <si>
    <t>Inmobiliaria-San Lorenzo 515-Alq x cta de 3 -Alq x cta de 3 -TACIS - TEM</t>
  </si>
  <si>
    <t xml:space="preserve">      5.33.38.35.66.0118</t>
  </si>
  <si>
    <t>Inmobiliaria-San Lorenzo 515-Alq x cta de 3 -Alq x cta de 3 -Ingresos Brutos</t>
  </si>
  <si>
    <t xml:space="preserve">      5.33.38.35.66.0123</t>
  </si>
  <si>
    <t>Inmobiliaria-San Lorenzo 515-Alq x cta de 3 -Alq x cta de 3 -Impuesto Inmobi</t>
  </si>
  <si>
    <t xml:space="preserve">      5.33.38.35.66.0124</t>
  </si>
  <si>
    <t>Inmobiliaria-San Lorenzo 515-Alq x cta de 3 -Alq x cta de 3 -CISI</t>
  </si>
  <si>
    <t xml:space="preserve">   5.33.81</t>
  </si>
  <si>
    <t xml:space="preserve">    5.33.81.33</t>
  </si>
  <si>
    <t>Inmobiliaria-Otros-Act.Inmobiliari</t>
  </si>
  <si>
    <t xml:space="preserve">     5.33.81.33.03</t>
  </si>
  <si>
    <t>Inmobiliaria-Otros-Act.Inmobiliari-Movilidad y Fle</t>
  </si>
  <si>
    <t xml:space="preserve">      5.33.81.33.03.0068</t>
  </si>
  <si>
    <t xml:space="preserve">Inmobiliaria-Otros-Act.Inmobiliari-Movilidad y Fle-Movilidad y Gs </t>
  </si>
  <si>
    <t xml:space="preserve">     5.33.81.33.59</t>
  </si>
  <si>
    <t>Inmobiliaria-Otros-Act.Inmobiliari-Varios</t>
  </si>
  <si>
    <t xml:space="preserve">      5.33.81.33.59.0056</t>
  </si>
  <si>
    <t>Inmobiliaria-Otros-Act.Inmobiliari-Varios-Sueldos y Jorna</t>
  </si>
  <si>
    <t xml:space="preserve">      5.33.81.33.59.0057</t>
  </si>
  <si>
    <t>Inmobiliaria-Otros-Act.Inmobiliari-Varios-Cargas Sociales</t>
  </si>
  <si>
    <t xml:space="preserve">      5.33.81.33.59.0076</t>
  </si>
  <si>
    <t>Inmobiliaria-Otros-Act.Inmobiliari-Varios-Gastos Diversos</t>
  </si>
  <si>
    <t xml:space="preserve">      5.33.81.33.59.0097</t>
  </si>
  <si>
    <t>Inmobiliaria-Otros-Act.Inmobiliaria-Varios-Vacaciones-</t>
  </si>
  <si>
    <t xml:space="preserve">      5.33.81.33.59.0098</t>
  </si>
  <si>
    <t>Inmobiliaria-Otros-Act.Inmobiliari-Varios-Aguinaldo</t>
  </si>
  <si>
    <t xml:space="preserve">   5.40.81</t>
  </si>
  <si>
    <t xml:space="preserve">    5.40.81.82</t>
  </si>
  <si>
    <t>DroguerÃ­a-Otros-Otros Gastos</t>
  </si>
  <si>
    <t xml:space="preserve">     5.40.81.82.64</t>
  </si>
  <si>
    <t xml:space="preserve">DroguerÃ­a-Otros-Otros Gastos-Costos Produc. </t>
  </si>
  <si>
    <t xml:space="preserve">      5.40.81.82.64.0355</t>
  </si>
  <si>
    <t>DroguerÃ­a-Otros-Otros Gastos-Costo Merc Vendida</t>
  </si>
  <si>
    <t xml:space="preserve">     5.40.81.82.85</t>
  </si>
  <si>
    <t>DroguerÃ­a-Otros-Otros Gastos-Gtos comerciali</t>
  </si>
  <si>
    <t xml:space="preserve">      5.40.81.82.85.0089</t>
  </si>
  <si>
    <t>DroguerÃ­a-Otros-Otros Gastos-Gtos comerciali-Comisiones</t>
  </si>
  <si>
    <t xml:space="preserve">      5.40.81.82.85.0090</t>
  </si>
  <si>
    <t>DroguerÃ­a-Otros-Otros Gastos-Gtos comerciali-Retenc S/Ventas</t>
  </si>
  <si>
    <t xml:space="preserve">      5.40.81.82.85.0091</t>
  </si>
  <si>
    <t>DroguerÃ­a-Otros-Otros Gastos-Gtos comerciali-Publ y Propagan</t>
  </si>
  <si>
    <t xml:space="preserve">      5.40.81.82.85.0092</t>
  </si>
  <si>
    <t>DroguerÃ­a-Otros-Otros Gastos-Gtos comerciali-Gs de Represent</t>
  </si>
  <si>
    <t xml:space="preserve">      5.40.81.82.85.0094</t>
  </si>
  <si>
    <t>DroguerÃ­a-Otros-Otros Gastos-Gtos comerciali-Incobrables</t>
  </si>
  <si>
    <t xml:space="preserve">     5.40.81.82.86</t>
  </si>
  <si>
    <t>DroguerÃ­a-Otros-Otros Gastos-Gtos administra</t>
  </si>
  <si>
    <t xml:space="preserve">      5.40.81.82.86.0056</t>
  </si>
  <si>
    <t>Egresos-Drogueria-Otros Gastos-Gtos administraciÃ³n-Sueldos y Jornales-</t>
  </si>
  <si>
    <t xml:space="preserve">      5.40.81.82.86.0057</t>
  </si>
  <si>
    <t>Egresos-DroguerÃ­a-Otros-Otros Gastos-Gtos administraciÃ³n-Cargas Sociales-</t>
  </si>
  <si>
    <t xml:space="preserve">      5.40.81.82.86.0061</t>
  </si>
  <si>
    <t>DroguerÃ­a-Otros-Otros Gastos-Gtos administra-Luz</t>
  </si>
  <si>
    <t xml:space="preserve">      5.40.81.82.86.0062</t>
  </si>
  <si>
    <t>DroguerÃ­a-Otros-Otros Gastos-Gtos administra-Telefono</t>
  </si>
  <si>
    <t xml:space="preserve">      5.40.81.82.86.0063</t>
  </si>
  <si>
    <t>DroguerÃ­a-Otros-Otros Gastos-Gtos administra-Celulares</t>
  </si>
  <si>
    <t xml:space="preserve">      5.40.81.82.86.0064</t>
  </si>
  <si>
    <t>DroguerÃ­a-Otros-Otros Gastos-Gtos administra-Internet</t>
  </si>
  <si>
    <t xml:space="preserve">      5.40.81.82.86.0065</t>
  </si>
  <si>
    <t>DroguerÃ­a-Otros-Otros Gastos-Gtos administra-Agua</t>
  </si>
  <si>
    <t xml:space="preserve">      5.40.81.82.86.0066</t>
  </si>
  <si>
    <t>DroguerÃ­a-Otros-Otros Gastos-Gtos administra-Gas</t>
  </si>
  <si>
    <t xml:space="preserve">      5.40.81.82.86.0067</t>
  </si>
  <si>
    <t>DroguerÃ­a-Otros-Otros Gastos-Gtos administra-Impresos y Util</t>
  </si>
  <si>
    <t xml:space="preserve">      5.40.81.82.86.0068</t>
  </si>
  <si>
    <t xml:space="preserve">DroguerÃ­a-Otros-Otros Gastos-Gtos administra-Movilidad y Gs </t>
  </si>
  <si>
    <t xml:space="preserve">      5.40.81.82.86.0069</t>
  </si>
  <si>
    <t>DroguerÃ­a-Otros-Otros Gastos-Gtos administra-Seguros</t>
  </si>
  <si>
    <t xml:space="preserve">      5.40.81.82.86.0070</t>
  </si>
  <si>
    <t>DroguerÃ­a-Otros-Otros Gastos-Gtos administra-Gs Escrituras</t>
  </si>
  <si>
    <t xml:space="preserve">      5.40.81.82.86.0071</t>
  </si>
  <si>
    <t>DroguerÃ­a-Otros-Otros Gastos-Gtos administra-Certificaciones</t>
  </si>
  <si>
    <t xml:space="preserve">      5.40.81.82.86.0072</t>
  </si>
  <si>
    <t>DroguerÃ­a-Otros-Otros Gastos-Gtos administra-Honorarios Lega</t>
  </si>
  <si>
    <t xml:space="preserve">      5.40.81.82.86.0073</t>
  </si>
  <si>
    <t>DroguerÃ­a-Otros-Otros Gastos-Gtos administra-Honorarios Soci</t>
  </si>
  <si>
    <t xml:space="preserve">      5.40.81.82.86.0074</t>
  </si>
  <si>
    <t>DroguerÃ­a-Otros-Otros Gastos-Gtos administra-Honorarios Cont</t>
  </si>
  <si>
    <t xml:space="preserve">      5.40.81.82.86.0075</t>
  </si>
  <si>
    <t>DroguerÃ­a-Otros-Otros Gastos-Gtos administra-Honorarios</t>
  </si>
  <si>
    <t xml:space="preserve">      5.40.81.82.86.0076</t>
  </si>
  <si>
    <t>DroguerÃ­a-Otros-Otros Gastos-Gtos administra-Gastos Diversos</t>
  </si>
  <si>
    <t xml:space="preserve">      5.40.81.82.86.0077</t>
  </si>
  <si>
    <t>DroguerÃ­a-Otros-Otros Gastos-Gtos administra-DesinfecciÃ³n</t>
  </si>
  <si>
    <t xml:space="preserve">      5.40.81.82.86.0078</t>
  </si>
  <si>
    <t>DroguerÃ­a-Otros-Otros Gastos-Gtos administra-Combustibles</t>
  </si>
  <si>
    <t xml:space="preserve">      5.40.81.82.86.0080</t>
  </si>
  <si>
    <t>DroguerÃ­a-Otros-Otros Gastos-Gtos administra-Correspondencia</t>
  </si>
  <si>
    <t xml:space="preserve">      5.40.81.82.86.0081</t>
  </si>
  <si>
    <t>DroguerÃ­a-Otros-Otros Gastos-Gtos administra-Capacitacion</t>
  </si>
  <si>
    <t xml:space="preserve">      5.40.81.82.86.0082</t>
  </si>
  <si>
    <t>DroguerÃ­a-Otros-Otros Gastos-Gtos administra-Gs. Cafeteria R</t>
  </si>
  <si>
    <t xml:space="preserve">      5.40.81.82.86.0083</t>
  </si>
  <si>
    <t>DroguerÃ­a-Otros-Otros Gastos-Gtos administra-Art Limpieza</t>
  </si>
  <si>
    <t xml:space="preserve">      5.40.81.82.86.0084</t>
  </si>
  <si>
    <t xml:space="preserve">DroguerÃ­a-Otros-Otros Gastos-Gtos administra-Gs Seguridad y </t>
  </si>
  <si>
    <t xml:space="preserve">      5.40.81.82.86.0085</t>
  </si>
  <si>
    <t>DroguerÃ­a-Otros-Otros Gastos-Gtos administra-Expensas</t>
  </si>
  <si>
    <t xml:space="preserve">      5.40.81.82.86.0087</t>
  </si>
  <si>
    <t>DroguerÃ­a-Otros-Otros Gastos-Gtos administra-Gs Computacion</t>
  </si>
  <si>
    <t xml:space="preserve">      5.40.81.82.86.0088</t>
  </si>
  <si>
    <t>DroguerÃ­a-Otros-Otros Gastos-Gtos administra-Alquileres</t>
  </si>
  <si>
    <t xml:space="preserve">     5.40.81.82.87</t>
  </si>
  <si>
    <t>DroguerÃ­a-Otros-Otros Gastos-Gtos financiero</t>
  </si>
  <si>
    <t xml:space="preserve">      5.40.81.82.87.0103</t>
  </si>
  <si>
    <t>DroguerÃ­a-Otros-Otros Gastos-Gtos financiero-Intereses p/ Fi</t>
  </si>
  <si>
    <t xml:space="preserve">      5.40.81.82.87.0104</t>
  </si>
  <si>
    <t>DroguerÃ­a-Otros-Otros Gastos-Gtos financiero-Gs bancarios</t>
  </si>
  <si>
    <t xml:space="preserve">      5.40.81.82.87.0105</t>
  </si>
  <si>
    <t>DroguerÃ­a-Otros-Otros Gastos-Gtos financiero-Imp Deb y Creds</t>
  </si>
  <si>
    <t xml:space="preserve">      5.40.81.82.87.0106</t>
  </si>
  <si>
    <t>DroguerÃ­a-Otros-Otros Gastos-Gtos financiero-Dif de Cotizaci</t>
  </si>
  <si>
    <t xml:space="preserve">      5.40.81.82.87.0107</t>
  </si>
  <si>
    <t>DroguerÃ­a-Otros-Otros Gastos-Gtos financiero-Int Comerciales</t>
  </si>
  <si>
    <t xml:space="preserve">      5.40.81.82.87.0108</t>
  </si>
  <si>
    <t>DroguerÃ­a-Otros-Otros Gastos-Gtos financiero-Int y Multas Im</t>
  </si>
  <si>
    <t xml:space="preserve">     5.40.81.82.89</t>
  </si>
  <si>
    <t>DroguerÃ­a-Otros-Otros Gastos-Impuestos y tas</t>
  </si>
  <si>
    <t xml:space="preserve">      5.40.81.82.89.0117</t>
  </si>
  <si>
    <t>DroguerÃ­a-Otros-Otros Gastos-Impuestos y tas-TACIS - TEM</t>
  </si>
  <si>
    <t xml:space="preserve">      5.40.81.82.89.0118</t>
  </si>
  <si>
    <t>DroguerÃ­a-Otros-Otros Gastos-Impuestos y tas-Ingresos Brutos</t>
  </si>
  <si>
    <t xml:space="preserve">      5.40.81.82.89.0119</t>
  </si>
  <si>
    <t>DroguerÃ­a-Otros-Otros Gastos-Impuestos y tas-Imp. a las Gana</t>
  </si>
  <si>
    <t xml:space="preserve">      5.40.81.82.89.0123</t>
  </si>
  <si>
    <t>DroguerÃ­a-Otros-Otros Gastos-Impuestos y tas-Impuesto Inmobi</t>
  </si>
  <si>
    <t xml:space="preserve">      5.40.81.82.89.0124</t>
  </si>
  <si>
    <t>DroguerÃ­a-Otros-Otros Gastos-Impuestos y tas-CISI</t>
  </si>
  <si>
    <t xml:space="preserve">      5.40.81.82.89.0126</t>
  </si>
  <si>
    <t>DroguerÃ­a-Otros-Otros Gastos-Impuestos y tas-Otros Imp y Tas</t>
  </si>
  <si>
    <t xml:space="preserve">      5.40.81.82.89.0127</t>
  </si>
  <si>
    <t>DroguerÃ­a-Otros-Otros Gastos-Impuestos y tas-Imp. Bs Persona</t>
  </si>
  <si>
    <t xml:space="preserve">      5.40.81.82.89.0128</t>
  </si>
  <si>
    <t>DroguerÃ­a-Otros-Otros Gastos-Impuestos y tas-Patentes Rodado</t>
  </si>
  <si>
    <t xml:space="preserve">     5.40.81.82.99</t>
  </si>
  <si>
    <t>DroguerÃ­a-Otros-Otros Gastos-Gs Operativos D</t>
  </si>
  <si>
    <t xml:space="preserve">      5.40.81.82.99.0002</t>
  </si>
  <si>
    <t>DroguerÃ­a-Otros-Otros Gastos-Gs Operativos D-Mano obra Batia</t>
  </si>
  <si>
    <t xml:space="preserve">      5.40.81.82.99.0003</t>
  </si>
  <si>
    <t xml:space="preserve">DroguerÃ­a-Otros-Otros Gastos-Gs Operativos D-Mano obra de 3 </t>
  </si>
  <si>
    <t xml:space="preserve">      5.40.81.82.99.0048</t>
  </si>
  <si>
    <t xml:space="preserve">DroguerÃ­a-Otros-Otros Gastos-Gs Operativos D-Rep Mant Otros </t>
  </si>
  <si>
    <t xml:space="preserve">      5.40.81.82.99.0099</t>
  </si>
  <si>
    <t>DroguerÃ­a-Otros-Otros Gastos-Gs Operativos D-Honor. Tecnicos</t>
  </si>
  <si>
    <t>Egresos-ExplotaciÃ³n CaÃ±a-----</t>
  </si>
  <si>
    <t xml:space="preserve">   5.51.01</t>
  </si>
  <si>
    <t>ExplotaciÃ³n CaÃ±-Fideicomisos</t>
  </si>
  <si>
    <t xml:space="preserve">    5.51.01.53</t>
  </si>
  <si>
    <t>ExplotaciÃ³n CaÃ±-Fideicomisos-Insumos</t>
  </si>
  <si>
    <t xml:space="preserve">     5.51.01.53.71</t>
  </si>
  <si>
    <t>ExplotaciÃ³n CaÃ±-Fideicomisos-Insumos-Cultivo</t>
  </si>
  <si>
    <t xml:space="preserve">      5.51.01.53.71.0034</t>
  </si>
  <si>
    <t>ExplotaciÃ³n CaÃ±-Fideicomisos-Insumos-Cultivo-Fertilizantes</t>
  </si>
  <si>
    <t xml:space="preserve">   5.51.71</t>
  </si>
  <si>
    <t>Egresos-ExplotaciÃ³n CaÃ±a-Finca Eucalipto----</t>
  </si>
  <si>
    <t xml:space="preserve">    5.51.71.51</t>
  </si>
  <si>
    <t>Egresos-ExplotaciÃ³n CaÃ±a-Finca Eucalipto-Gs.Explot. AgrÃ­cola---</t>
  </si>
  <si>
    <t xml:space="preserve">     5.51.71.51.64</t>
  </si>
  <si>
    <t xml:space="preserve">ExplotaciÃ³n CaÃ±-Finca Eucalipto-Gs.Explot. AgrÃ­-Costos Produc. </t>
  </si>
  <si>
    <t xml:space="preserve">      5.51.71.51.64.0039</t>
  </si>
  <si>
    <t>Fca Eucalipto-Gs.Explot.-C. Produc. -Costo Produccion Azucar</t>
  </si>
  <si>
    <t xml:space="preserve">      5.51.71.51.64.0040</t>
  </si>
  <si>
    <t>Finca Eucalipto-Gs.Explot.-C. Produc. -Costo Azucar Vendida</t>
  </si>
  <si>
    <t xml:space="preserve">      5.51.71.51.64.0041</t>
  </si>
  <si>
    <t>Finca Eucalipto-Gs.Explot.-C. Produc. -Costo IndustrializaciÃ³n</t>
  </si>
  <si>
    <t xml:space="preserve">      5.51.71.51.64.0042</t>
  </si>
  <si>
    <t>Fca Eucalipto-Gs.Explot.-C. Produc. -Costo Produc. CaÃ±a</t>
  </si>
  <si>
    <t xml:space="preserve">      5.51.71.51.64.0043</t>
  </si>
  <si>
    <t>Fca Eucalipto-Gs.Explot.-C. Produc. -Costo Vta CaÃ±a</t>
  </si>
  <si>
    <t xml:space="preserve">     5.51.71.51.77</t>
  </si>
  <si>
    <t>Egresos-ExplotaciÃ³n CaÃ±a-Finca Eucalipto-Gs.Explot. AgrÃ­cola-Vs. ExplotaciÃ³n--</t>
  </si>
  <si>
    <t xml:space="preserve">      5.51.71.51.77.0002</t>
  </si>
  <si>
    <t>Fca Eucalipto-Gs Explot -Mano obra Batia</t>
  </si>
  <si>
    <t xml:space="preserve">      5.51.71.51.77.0007</t>
  </si>
  <si>
    <t>Finca Eucalipto-Gs.Explot.-Fletes</t>
  </si>
  <si>
    <t xml:space="preserve">      5.51.71.51.77.0013</t>
  </si>
  <si>
    <t>Fca Eucalipto-Gs.Explot. CaÃ±a-Prep.Suelos</t>
  </si>
  <si>
    <t xml:space="preserve">      5.51.71.51.77.0015</t>
  </si>
  <si>
    <t>ExplotaciÃ³n CaÃ±-Finca Eucalipto-Gs.Explot. AgrÃ­-Vs. ExplotaciÃ³n-Subsolado</t>
  </si>
  <si>
    <t xml:space="preserve">      5.51.71.51.77.0017</t>
  </si>
  <si>
    <t>ExplotaciÃ³n CaÃ±-Finca Eucalipto-Gs.Explot. AgrÃ­-Vs. ExplotaciÃ³n-Surcado y Tapad</t>
  </si>
  <si>
    <t xml:space="preserve">      5.51.71.51.77.0019</t>
  </si>
  <si>
    <t>ExplotaciÃ³n CaÃ±-Finca Eucalipto-Gs.Explot. AgrÃ­-Vs. ExplotaciÃ³n-Semillado</t>
  </si>
  <si>
    <t xml:space="preserve">      5.51.71.51.77.0022</t>
  </si>
  <si>
    <t>ExplotaciÃ³n CaÃ±-Finca Eucalipto-Gs.Explot. AgrÃ­-Vs. ExplotaciÃ³n-Cultivo y Ferti</t>
  </si>
  <si>
    <t xml:space="preserve">      5.51.71.51.77.0033</t>
  </si>
  <si>
    <t>Finca Eucalipto-Gs.Explot.-Cosecha Manual</t>
  </si>
  <si>
    <t xml:space="preserve">      5.51.71.51.77.0034</t>
  </si>
  <si>
    <t>Finca Eucalipto-Gs.Explot.-Fertilizantes</t>
  </si>
  <si>
    <t xml:space="preserve">      5.51.71.51.77.0035</t>
  </si>
  <si>
    <t>Finca Eucalipto-Gs.Explot.-Herbicidas</t>
  </si>
  <si>
    <t xml:space="preserve">      5.51.71.51.77.0047</t>
  </si>
  <si>
    <t>Fca Eucalipto-Gs Explot CaÃ±a-Varios explotac-Rep Mant Bs Uso</t>
  </si>
  <si>
    <t xml:space="preserve">      5.51.71.51.77.0048</t>
  </si>
  <si>
    <t>Fca Eucalipto-Gs Explot CaÃ±a-Varios explotac-Rep Mant Otros</t>
  </si>
  <si>
    <t xml:space="preserve">      5.51.71.51.77.0050</t>
  </si>
  <si>
    <t>ExplotaciÃ³n CaÃ±-Finca Eucalipto-Gs.Explot. AgrÃ­-Vs. ExplotaciÃ³n-Arriendos pagad</t>
  </si>
  <si>
    <t xml:space="preserve">      5.51.71.51.77.0056</t>
  </si>
  <si>
    <t>Fca Eucalipto-Gs Explot CaÃ±a-Varios explotac-Sueldos y Jorna</t>
  </si>
  <si>
    <t xml:space="preserve">      5.51.71.51.77.0057</t>
  </si>
  <si>
    <t>Fca Eucalipto-Gs Explot CaÃ±a-Varios explotac-Cargas Sociales</t>
  </si>
  <si>
    <t xml:space="preserve">      5.51.71.51.77.0059</t>
  </si>
  <si>
    <t>Fca Eucalipto-Gs Explot CaÃ±a-Varios explotac-Indemnizaciones</t>
  </si>
  <si>
    <t xml:space="preserve">      5.51.71.51.77.0060</t>
  </si>
  <si>
    <t>Fca Eucalipto-Gs Explot CaÃ±a-Varios explotac-Uniformes Perso</t>
  </si>
  <si>
    <t xml:space="preserve">      5.51.71.51.77.0061</t>
  </si>
  <si>
    <t>Fca Eucalipto-Gs Explot CaÃ±a-Varios explotac-Luz</t>
  </si>
  <si>
    <t xml:space="preserve">      5.51.71.51.77.0068</t>
  </si>
  <si>
    <t>Fca Eucalipto-Gs Explot CaÃ±a-Varios explotac-Movilidad y Gas</t>
  </si>
  <si>
    <t xml:space="preserve">      5.51.71.51.77.0069</t>
  </si>
  <si>
    <t>Fca Eucalipto-GsExplot CaÃ±a-Varios explotac-Seguros</t>
  </si>
  <si>
    <t xml:space="preserve">      5.51.71.51.77.0075</t>
  </si>
  <si>
    <t>Fca Eucalipto-Gs Explot CaÃ±a-Varios explotac-Honorarios</t>
  </si>
  <si>
    <t xml:space="preserve">      5.51.71.51.77.0076</t>
  </si>
  <si>
    <t>Finca Eucalipto-Gs.Explot.-Gastos Diversos</t>
  </si>
  <si>
    <t xml:space="preserve">      5.51.71.51.77.0078</t>
  </si>
  <si>
    <t>Fca Eucalipto-Gs Explot CaÃ±a-Varios explotac-Combustibles</t>
  </si>
  <si>
    <t xml:space="preserve">      5.51.71.51.77.0079</t>
  </si>
  <si>
    <t>Fca Eucalipto-Gs Explot CaÃ±a-Varios explotac-Rep/Mant Rodados</t>
  </si>
  <si>
    <t xml:space="preserve">      5.51.71.51.77.0121</t>
  </si>
  <si>
    <t>Fca Eucalipto-Gs Explot CaÃ±a-Varios explotac-Tasa Uso de Agu</t>
  </si>
  <si>
    <t xml:space="preserve">      5.51.71.51.77.0122</t>
  </si>
  <si>
    <t>Fca Eucalipto-Gs Explot CaÃ±a-Varios explotac-Imp al Riego</t>
  </si>
  <si>
    <t xml:space="preserve">      5.51.71.51.77.0123</t>
  </si>
  <si>
    <t>Fca Eucalipto-Gs Explot CaÃ±a-Varios explotac-Imp Inmobiliario</t>
  </si>
  <si>
    <t xml:space="preserve">      5.51.71.51.77.0125</t>
  </si>
  <si>
    <t>Fca Eucalipto-Gs Explot CaÃ±a-Varios explotac-Imp Riego Provincial</t>
  </si>
  <si>
    <t xml:space="preserve">      5.51.71.51.77.0128</t>
  </si>
  <si>
    <t>Fca Eucalipto-Gs Explot CaÃ±a-Varios explotac-Patentes Rodados</t>
  </si>
  <si>
    <t xml:space="preserve">   5.51.72</t>
  </si>
  <si>
    <t>Egresos-ExplotaciÃ³n CaÃ±a-Finca Rosario----</t>
  </si>
  <si>
    <t xml:space="preserve">    5.51.72.51</t>
  </si>
  <si>
    <t>Egresos-ExplotaciÃ³n CaÃ±a-Finca Rosario-Gs.Explot. AgrÃ­cola---</t>
  </si>
  <si>
    <t xml:space="preserve">     5.51.72.51.77</t>
  </si>
  <si>
    <t>Egresos-ExplotaciÃ³n CaÃ±a-Finca Rosario-Gs.Explot. AgrÃ­cola-Vs. ExplotaciÃ³n--</t>
  </si>
  <si>
    <t xml:space="preserve">      5.51.72.51.77.0002</t>
  </si>
  <si>
    <t>Fca Rosario-Gs.Explot. CaÃ±a-Varios explotac-Mano obra Batia</t>
  </si>
  <si>
    <t xml:space="preserve">      5.51.72.51.77.0047</t>
  </si>
  <si>
    <t>Fca Rosario-Gs.Explot. CaÃ±a-Varios explotac-Rep Mant BUso Explotac</t>
  </si>
  <si>
    <t xml:space="preserve">      5.51.72.51.77.0048</t>
  </si>
  <si>
    <t>Fca Rosario-Gs.Explot. CaÃ±a-Varios explotac-Rep Mant Otros BUso</t>
  </si>
  <si>
    <t xml:space="preserve">      5.51.72.51.77.0050</t>
  </si>
  <si>
    <t>ExplotaciÃ³n CaÃ±-Finca Rosario-Gs.Explot. AgrÃ­-Vs. ExplotaciÃ³n-Arriendos pagad</t>
  </si>
  <si>
    <t xml:space="preserve">      5.51.72.51.77.0056</t>
  </si>
  <si>
    <t>Fca Rosario-Gs.Explot. CaÃ±a-Varios explotac-Sueldos y Jorna</t>
  </si>
  <si>
    <t xml:space="preserve">      5.51.72.51.77.0057</t>
  </si>
  <si>
    <t>Fca Rosario-Gs.Explot. CaÃ±a-Varios explotac-Cargas Sociales</t>
  </si>
  <si>
    <t xml:space="preserve">      5.51.72.51.77.0059</t>
  </si>
  <si>
    <t>Fca Rosario-Gs.Explot. CaÃ±a-Varios explotac-Indemnizaciones</t>
  </si>
  <si>
    <t xml:space="preserve">      5.51.72.51.77.0060</t>
  </si>
  <si>
    <t>Fca Rosario-Gs.Explot. CaÃ±a-Varios explotac-Uniformes Personal</t>
  </si>
  <si>
    <t xml:space="preserve">      5.51.72.51.77.0061</t>
  </si>
  <si>
    <t>Fca Rosario-Gs.Explot. CaÃ±a-Varios explotac-Luz</t>
  </si>
  <si>
    <t xml:space="preserve">      5.51.72.51.77.0068</t>
  </si>
  <si>
    <t>Fca Rosario-Gs.Explot. CaÃ±a-Varios explotac-Movilidad y Gas</t>
  </si>
  <si>
    <t xml:space="preserve">      5.51.72.51.77.0075</t>
  </si>
  <si>
    <t>Fca Rosario-Gs.Explot. CaÃ±a-Varios explotac-Honorarios</t>
  </si>
  <si>
    <t xml:space="preserve">      5.51.72.51.77.0078</t>
  </si>
  <si>
    <t>Fca Rosario-Gs.Explot. CaÃ±a-Varios explotac-Combustibles</t>
  </si>
  <si>
    <t xml:space="preserve">      5.51.72.51.77.0079</t>
  </si>
  <si>
    <t>Fca Rosario-Gs.Explot. CaÃ±a-Varios explotac-Rep/Mant. Rodados</t>
  </si>
  <si>
    <t xml:space="preserve">      5.51.72.51.77.0121</t>
  </si>
  <si>
    <t>Fca Rosario-Gs.Explot. CaÃ±a-Varios explotac-Tasa Uso de Agua</t>
  </si>
  <si>
    <t xml:space="preserve">      5.51.72.51.77.0122</t>
  </si>
  <si>
    <t>Fca Rosario-Gs.Explot. CaÃ±a-Varios explotac-Impuesto al Riego</t>
  </si>
  <si>
    <t xml:space="preserve">      5.51.72.51.77.0123</t>
  </si>
  <si>
    <t>Fca Rosario-Gs.Explot. CaÃ±a-Varios explotac-Impuesto Inmobiliario</t>
  </si>
  <si>
    <t xml:space="preserve">      5.51.72.51.77.0125</t>
  </si>
  <si>
    <t>Fca Rosario-Gs.Explot. CaÃ±a-Varios explotac-Imp Riego Provincial</t>
  </si>
  <si>
    <t xml:space="preserve">      5.51.72.51.77.0128</t>
  </si>
  <si>
    <t>Fca Rosario-Gs.Explot. CaÃ±a-Varios explotac-Patentes Rodados</t>
  </si>
  <si>
    <t>Egresos-Otras-----</t>
  </si>
  <si>
    <t xml:space="preserve">   5.91.81</t>
  </si>
  <si>
    <t>Egresos-Otras-Otros----</t>
  </si>
  <si>
    <t xml:space="preserve">    5.91.81.15</t>
  </si>
  <si>
    <t>Otras-Otros-Varios</t>
  </si>
  <si>
    <t xml:space="preserve">     5.91.81.15.88</t>
  </si>
  <si>
    <t>Otras-Otros-Varios-Result por tene</t>
  </si>
  <si>
    <t xml:space="preserve">      5.91.81.15.88.0350</t>
  </si>
  <si>
    <t>Otras-Vs-Res x ten-Perd Cje Precio</t>
  </si>
  <si>
    <t xml:space="preserve">     5.91.81.15.93</t>
  </si>
  <si>
    <t>Egresos-Otras-Otros-Varios-Diversos--</t>
  </si>
  <si>
    <t xml:space="preserve">      5.91.81.15.93.0355</t>
  </si>
  <si>
    <t>Egresos-Otras-Otros-Varios-Diversos-Costo Venta Materiales-</t>
  </si>
  <si>
    <t xml:space="preserve">    5.91.81.82</t>
  </si>
  <si>
    <t>Egresos-Otras-Otros Gastos---</t>
  </si>
  <si>
    <t xml:space="preserve">     5.91.81.82.85</t>
  </si>
  <si>
    <t>Egresos-Otras-Otros-Gtos comercializaciÃ³n--</t>
  </si>
  <si>
    <t xml:space="preserve">      5.91.81.82.85.0076</t>
  </si>
  <si>
    <t>Gs comerciali-Gs Diversos</t>
  </si>
  <si>
    <t xml:space="preserve">      5.91.81.82.85.0089</t>
  </si>
  <si>
    <t>Gs comerciali-Comisiones</t>
  </si>
  <si>
    <t xml:space="preserve">      5.91.81.82.85.0090</t>
  </si>
  <si>
    <t>Gs comerciali-Retenc S/Ventas</t>
  </si>
  <si>
    <t xml:space="preserve">      5.91.81.82.85.0091</t>
  </si>
  <si>
    <t>Gs comerciali-Publ y Propagan</t>
  </si>
  <si>
    <t xml:space="preserve">      5.91.81.82.85.0092</t>
  </si>
  <si>
    <t>Gs comerciali-Gs de Represent</t>
  </si>
  <si>
    <t xml:space="preserve">      5.91.81.82.85.0093</t>
  </si>
  <si>
    <t>Gs comerciali-Ret. EEAOC</t>
  </si>
  <si>
    <t xml:space="preserve">      5.91.81.82.85.0094</t>
  </si>
  <si>
    <t>Gs comerciali-Incobrables</t>
  </si>
  <si>
    <t xml:space="preserve">      5.91.81.82.85.0118</t>
  </si>
  <si>
    <t>Gs comerciali-Ingresos Brutos</t>
  </si>
  <si>
    <t xml:space="preserve">      5.91.81.82.85.0308</t>
  </si>
  <si>
    <t>Otras-Otros-Otros Gastos-Gtos comerciali-6% Costo de obr</t>
  </si>
  <si>
    <t xml:space="preserve">      5.91.81.82.85.0309</t>
  </si>
  <si>
    <t>Otras-Otros-Otros Gastos-Gtos comerciali-4% de Ventas</t>
  </si>
  <si>
    <t xml:space="preserve">     5.91.81.82.86</t>
  </si>
  <si>
    <t>Egresos-Otras-Otros-Gtos administraciÃ³n--</t>
  </si>
  <si>
    <t xml:space="preserve">      5.91.81.82.86.0048</t>
  </si>
  <si>
    <t>Gs administra-Rep Mant Otros</t>
  </si>
  <si>
    <t xml:space="preserve">      5.91.81.82.86.0056</t>
  </si>
  <si>
    <t>Gs administra-Sueldos y Jorna</t>
  </si>
  <si>
    <t xml:space="preserve">      5.91.81.82.86.0057</t>
  </si>
  <si>
    <t>Gs administra-Cargas Sociales</t>
  </si>
  <si>
    <t xml:space="preserve">      5.91.81.82.86.0059</t>
  </si>
  <si>
    <t>Gs administra-Indemnizaciones</t>
  </si>
  <si>
    <t xml:space="preserve">      5.91.81.82.86.0060</t>
  </si>
  <si>
    <t>Gs administra-Uniformes Perso</t>
  </si>
  <si>
    <t xml:space="preserve">      5.91.81.82.86.0061</t>
  </si>
  <si>
    <t>Gs administra-Luz</t>
  </si>
  <si>
    <t xml:space="preserve">      5.91.81.82.86.0062</t>
  </si>
  <si>
    <t>Gs administra-Telefono</t>
  </si>
  <si>
    <t xml:space="preserve">      5.91.81.82.86.0063</t>
  </si>
  <si>
    <t>Gs administra-Celulares</t>
  </si>
  <si>
    <t xml:space="preserve">      5.91.81.82.86.0064</t>
  </si>
  <si>
    <t>Gs administra-Internet</t>
  </si>
  <si>
    <t xml:space="preserve">      5.91.81.82.86.0065</t>
  </si>
  <si>
    <t>Gs administra-Agua y Gas</t>
  </si>
  <si>
    <t xml:space="preserve">      5.91.81.82.86.0066</t>
  </si>
  <si>
    <t>Gs administra-Gas</t>
  </si>
  <si>
    <t xml:space="preserve">      5.91.81.82.86.0067</t>
  </si>
  <si>
    <t>Gs administra-Impresos y Util</t>
  </si>
  <si>
    <t xml:space="preserve">      5.91.81.82.86.0068</t>
  </si>
  <si>
    <t>Gs administra-Movilidad y Gas</t>
  </si>
  <si>
    <t xml:space="preserve">      5.91.81.82.86.0069</t>
  </si>
  <si>
    <t>Gs administra-Seguros</t>
  </si>
  <si>
    <t xml:space="preserve">      5.91.81.82.86.0070</t>
  </si>
  <si>
    <t>Gs administra-Gs Escrituras</t>
  </si>
  <si>
    <t xml:space="preserve">      5.91.81.82.86.0071</t>
  </si>
  <si>
    <t>Gs administra-Certificaciones</t>
  </si>
  <si>
    <t xml:space="preserve">      5.91.81.82.86.0072</t>
  </si>
  <si>
    <t>Gs administra-Honorarios Legales</t>
  </si>
  <si>
    <t xml:space="preserve">      5.91.81.82.86.0073</t>
  </si>
  <si>
    <t>Gs administra-Honorarios Socios</t>
  </si>
  <si>
    <t xml:space="preserve">      5.91.81.82.86.0074</t>
  </si>
  <si>
    <t>Gs administra-Honorarios Contables</t>
  </si>
  <si>
    <t xml:space="preserve">      5.91.81.82.86.0075</t>
  </si>
  <si>
    <t>Gs administra-Honorarios</t>
  </si>
  <si>
    <t xml:space="preserve">      5.91.81.82.86.0076</t>
  </si>
  <si>
    <t>Gs administra-Gastos Diversos</t>
  </si>
  <si>
    <t xml:space="preserve">      5.91.81.82.86.0077</t>
  </si>
  <si>
    <t>Gs administra-Desinfecciones</t>
  </si>
  <si>
    <t xml:space="preserve">      5.91.81.82.86.0078</t>
  </si>
  <si>
    <t>Gs administra-Combustibles</t>
  </si>
  <si>
    <t xml:space="preserve">      5.91.81.82.86.0079</t>
  </si>
  <si>
    <t>Gs administra-Rep. y Mant. Ro</t>
  </si>
  <si>
    <t xml:space="preserve">      5.91.81.82.86.0080</t>
  </si>
  <si>
    <t>Gs administra-Correspondencia</t>
  </si>
  <si>
    <t xml:space="preserve">      5.91.81.82.86.0081</t>
  </si>
  <si>
    <t>Gs administra-Capacitacion</t>
  </si>
  <si>
    <t xml:space="preserve">      5.91.81.82.86.0082</t>
  </si>
  <si>
    <t>Gs administra-Gs. Cafeteria R</t>
  </si>
  <si>
    <t xml:space="preserve">      5.91.81.82.86.0083</t>
  </si>
  <si>
    <t>Gs administra-Art Limpieza</t>
  </si>
  <si>
    <t xml:space="preserve">      5.91.81.82.86.0084</t>
  </si>
  <si>
    <t>Gs administra-Gs Seguridad</t>
  </si>
  <si>
    <t xml:space="preserve">      5.91.81.82.86.0085</t>
  </si>
  <si>
    <t>Gs administra-Expensas</t>
  </si>
  <si>
    <t xml:space="preserve">      5.91.81.82.86.0086</t>
  </si>
  <si>
    <t>Gs administra-Celulares a Dis</t>
  </si>
  <si>
    <t xml:space="preserve">      5.91.81.82.86.0087</t>
  </si>
  <si>
    <t>Gs administra-Gs Computacion</t>
  </si>
  <si>
    <t xml:space="preserve">      5.91.81.82.86.0088</t>
  </si>
  <si>
    <t>Gs administra-Alquileres</t>
  </si>
  <si>
    <t xml:space="preserve">      5.91.81.82.86.0089</t>
  </si>
  <si>
    <t>Gs Administrac - Mobiliario y equipamiento oficina</t>
  </si>
  <si>
    <t xml:space="preserve">      5.91.81.82.86.0097</t>
  </si>
  <si>
    <t>Gtos administraciÃ³n-Vacaciones</t>
  </si>
  <si>
    <t xml:space="preserve">      5.91.81.82.86.0098</t>
  </si>
  <si>
    <t>Gtos administraciÃ³n-Aguinaldo-</t>
  </si>
  <si>
    <t xml:space="preserve">      5.91.81.82.86.0099</t>
  </si>
  <si>
    <t>Otras-Otros-Otros Gastos-Gtos administra-Honor. Tecnicos</t>
  </si>
  <si>
    <t xml:space="preserve">      5.91.81.82.86.0448</t>
  </si>
  <si>
    <t>Gtos administración-Dif Redondeo</t>
  </si>
  <si>
    <t xml:space="preserve">     5.91.81.82.87</t>
  </si>
  <si>
    <t>Egresos-Otras-Otros-Gtos financieros--</t>
  </si>
  <si>
    <t xml:space="preserve">      5.91.81.82.87.0103</t>
  </si>
  <si>
    <t>Gs financiero-Intereses p/ Fi</t>
  </si>
  <si>
    <t xml:space="preserve">      5.91.81.82.87.0104</t>
  </si>
  <si>
    <t>Gs financiero-Gs bancarios</t>
  </si>
  <si>
    <t xml:space="preserve">      5.91.81.82.87.0105</t>
  </si>
  <si>
    <t>Gs financiero-Imp Deb y Creds</t>
  </si>
  <si>
    <t xml:space="preserve">      5.91.81.82.87.0106</t>
  </si>
  <si>
    <t>Gs financiero-Dif de Cotizaci</t>
  </si>
  <si>
    <t xml:space="preserve">      5.91.81.82.87.0107</t>
  </si>
  <si>
    <t>Gs financiero-Int Comerciales</t>
  </si>
  <si>
    <t xml:space="preserve">      5.91.81.82.87.0108</t>
  </si>
  <si>
    <t>Gs financiero-Int y Multas Im</t>
  </si>
  <si>
    <t xml:space="preserve">      5.91.81.82.87.0109</t>
  </si>
  <si>
    <t>Gs financiero-Gs Bcarios a Re</t>
  </si>
  <si>
    <t xml:space="preserve">      5.91.81.82.87.0110</t>
  </si>
  <si>
    <t>Gs financiero-Result por Expo</t>
  </si>
  <si>
    <t xml:space="preserve">      5.91.81.82.87.0111</t>
  </si>
  <si>
    <t>Otras-Otros-Otros Gastos-Gtos financiero-BonificaciÃ³n</t>
  </si>
  <si>
    <t xml:space="preserve">     5.91.81.82.88</t>
  </si>
  <si>
    <t>Egresos-Otras-Otros-Result por tenencia--</t>
  </si>
  <si>
    <t xml:space="preserve">      5.91.81.82.88.0351</t>
  </si>
  <si>
    <t>Otros Gs-Result x ten-RxT. Pasivos por CANJES</t>
  </si>
  <si>
    <t xml:space="preserve">      5.91.81.82.88.0352</t>
  </si>
  <si>
    <t>Otros Gs-Result x ten-RxT. Activos por CANJES</t>
  </si>
  <si>
    <t xml:space="preserve">      5.91.81.82.88.0353</t>
  </si>
  <si>
    <t>Otros Gs-Result x ten-RxT. Activos por Op. Inmob</t>
  </si>
  <si>
    <t xml:space="preserve">      5.91.81.82.88.0354</t>
  </si>
  <si>
    <t>Otros Gs-Result x ten-RxT. Pasivos por Op. Inmob</t>
  </si>
  <si>
    <t xml:space="preserve">      5.91.81.82.88.0355</t>
  </si>
  <si>
    <t>Result Finan y por tenencia Activo</t>
  </si>
  <si>
    <t xml:space="preserve">      5.91.81.82.88.0356</t>
  </si>
  <si>
    <t>Result Financ y por tenencia Pasivo</t>
  </si>
  <si>
    <t xml:space="preserve">      5.91.81.82.88.0357</t>
  </si>
  <si>
    <t>RECPAM</t>
  </si>
  <si>
    <t xml:space="preserve">     5.91.81.82.89</t>
  </si>
  <si>
    <t>Egresos-Otras-Otros-Impuestos y tasas--</t>
  </si>
  <si>
    <t xml:space="preserve">      5.91.81.82.89.0117</t>
  </si>
  <si>
    <t>Imp y Tasas-TACIS - TEM</t>
  </si>
  <si>
    <t xml:space="preserve">      5.91.81.82.89.0119</t>
  </si>
  <si>
    <t>Imp y Tasas-Imp. G.M.P.</t>
  </si>
  <si>
    <t xml:space="preserve">      5.91.81.82.89.0120</t>
  </si>
  <si>
    <t>Imp y Tasas-Imp. a las Gcia</t>
  </si>
  <si>
    <t xml:space="preserve">      5.91.81.82.89.0123</t>
  </si>
  <si>
    <t>Imp y Tasas-DGR -Imp Inmob.</t>
  </si>
  <si>
    <t xml:space="preserve">      5.91.81.82.89.0124</t>
  </si>
  <si>
    <t>Imp y Tasas-DRM-CISI</t>
  </si>
  <si>
    <t xml:space="preserve">      5.91.81.82.89.0126</t>
  </si>
  <si>
    <t>Imp y Tasas-Otros Imp y Tas</t>
  </si>
  <si>
    <t xml:space="preserve">      5.91.81.82.89.0127</t>
  </si>
  <si>
    <t>Imp y Tasas-Imp. Bs Persona</t>
  </si>
  <si>
    <t xml:space="preserve">      5.91.81.82.89.0128</t>
  </si>
  <si>
    <t>Imp y Tasas-Patentes Rodado</t>
  </si>
  <si>
    <t xml:space="preserve">      5.91.81.82.89.0129</t>
  </si>
  <si>
    <t>Imp y Tasas-Imp. Salud Publ</t>
  </si>
  <si>
    <t xml:space="preserve">     5.91.81.82.91</t>
  </si>
  <si>
    <t>Egresos-Otras-Otros-Amort otros B.U--</t>
  </si>
  <si>
    <t xml:space="preserve">     5.91.81.82.92</t>
  </si>
  <si>
    <t>Egresos-Otras-Otros-Siniestros--</t>
  </si>
  <si>
    <t xml:space="preserve">      5.91.81.82.92.0300</t>
  </si>
  <si>
    <t>Otros-Otros gtos extr-Siniestros-Siniestros Labo</t>
  </si>
  <si>
    <t xml:space="preserve">      5.91.81.82.92.0301</t>
  </si>
  <si>
    <t>Otros-Otros gtos extr-Siniestros-Siniestros Cont</t>
  </si>
  <si>
    <t xml:space="preserve">     5.91.81.82.93</t>
  </si>
  <si>
    <t>Otras-Otros-Otros Gastos-Diversos</t>
  </si>
  <si>
    <t xml:space="preserve">      5.91.81.82.93.0076</t>
  </si>
  <si>
    <t>Otras-Otros-Otros Gastos-Diversos-Gastos Diversos</t>
  </si>
  <si>
    <t>Ingres y Egreso</t>
  </si>
  <si>
    <t>Actividad</t>
  </si>
  <si>
    <t xml:space="preserve">Centros de costos </t>
  </si>
  <si>
    <t>Subactividad</t>
  </si>
  <si>
    <t>Rubro</t>
  </si>
  <si>
    <t>Concepto imputable</t>
  </si>
  <si>
    <t>CODCTA</t>
  </si>
  <si>
    <t>DESCRIP</t>
  </si>
  <si>
    <t>NROCTA</t>
  </si>
  <si>
    <t>COUNT(*)</t>
  </si>
  <si>
    <t>201020103</t>
  </si>
  <si>
    <t>201020105</t>
  </si>
  <si>
    <t>301010101</t>
  </si>
  <si>
    <t>301010103</t>
  </si>
  <si>
    <t>4331035660102</t>
  </si>
  <si>
    <t>101040122</t>
  </si>
  <si>
    <t>5010107230001</t>
  </si>
  <si>
    <t>5044115600067</t>
  </si>
  <si>
    <t>101040230</t>
  </si>
  <si>
    <t>5918182860070</t>
  </si>
  <si>
    <t>5918182890117</t>
  </si>
  <si>
    <t>5918182890126</t>
  </si>
  <si>
    <t>5918182890127</t>
  </si>
  <si>
    <t>5918182870103</t>
  </si>
  <si>
    <t>201040207</t>
  </si>
  <si>
    <t>5010113630003</t>
  </si>
  <si>
    <t>201010311</t>
  </si>
  <si>
    <t>5011817930126</t>
  </si>
  <si>
    <t>5044103030079</t>
  </si>
  <si>
    <t>5023216590003</t>
  </si>
  <si>
    <t>5021016590057</t>
  </si>
  <si>
    <t>101030141</t>
  </si>
  <si>
    <t>5918182850076</t>
  </si>
  <si>
    <t>201020116</t>
  </si>
  <si>
    <t>5023006590098</t>
  </si>
  <si>
    <t>201010317</t>
  </si>
  <si>
    <t>40260160301</t>
  </si>
  <si>
    <t>40259160301</t>
  </si>
  <si>
    <t>5023216590099</t>
  </si>
  <si>
    <t>301010107</t>
  </si>
  <si>
    <t>101030129</t>
  </si>
  <si>
    <t>201020238</t>
  </si>
  <si>
    <t>101030156</t>
  </si>
  <si>
    <t>4333391620504</t>
  </si>
  <si>
    <t>101010133</t>
  </si>
  <si>
    <t>4028616030301</t>
  </si>
  <si>
    <t>4029316030301</t>
  </si>
  <si>
    <t>101030108</t>
  </si>
  <si>
    <t>101020301</t>
  </si>
  <si>
    <t>101040102</t>
  </si>
  <si>
    <t>201020106</t>
  </si>
  <si>
    <t>201020109</t>
  </si>
  <si>
    <t>201020206</t>
  </si>
  <si>
    <t>5010115590069</t>
  </si>
  <si>
    <t>101040244</t>
  </si>
  <si>
    <t>101040205</t>
  </si>
  <si>
    <t>201030101</t>
  </si>
  <si>
    <t>201040206</t>
  </si>
  <si>
    <t>201020220</t>
  </si>
  <si>
    <t>4021516030305</t>
  </si>
  <si>
    <t>101040126</t>
  </si>
  <si>
    <t>4330935660102</t>
  </si>
  <si>
    <t>101040242</t>
  </si>
  <si>
    <t>5338133590057</t>
  </si>
  <si>
    <t>101010110</t>
  </si>
  <si>
    <t>4021516030312</t>
  </si>
  <si>
    <t>5010109360001</t>
  </si>
  <si>
    <t>5215330590071</t>
  </si>
  <si>
    <t>5918182860060</t>
  </si>
  <si>
    <t>5918182860068</t>
  </si>
  <si>
    <t>5918182860072</t>
  </si>
  <si>
    <t>5918182860079</t>
  </si>
  <si>
    <t>5044103030200</t>
  </si>
  <si>
    <t>101030111</t>
  </si>
  <si>
    <t>5021815600097</t>
  </si>
  <si>
    <t>101020303</t>
  </si>
  <si>
    <t>5044103030056</t>
  </si>
  <si>
    <t>5023216590056</t>
  </si>
  <si>
    <t>5918182850094</t>
  </si>
  <si>
    <t>101010131</t>
  </si>
  <si>
    <t>5023216590059</t>
  </si>
  <si>
    <t>5338133590098</t>
  </si>
  <si>
    <t>402917</t>
  </si>
  <si>
    <t>504410102</t>
  </si>
  <si>
    <t>5018717930076</t>
  </si>
  <si>
    <t>5918182860448</t>
  </si>
  <si>
    <t>4028416030301</t>
  </si>
  <si>
    <t>101040265</t>
  </si>
  <si>
    <t>101010103</t>
  </si>
  <si>
    <t>101030120</t>
  </si>
  <si>
    <t>101040105</t>
  </si>
  <si>
    <t>101040119</t>
  </si>
  <si>
    <t>101010101</t>
  </si>
  <si>
    <t>201020111</t>
  </si>
  <si>
    <t>201020113</t>
  </si>
  <si>
    <t>101050104</t>
  </si>
  <si>
    <t>101010114</t>
  </si>
  <si>
    <t>101040210</t>
  </si>
  <si>
    <t>5338133590076</t>
  </si>
  <si>
    <t>5010147950438</t>
  </si>
  <si>
    <t>201010313</t>
  </si>
  <si>
    <t>5010105590002</t>
  </si>
  <si>
    <t>5918182860048</t>
  </si>
  <si>
    <t>5918182860062</t>
  </si>
  <si>
    <t>5918182860075</t>
  </si>
  <si>
    <t>5918182860076</t>
  </si>
  <si>
    <t>5918182860078</t>
  </si>
  <si>
    <t>5918182890124</t>
  </si>
  <si>
    <t>5010112590003</t>
  </si>
  <si>
    <t>4018182920403</t>
  </si>
  <si>
    <t>101010122</t>
  </si>
  <si>
    <t>5918182860088</t>
  </si>
  <si>
    <t>4215191870501</t>
  </si>
  <si>
    <t>201010312</t>
  </si>
  <si>
    <t>5024815590009</t>
  </si>
  <si>
    <t>101040128</t>
  </si>
  <si>
    <t>101040254</t>
  </si>
  <si>
    <t>201010322</t>
  </si>
  <si>
    <t>101030152</t>
  </si>
  <si>
    <t>101030153</t>
  </si>
  <si>
    <t>5044103030098</t>
  </si>
  <si>
    <t>5918182860098</t>
  </si>
  <si>
    <t>402915</t>
  </si>
  <si>
    <t>42191</t>
  </si>
  <si>
    <t>402912</t>
  </si>
  <si>
    <t>101040259</t>
  </si>
  <si>
    <t>4028216030301</t>
  </si>
  <si>
    <t>101040263</t>
  </si>
  <si>
    <t>4029216030052</t>
  </si>
  <si>
    <t>201010303</t>
  </si>
  <si>
    <t>101040104</t>
  </si>
  <si>
    <t>101040106</t>
  </si>
  <si>
    <t>101040107</t>
  </si>
  <si>
    <t>101040108</t>
  </si>
  <si>
    <t>101040115</t>
  </si>
  <si>
    <t>201020104</t>
  </si>
  <si>
    <t>4018182870506</t>
  </si>
  <si>
    <t>201020212</t>
  </si>
  <si>
    <t>201020217</t>
  </si>
  <si>
    <t>101060212</t>
  </si>
  <si>
    <t>5010102020005</t>
  </si>
  <si>
    <t>101030109</t>
  </si>
  <si>
    <t>5044115600076</t>
  </si>
  <si>
    <t>101040221</t>
  </si>
  <si>
    <t>5010109370001</t>
  </si>
  <si>
    <t>201040210</t>
  </si>
  <si>
    <t>5918182860064</t>
  </si>
  <si>
    <t>5918182860080</t>
  </si>
  <si>
    <t>5918182890123</t>
  </si>
  <si>
    <t>5918182870104</t>
  </si>
  <si>
    <t>5918182870106</t>
  </si>
  <si>
    <t>5918182870107</t>
  </si>
  <si>
    <t>301010104</t>
  </si>
  <si>
    <t>5021815590302</t>
  </si>
  <si>
    <t>201010107</t>
  </si>
  <si>
    <t>4215130050004</t>
  </si>
  <si>
    <t>5918182870111</t>
  </si>
  <si>
    <t>5044115600100</t>
  </si>
  <si>
    <t>101040253</t>
  </si>
  <si>
    <t>101030154</t>
  </si>
  <si>
    <t>5338133590097</t>
  </si>
  <si>
    <t>5918182860097</t>
  </si>
  <si>
    <t>101040129</t>
  </si>
  <si>
    <t>101040258</t>
  </si>
  <si>
    <t>402910</t>
  </si>
  <si>
    <t>101040262</t>
  </si>
  <si>
    <t>201020239</t>
  </si>
  <si>
    <t>101010201</t>
  </si>
  <si>
    <t>101030117</t>
  </si>
  <si>
    <t>101040111</t>
  </si>
  <si>
    <t>101040112</t>
  </si>
  <si>
    <t>201020102</t>
  </si>
  <si>
    <t>101030106</t>
  </si>
  <si>
    <t>201020209</t>
  </si>
  <si>
    <t>4217730010004</t>
  </si>
  <si>
    <t>101050203</t>
  </si>
  <si>
    <t>5010103030007</t>
  </si>
  <si>
    <t>101040125</t>
  </si>
  <si>
    <t>5010105590001</t>
  </si>
  <si>
    <t>101010120</t>
  </si>
  <si>
    <t>201020231</t>
  </si>
  <si>
    <t>5918182860069</t>
  </si>
  <si>
    <t>5918182860077</t>
  </si>
  <si>
    <t>5918182870108</t>
  </si>
  <si>
    <t>101040120</t>
  </si>
  <si>
    <t>101030115</t>
  </si>
  <si>
    <t>201010304</t>
  </si>
  <si>
    <t>5044103030078</t>
  </si>
  <si>
    <t>201020225</t>
  </si>
  <si>
    <t>101040255</t>
  </si>
  <si>
    <t>5023216590098</t>
  </si>
  <si>
    <t>421783001004</t>
  </si>
  <si>
    <t>402813</t>
  </si>
  <si>
    <t>101010132</t>
  </si>
  <si>
    <t>4219030010004</t>
  </si>
  <si>
    <t>101030158</t>
  </si>
  <si>
    <t>101040260</t>
  </si>
  <si>
    <t>101010134</t>
  </si>
  <si>
    <t>4333391620503</t>
  </si>
  <si>
    <t>4029416030301</t>
  </si>
  <si>
    <t>5918182860089</t>
  </si>
  <si>
    <t>402817</t>
  </si>
  <si>
    <t>101030202</t>
  </si>
  <si>
    <t>101040101</t>
  </si>
  <si>
    <t>201010101</t>
  </si>
  <si>
    <t>201020201</t>
  </si>
  <si>
    <t>201020208</t>
  </si>
  <si>
    <t>201020213</t>
  </si>
  <si>
    <t>201020219</t>
  </si>
  <si>
    <t>201020112</t>
  </si>
  <si>
    <t>101040201</t>
  </si>
  <si>
    <t>101050106</t>
  </si>
  <si>
    <t>201020221</t>
  </si>
  <si>
    <t>101040209</t>
  </si>
  <si>
    <t>301020202</t>
  </si>
  <si>
    <t>5010102020006</t>
  </si>
  <si>
    <t>101040240</t>
  </si>
  <si>
    <t>5010146940435</t>
  </si>
  <si>
    <t>5010146940411</t>
  </si>
  <si>
    <t>101070103</t>
  </si>
  <si>
    <t>5010111540003</t>
  </si>
  <si>
    <t>5918182860061</t>
  </si>
  <si>
    <t>5918182860063</t>
  </si>
  <si>
    <t>5918182860071</t>
  </si>
  <si>
    <t>5918182870105</t>
  </si>
  <si>
    <t>201020223</t>
  </si>
  <si>
    <t>5018183930302</t>
  </si>
  <si>
    <t>201010310</t>
  </si>
  <si>
    <t>4023216030301</t>
  </si>
  <si>
    <t>5023216590001</t>
  </si>
  <si>
    <t>5023216590057</t>
  </si>
  <si>
    <t>4333333630302</t>
  </si>
  <si>
    <t>5918182850091</t>
  </si>
  <si>
    <t>5918182850092</t>
  </si>
  <si>
    <t>5918182850118</t>
  </si>
  <si>
    <t>4215291870501</t>
  </si>
  <si>
    <t>201020230</t>
  </si>
  <si>
    <t>101030116</t>
  </si>
  <si>
    <t>101040245</t>
  </si>
  <si>
    <t>4027816030301</t>
  </si>
  <si>
    <t>52175305901</t>
  </si>
  <si>
    <t>301010106</t>
  </si>
  <si>
    <t>40233160301</t>
  </si>
  <si>
    <t>5044103030097</t>
  </si>
  <si>
    <t>4218182920403</t>
  </si>
  <si>
    <t>101040264</t>
  </si>
  <si>
    <t>101030103</t>
  </si>
  <si>
    <t>101030105</t>
  </si>
  <si>
    <t>101040109</t>
  </si>
  <si>
    <t>201020101</t>
  </si>
  <si>
    <t>201020202</t>
  </si>
  <si>
    <t>201020211</t>
  </si>
  <si>
    <t>5010102020004</t>
  </si>
  <si>
    <t>101050205</t>
  </si>
  <si>
    <t>101060301</t>
  </si>
  <si>
    <t>201020222</t>
  </si>
  <si>
    <t>101040211</t>
  </si>
  <si>
    <t>101010105</t>
  </si>
  <si>
    <t>5010140800401</t>
  </si>
  <si>
    <t>4338135660504</t>
  </si>
  <si>
    <t>5330935660061</t>
  </si>
  <si>
    <t>201050103</t>
  </si>
  <si>
    <t>5010110470003</t>
  </si>
  <si>
    <t>201020114</t>
  </si>
  <si>
    <t>5918182860056</t>
  </si>
  <si>
    <t>5918182860057</t>
  </si>
  <si>
    <t>5918182860065</t>
  </si>
  <si>
    <t>5918182860067</t>
  </si>
  <si>
    <t>5918182860082</t>
  </si>
  <si>
    <t>5918182860083</t>
  </si>
  <si>
    <t>5918182860084</t>
  </si>
  <si>
    <t>5918182860085</t>
  </si>
  <si>
    <t>5044115600200</t>
  </si>
  <si>
    <t>5044101010075</t>
  </si>
  <si>
    <t>5044103030057</t>
  </si>
  <si>
    <t>101030114</t>
  </si>
  <si>
    <t>201010306</t>
  </si>
  <si>
    <t>5023216590097</t>
  </si>
  <si>
    <t>4029110</t>
  </si>
  <si>
    <t>402919</t>
  </si>
  <si>
    <t>4218830010004</t>
  </si>
  <si>
    <t>4218930010004</t>
  </si>
  <si>
    <t>4029216030301</t>
  </si>
  <si>
    <t>101040266</t>
  </si>
  <si>
    <t>101040103</t>
  </si>
  <si>
    <t>201020110</t>
  </si>
  <si>
    <t>4333333620302</t>
  </si>
  <si>
    <t>5010101010075</t>
  </si>
  <si>
    <t>101010102</t>
  </si>
  <si>
    <t>101040207</t>
  </si>
  <si>
    <t>101060101</t>
  </si>
  <si>
    <t>101060205</t>
  </si>
  <si>
    <t>101060305</t>
  </si>
  <si>
    <t>4021516030306</t>
  </si>
  <si>
    <t>101040236</t>
  </si>
  <si>
    <t>5338133590056</t>
  </si>
  <si>
    <t>5010109350003</t>
  </si>
  <si>
    <t>5918182860073</t>
  </si>
  <si>
    <t>5918182860074</t>
  </si>
  <si>
    <t>5918182890120</t>
  </si>
  <si>
    <t>5010115590076</t>
  </si>
  <si>
    <t>101040238</t>
  </si>
  <si>
    <t>4018182920402</t>
  </si>
  <si>
    <t>5044103030068</t>
  </si>
  <si>
    <t>101030110</t>
  </si>
  <si>
    <t>5918182860086</t>
  </si>
  <si>
    <t>5918182860087</t>
  </si>
  <si>
    <t>5010102020008</t>
  </si>
  <si>
    <t>5021016590056</t>
  </si>
  <si>
    <t>5044115600047</t>
  </si>
  <si>
    <t>5918182930076</t>
  </si>
  <si>
    <t>101010128</t>
  </si>
  <si>
    <t>201020226</t>
  </si>
  <si>
    <t>101030151</t>
  </si>
  <si>
    <t>4027716030052</t>
  </si>
  <si>
    <t>201010308</t>
  </si>
  <si>
    <t>101040257</t>
  </si>
  <si>
    <t>101030130</t>
  </si>
  <si>
    <t>402811</t>
  </si>
  <si>
    <t>101030157</t>
  </si>
  <si>
    <t>504410104</t>
  </si>
  <si>
    <t>101030155</t>
  </si>
  <si>
    <t>4217730010005</t>
  </si>
  <si>
    <t>Mov 2023?</t>
  </si>
  <si>
    <t>1.01.01</t>
  </si>
  <si>
    <t>1.01.01.001</t>
  </si>
  <si>
    <t>2.01.01.002</t>
  </si>
  <si>
    <t>3.01.01.003</t>
  </si>
  <si>
    <t>1.01.01.002</t>
  </si>
  <si>
    <t>1.01.01.003</t>
  </si>
  <si>
    <t>1.01.01.004</t>
  </si>
  <si>
    <t>INVERSIONES TEMPORARIAS</t>
  </si>
  <si>
    <t>1.02.03</t>
  </si>
  <si>
    <t>1.01.02</t>
  </si>
  <si>
    <t>1.02.02</t>
  </si>
  <si>
    <t>1.01.02.001</t>
  </si>
  <si>
    <t>1.01.02.002</t>
  </si>
  <si>
    <t>1.01.02.003</t>
  </si>
  <si>
    <t>1.02.03.001</t>
  </si>
  <si>
    <t>1.02.01</t>
  </si>
  <si>
    <t>1.02.01.001</t>
  </si>
  <si>
    <t>1.02.01.002</t>
  </si>
  <si>
    <t>1.02.01.003</t>
  </si>
  <si>
    <t>1.02.02.001</t>
  </si>
  <si>
    <t>1.02.02.002</t>
  </si>
  <si>
    <t>1.02.02.003</t>
  </si>
  <si>
    <t>1.02.01.004</t>
  </si>
  <si>
    <t>1.03.01.004</t>
  </si>
  <si>
    <t>1.02.01.005</t>
  </si>
  <si>
    <t>1.02.01.006</t>
  </si>
  <si>
    <t>1.03.02</t>
  </si>
  <si>
    <t>1.01.01.005</t>
  </si>
  <si>
    <t>1.01.01.006</t>
  </si>
  <si>
    <t>1.01.01.007</t>
  </si>
  <si>
    <t>1.01.01.008</t>
  </si>
  <si>
    <t>1.01.01.009</t>
  </si>
  <si>
    <t>1.01.01.010</t>
  </si>
  <si>
    <t>1.01.01.011</t>
  </si>
  <si>
    <t>1.01.01.012</t>
  </si>
  <si>
    <t>1.03.01</t>
  </si>
  <si>
    <t>1.03.01.001</t>
  </si>
  <si>
    <t>1.03.01.002</t>
  </si>
  <si>
    <t>1.03.01.003</t>
  </si>
  <si>
    <t>1.03.01.005</t>
  </si>
  <si>
    <t>1.03.01.006</t>
  </si>
  <si>
    <t>1.03.01.007</t>
  </si>
  <si>
    <t>1.03.01.008</t>
  </si>
  <si>
    <t>1.03.01.009</t>
  </si>
  <si>
    <t>1.03.01.010</t>
  </si>
  <si>
    <t>1.03.01.011</t>
  </si>
  <si>
    <t>1.03.01.012</t>
  </si>
  <si>
    <t>1.03.01.013</t>
  </si>
  <si>
    <t>1.03.01.014</t>
  </si>
  <si>
    <t>1.03.01.015</t>
  </si>
  <si>
    <t>1.03.01.016</t>
  </si>
  <si>
    <t>1.03.01.017</t>
  </si>
  <si>
    <t>1.03.01.018</t>
  </si>
  <si>
    <t>1.03.01.019</t>
  </si>
  <si>
    <t>1.03.01.020</t>
  </si>
  <si>
    <t xml:space="preserve">Enviar a Otros Creditos </t>
  </si>
  <si>
    <t xml:space="preserve">NO </t>
  </si>
  <si>
    <t>1.03.01.021</t>
  </si>
  <si>
    <t>1.03.01.022</t>
  </si>
  <si>
    <t>1.03.01.023</t>
  </si>
  <si>
    <t>1.03.01.024</t>
  </si>
  <si>
    <t>Deudores por Ventas LOTEOS OTROS</t>
  </si>
  <si>
    <t>Enviar a Loteo s otros</t>
  </si>
  <si>
    <t>Enviar a loteos GCI</t>
  </si>
  <si>
    <t>Enviar a loteos AW</t>
  </si>
  <si>
    <t>Enviar a loteos EL</t>
  </si>
  <si>
    <t xml:space="preserve">Enivar a Ds en gestion </t>
  </si>
  <si>
    <t>1.03.01.025</t>
  </si>
  <si>
    <t>1.03.02.001</t>
  </si>
  <si>
    <t>1.04.02</t>
  </si>
  <si>
    <t>1.04.01</t>
  </si>
  <si>
    <t>1.04.01.001</t>
  </si>
  <si>
    <t>1.04.02.001</t>
  </si>
  <si>
    <t>1.04.03.001</t>
  </si>
  <si>
    <t>1.04.01.002</t>
  </si>
  <si>
    <t>1.04.01.003</t>
  </si>
  <si>
    <t>1.04.01.004</t>
  </si>
  <si>
    <t>1.04.01.005</t>
  </si>
  <si>
    <t>1.04.01.006</t>
  </si>
  <si>
    <t>1.04.01.007</t>
  </si>
  <si>
    <t>1.04.01.008</t>
  </si>
  <si>
    <t>1.04.01.009</t>
  </si>
  <si>
    <t>1.04.01.010</t>
  </si>
  <si>
    <t>1.04.01.011</t>
  </si>
  <si>
    <t>1.04.01.012</t>
  </si>
  <si>
    <t>1.04.01.013</t>
  </si>
  <si>
    <t>1.04.01.014</t>
  </si>
  <si>
    <t>1.04.01.015</t>
  </si>
  <si>
    <t>1.04.01.016</t>
  </si>
  <si>
    <t>1.04.01.017</t>
  </si>
  <si>
    <t>1.04.01.018</t>
  </si>
  <si>
    <t>1.04.01.019</t>
  </si>
  <si>
    <t>1.04.01.020</t>
  </si>
  <si>
    <t>1.04.01.021</t>
  </si>
  <si>
    <t>1.04.01.022</t>
  </si>
  <si>
    <t>1.04.02.002</t>
  </si>
  <si>
    <t>1.04.02.003</t>
  </si>
  <si>
    <t>1.04.02.004</t>
  </si>
  <si>
    <t>1.04.02.005</t>
  </si>
  <si>
    <t>1.04.02.006</t>
  </si>
  <si>
    <t>1.05.01</t>
  </si>
  <si>
    <t>1.05.02</t>
  </si>
  <si>
    <t>1.06.01</t>
  </si>
  <si>
    <t>BC EN PROCESO</t>
  </si>
  <si>
    <t>1.05.01.001</t>
  </si>
  <si>
    <t>1.06.01.001</t>
  </si>
  <si>
    <t>BC TERMINADOS</t>
  </si>
  <si>
    <t>1.05.02.001</t>
  </si>
  <si>
    <t>1.05.02.002</t>
  </si>
  <si>
    <t>1.05.02.003</t>
  </si>
  <si>
    <t>1.06.03</t>
  </si>
  <si>
    <t>1.05.03.001</t>
  </si>
  <si>
    <t>1.06.03.001</t>
  </si>
  <si>
    <t>1.05.02.004</t>
  </si>
  <si>
    <t>1.06.02.004</t>
  </si>
  <si>
    <t xml:space="preserve">Rodados recibidos </t>
  </si>
  <si>
    <t>1.05.02.005</t>
  </si>
  <si>
    <t>1.06.01.006</t>
  </si>
  <si>
    <t>1.05.02.006</t>
  </si>
  <si>
    <t>1.06.01.002</t>
  </si>
  <si>
    <t>1.06.01.003</t>
  </si>
  <si>
    <t>1.06.01.004</t>
  </si>
  <si>
    <t>1.06.01.005</t>
  </si>
  <si>
    <t>1.06.02</t>
  </si>
  <si>
    <t xml:space="preserve">VALORES DE ORIGEN </t>
  </si>
  <si>
    <t>AMORTIZACIONES ACUMULADAS</t>
  </si>
  <si>
    <t>BU NO AMORTIZABLES</t>
  </si>
  <si>
    <t xml:space="preserve">Edificios </t>
  </si>
  <si>
    <t>1.06.02.001</t>
  </si>
  <si>
    <t>Amort. Acum. Edificios</t>
  </si>
  <si>
    <t>1.06.02.002</t>
  </si>
  <si>
    <t>1.06.02.003</t>
  </si>
  <si>
    <t>1.06.02.005</t>
  </si>
  <si>
    <t>1.06.02.006</t>
  </si>
  <si>
    <t>1.02.02.004</t>
  </si>
  <si>
    <t>1.02.02.005</t>
  </si>
  <si>
    <t>1.02.02.006</t>
  </si>
  <si>
    <t>1.04.03.002</t>
  </si>
  <si>
    <t>1.04.03.003</t>
  </si>
  <si>
    <t>1.04.03.004</t>
  </si>
  <si>
    <t>1.04.03.005</t>
  </si>
  <si>
    <t>1.04.03.006</t>
  </si>
  <si>
    <t>1.03.01.026</t>
  </si>
  <si>
    <t>1.04.03.007</t>
  </si>
  <si>
    <t>1.04.02.007</t>
  </si>
  <si>
    <t>1.04.02.008</t>
  </si>
  <si>
    <t>1.04.03.008</t>
  </si>
  <si>
    <t>1.04.02.009</t>
  </si>
  <si>
    <t>1.04.03.009</t>
  </si>
  <si>
    <t>1.04.03.010</t>
  </si>
  <si>
    <t>1.04.03.011</t>
  </si>
  <si>
    <t>2.01.01</t>
  </si>
  <si>
    <t>2.01.01.001</t>
  </si>
  <si>
    <t>2.01.01.003</t>
  </si>
  <si>
    <t>2.01.01.004</t>
  </si>
  <si>
    <t>2.01.01.005</t>
  </si>
  <si>
    <t>2.01.01.006</t>
  </si>
  <si>
    <t>2.01.01.007</t>
  </si>
  <si>
    <t>2.01.01.008</t>
  </si>
  <si>
    <t>2.01.01.009</t>
  </si>
  <si>
    <t>2.01.01.010</t>
  </si>
  <si>
    <t>Propietarios a pagar x vta de lotes</t>
  </si>
  <si>
    <t>2.01.01.011</t>
  </si>
  <si>
    <t>2.02.01</t>
  </si>
  <si>
    <t>2.02.01.001</t>
  </si>
  <si>
    <t>2.02.02.001</t>
  </si>
  <si>
    <t>2.02.01.002</t>
  </si>
  <si>
    <t>2.02.01.003</t>
  </si>
  <si>
    <t>2.02.01.004</t>
  </si>
  <si>
    <t>2.02.01.005</t>
  </si>
  <si>
    <t>2.02.01.006</t>
  </si>
  <si>
    <t>2.02.01.007</t>
  </si>
  <si>
    <t>2.02.01.008</t>
  </si>
  <si>
    <t>2.02.01.009</t>
  </si>
  <si>
    <t>2.02.01.010</t>
  </si>
  <si>
    <t>2.02.01.011</t>
  </si>
  <si>
    <t>2.02.02</t>
  </si>
  <si>
    <t>2.02.02.002</t>
  </si>
  <si>
    <t>2.02.02.003</t>
  </si>
  <si>
    <t>2.02.02.004</t>
  </si>
  <si>
    <t>2.02.02.005</t>
  </si>
  <si>
    <t>2.02.02.006</t>
  </si>
  <si>
    <t>2.02.02.007</t>
  </si>
  <si>
    <t>2.02.02.008</t>
  </si>
  <si>
    <t>2.02.02.009</t>
  </si>
  <si>
    <t>2.02.02.010</t>
  </si>
  <si>
    <t>2.02.02.011</t>
  </si>
  <si>
    <t>TEM a Pagar</t>
  </si>
  <si>
    <t>2.02.02.012</t>
  </si>
  <si>
    <t>2.02.02.013</t>
  </si>
  <si>
    <t>2.02.02.014</t>
  </si>
  <si>
    <t>2.02.02.015</t>
  </si>
  <si>
    <t>2.02.02.016</t>
  </si>
  <si>
    <t>2.02.02.017</t>
  </si>
  <si>
    <t>2.02.02.018</t>
  </si>
  <si>
    <t>2.02.02.019</t>
  </si>
  <si>
    <t>2.02.02.020</t>
  </si>
  <si>
    <t>2.02.02.021</t>
  </si>
  <si>
    <t>2.02.02.022</t>
  </si>
  <si>
    <t>2.02.02.023</t>
  </si>
  <si>
    <t>2.02.02.024</t>
  </si>
  <si>
    <t>2.03.01</t>
  </si>
  <si>
    <t>2.04.01</t>
  </si>
  <si>
    <t>2.03.02</t>
  </si>
  <si>
    <t>2.04.02</t>
  </si>
  <si>
    <t>2.03.01.001</t>
  </si>
  <si>
    <t>2.04.02.001</t>
  </si>
  <si>
    <t>2.04.01.001</t>
  </si>
  <si>
    <t>2.04.01.002</t>
  </si>
  <si>
    <t>2.04.01.003</t>
  </si>
  <si>
    <t>2.04.02.002</t>
  </si>
  <si>
    <t>2.02.01.012</t>
  </si>
  <si>
    <t>2.05.01</t>
  </si>
  <si>
    <t>2.05.01.001</t>
  </si>
  <si>
    <t>2.05.02.001</t>
  </si>
  <si>
    <t>2.05.01.002</t>
  </si>
  <si>
    <t>2.05.02</t>
  </si>
  <si>
    <t>3.01.01</t>
  </si>
  <si>
    <t>3.01.01.001</t>
  </si>
  <si>
    <t>3.01.01.002</t>
  </si>
  <si>
    <t>3.01.01.004</t>
  </si>
  <si>
    <t>3.01.01.005</t>
  </si>
  <si>
    <t>3.01.01.006</t>
  </si>
  <si>
    <t>3.01.01.007</t>
  </si>
  <si>
    <t>3.02.01</t>
  </si>
  <si>
    <t>3.02.01.001</t>
  </si>
  <si>
    <t>3.02.02.001</t>
  </si>
  <si>
    <t>3.02.01.002</t>
  </si>
  <si>
    <t>3.02.02</t>
  </si>
  <si>
    <t>Caja de seg.efect.-Bco.Rio Maipú</t>
  </si>
  <si>
    <t>Caja Compensación</t>
  </si>
  <si>
    <t>Banco cta cte U$S</t>
  </si>
  <si>
    <t>Fondo común de inversión</t>
  </si>
  <si>
    <t>Am.Acum. Inm.p/ inversión</t>
  </si>
  <si>
    <t>Contratos de Locación a Cobrar</t>
  </si>
  <si>
    <t>Títulos Públicos</t>
  </si>
  <si>
    <t>Plazo fijo en dólares</t>
  </si>
  <si>
    <t>Depósitos en Garantía a Cobrar</t>
  </si>
  <si>
    <t>Operación Locación Inm. 3</t>
  </si>
  <si>
    <t>Dep. Garantía Alquileres de 3 a cobrar</t>
  </si>
  <si>
    <t>Otros Créditos a Cobrar</t>
  </si>
  <si>
    <t>Deudores en Gestión</t>
  </si>
  <si>
    <t>Previsión prar Créditos Incobrables</t>
  </si>
  <si>
    <t>IVA Crédito Fiscal 21 %</t>
  </si>
  <si>
    <t>IVA Crédito Fiscal 10 5 %</t>
  </si>
  <si>
    <t>IVA Crédito Fiscal 27 %</t>
  </si>
  <si>
    <t>Imp.Ley 25413-Crédito</t>
  </si>
  <si>
    <t>IVA Crédito Fiscal Pendiente</t>
  </si>
  <si>
    <t>Percepción Publicidad y Propaganda</t>
  </si>
  <si>
    <t>Percepción TEM</t>
  </si>
  <si>
    <t>Certificado crédito fiscal</t>
  </si>
  <si>
    <t>Tarjeta crédito corporativa a pagar</t>
  </si>
  <si>
    <t>depósitos en Garantia</t>
  </si>
  <si>
    <t>depósito en Gtia Alquileres a Reintegrar</t>
  </si>
  <si>
    <t>Previsión p/ Juicios</t>
  </si>
  <si>
    <t>Provisión Para Despidos</t>
  </si>
  <si>
    <t>Imp. Ganancias-Provisión</t>
  </si>
  <si>
    <t>Provisión p/  SAC a pagar</t>
  </si>
  <si>
    <t>Provisión Impositiva</t>
  </si>
  <si>
    <t>IVA Débito Fiscal 10 5 %</t>
  </si>
  <si>
    <t>IVA Débito Fiscal 21%</t>
  </si>
  <si>
    <t>Imp.a Gcia. MÃínima Presunta a Pagar</t>
  </si>
  <si>
    <t>Salud Pública a Pagar</t>
  </si>
  <si>
    <t>Provisión Vacaciones a Pagar</t>
  </si>
  <si>
    <t xml:space="preserve">CONSTRUCCION OBRA </t>
  </si>
  <si>
    <t>4.01.01</t>
  </si>
  <si>
    <t>CONSTRUCCION OBRA PROPIA</t>
  </si>
  <si>
    <t>4.01.01.001</t>
  </si>
  <si>
    <t>Ing. Obra prop - Vta Inmueble</t>
  </si>
  <si>
    <t>4.01.01.002</t>
  </si>
  <si>
    <t>4.01.02</t>
  </si>
  <si>
    <t>CONSTRUCCION OBRA DE TERCEROS</t>
  </si>
  <si>
    <t>Ing. Obra 3ros - Certif Obras y serv</t>
  </si>
  <si>
    <t>4.01.02.002</t>
  </si>
  <si>
    <t>4.01.02.001</t>
  </si>
  <si>
    <t xml:space="preserve">OTROS INGRESOS </t>
  </si>
  <si>
    <t>4.04.01</t>
  </si>
  <si>
    <t>4.04.02</t>
  </si>
  <si>
    <t xml:space="preserve">INGRESOS FINANCIEROS </t>
  </si>
  <si>
    <t>INGRESOS DIVERSOS</t>
  </si>
  <si>
    <t>Ing. Diversos-Venta Bs de Uso</t>
  </si>
  <si>
    <t>Ing. Diversos-Venta inversiones</t>
  </si>
  <si>
    <t>Ing. Diversos-Varios</t>
  </si>
  <si>
    <t>4.04.02.001</t>
  </si>
  <si>
    <t>4.04.02.002</t>
  </si>
  <si>
    <t>4.04.02.004</t>
  </si>
  <si>
    <t>4.04.02.003</t>
  </si>
  <si>
    <t>Ing. Obra 3ros - Honorarios por Administración</t>
  </si>
  <si>
    <t>Eliminar actividad vieja</t>
  </si>
  <si>
    <t>Ing. Financ - Intereses Inversiones</t>
  </si>
  <si>
    <t>Ing. Financ - Dif de cambio</t>
  </si>
  <si>
    <t xml:space="preserve">Ing. Financ - Resultado por tenencia </t>
  </si>
  <si>
    <t xml:space="preserve">Ing. Diversos-Subsidios recibidos </t>
  </si>
  <si>
    <t>4.01.02.003</t>
  </si>
  <si>
    <t>Ing. Obra 3ros - Recupero de gastos</t>
  </si>
  <si>
    <t xml:space="preserve">Ing. Obra 3ros - Honorarios por Dirección </t>
  </si>
  <si>
    <t xml:space="preserve">DESARROLLOS INMOBILIARIOS </t>
  </si>
  <si>
    <t>Ing. Des Inmob - Venta de Lotes</t>
  </si>
  <si>
    <t>4.02.01.001</t>
  </si>
  <si>
    <t>4.02.01</t>
  </si>
  <si>
    <t xml:space="preserve">LOTEOS </t>
  </si>
  <si>
    <t>Ing. Des Inmob - Venta de Lotes GCI</t>
  </si>
  <si>
    <t>4.02.01.002</t>
  </si>
  <si>
    <t>Ing. Des Inmob - Venta de Lotes AW</t>
  </si>
  <si>
    <t>Ing. Des Inmob - Venta de Lotes Eleonora CI</t>
  </si>
  <si>
    <t>4.02.01.003</t>
  </si>
  <si>
    <t>Ing. Des Inmob - Venta de Lotes Marcos W</t>
  </si>
  <si>
    <t>4.02.01.004</t>
  </si>
  <si>
    <t>Ing. Des Inmob - Venta de Lotes Sofia L</t>
  </si>
  <si>
    <t>4.02.01.005</t>
  </si>
  <si>
    <t>Ing. Des Inmob - Venta de Lotes EL</t>
  </si>
  <si>
    <t>4.02.01.006</t>
  </si>
  <si>
    <t>4.02.01.007</t>
  </si>
  <si>
    <t>Ing. Des Inmob - Recupero Gtos Loteo</t>
  </si>
  <si>
    <t>4.03.01</t>
  </si>
  <si>
    <t>INMOBILIARIA</t>
  </si>
  <si>
    <t xml:space="preserve">ALQUILERES PROPIOS </t>
  </si>
  <si>
    <t>4.03.02</t>
  </si>
  <si>
    <t>ALQUILERES DE TERCEROS</t>
  </si>
  <si>
    <t>4.03.02.001</t>
  </si>
  <si>
    <t>4.03.02.002</t>
  </si>
  <si>
    <t>4.03.01.002</t>
  </si>
  <si>
    <t>4.03.01.001</t>
  </si>
  <si>
    <t>Ing. Inmob - Alq prop - Alquiler Laprida 401</t>
  </si>
  <si>
    <t>Ing. Inmob - Alq prop - Alquiler Maipu 605</t>
  </si>
  <si>
    <t>Ing. Diversos-Ganancias Extraordinarias</t>
  </si>
  <si>
    <t>Ing. Obra prop - Intereses Vta Inmp Propio</t>
  </si>
  <si>
    <t>Ing. Des Inmob - Venta de Lotes Macarena CI</t>
  </si>
  <si>
    <t>4.02.01.008</t>
  </si>
  <si>
    <t>4.02.01.009</t>
  </si>
  <si>
    <t>Ing. Des Inmob - Intereses Vta Loteos</t>
  </si>
  <si>
    <t>4.02.01.010</t>
  </si>
  <si>
    <t>1.02.02.007</t>
  </si>
  <si>
    <t xml:space="preserve">Pasar a inversiones </t>
  </si>
  <si>
    <t>4.03.01.003</t>
  </si>
  <si>
    <t>Ing. Inmob - Alq prop - Intereses Alquiler</t>
  </si>
  <si>
    <t xml:space="preserve">GASTOS OBRA </t>
  </si>
  <si>
    <t>5.01.01.001</t>
  </si>
  <si>
    <t>5.01.01.002</t>
  </si>
  <si>
    <t>5.01.01</t>
  </si>
  <si>
    <t>TRABAJOS PRELIMINARES</t>
  </si>
  <si>
    <t>5.01.01.003</t>
  </si>
  <si>
    <t>Eg. Obra - Trab Prelim - Honorarios Capatacia</t>
  </si>
  <si>
    <t>5.01.01.004</t>
  </si>
  <si>
    <t>5.01.01.005</t>
  </si>
  <si>
    <t>5.01.01.006</t>
  </si>
  <si>
    <t>5.01.07</t>
  </si>
  <si>
    <t>5.01.07.001</t>
  </si>
  <si>
    <t>5.01.02</t>
  </si>
  <si>
    <t>ESTRUCTURA</t>
  </si>
  <si>
    <t>5.01.02.002</t>
  </si>
  <si>
    <t>Eg. Obra-A distribuir-Fletes</t>
  </si>
  <si>
    <t>Eg. Obra-A distribuir-Sueldos y jornales</t>
  </si>
  <si>
    <t>Eg. Obra-A distribuir-Vacaciones</t>
  </si>
  <si>
    <t xml:space="preserve">Eg. Obra-A distribuir-Cargas Sociales </t>
  </si>
  <si>
    <t xml:space="preserve">Eg. Obra-A distribuir-Aguinaldo </t>
  </si>
  <si>
    <t>Eg. Obra-A distribuir-Amortizaciones</t>
  </si>
  <si>
    <t>Eg. Obra-A distribuir- Reparacion y mant de BU</t>
  </si>
  <si>
    <t>Eg. Obra-A distribuir-Combustible</t>
  </si>
  <si>
    <t>5.01.07.002</t>
  </si>
  <si>
    <t>5.01.07.003</t>
  </si>
  <si>
    <t>5.01.07.004</t>
  </si>
  <si>
    <t>5.01.07.005</t>
  </si>
  <si>
    <t>5.01.07.006</t>
  </si>
  <si>
    <t>Eg. Obra-A distribuir-Impresos y utiles</t>
  </si>
  <si>
    <t>Eg. Obra-A distribuir-Gastos diversos</t>
  </si>
  <si>
    <t>Eg. Obra-A distribuir-Mobilidad y gastos</t>
  </si>
  <si>
    <t>Eg. Obra-Trab Prelim-Estudios de suelo y desague</t>
  </si>
  <si>
    <t>5.01.01.007</t>
  </si>
  <si>
    <t>5.02.01.001</t>
  </si>
  <si>
    <t>5.02.01.002</t>
  </si>
  <si>
    <t>1.01.01.013</t>
  </si>
  <si>
    <t>Caja M. Extr. Euros</t>
  </si>
  <si>
    <t>1.04.03.012</t>
  </si>
  <si>
    <t>Batia Vs Otros</t>
  </si>
  <si>
    <t>1.04.02.010</t>
  </si>
  <si>
    <t>1.04.03.013</t>
  </si>
  <si>
    <t>1.05.03.002</t>
  </si>
  <si>
    <t>1.05.03.003</t>
  </si>
  <si>
    <t xml:space="preserve">Otros Bs de Cambio </t>
  </si>
  <si>
    <t>2.01.01.012</t>
  </si>
  <si>
    <t xml:space="preserve">Otras deudas comerciales </t>
  </si>
  <si>
    <t>2.02.01.013</t>
  </si>
  <si>
    <t xml:space="preserve">Otras deudas sociales </t>
  </si>
  <si>
    <t>2.01.01.013</t>
  </si>
  <si>
    <t>Señas de Clientes</t>
  </si>
  <si>
    <t>2.03.01.002</t>
  </si>
  <si>
    <t xml:space="preserve">Otros prestamos </t>
  </si>
  <si>
    <t>5.01.02.001</t>
  </si>
  <si>
    <t>5.01.03.001</t>
  </si>
  <si>
    <t>5.01.06.001</t>
  </si>
  <si>
    <t>Eg. Obra-Yeseria-Sueldos y jornales</t>
  </si>
  <si>
    <t>5.01.05.001</t>
  </si>
  <si>
    <t>Eg. Obra-Inst Sanitaria-Sueldos y jornales</t>
  </si>
  <si>
    <t>Eg. Obra-Pintura-Sueldos y jornales</t>
  </si>
  <si>
    <t>5.01.04.001</t>
  </si>
  <si>
    <t>Eg. Obra-Varios-Sueldos y jornales</t>
  </si>
  <si>
    <t>5.01.02.004</t>
  </si>
  <si>
    <t xml:space="preserve">Eg. Obra-Pintura-Cargas Sociales </t>
  </si>
  <si>
    <t>5.01.06.004</t>
  </si>
  <si>
    <t xml:space="preserve">Eg. Obra-Carpinteria-Cargas Sociales </t>
  </si>
  <si>
    <t xml:space="preserve">Eg. Obra-Yeseria-Cargas Sociales </t>
  </si>
  <si>
    <t>5.01.05.004</t>
  </si>
  <si>
    <t xml:space="preserve">Eg. Obra-Inst Sanitaria-Cargas Sociales </t>
  </si>
  <si>
    <t>5.01.03.004</t>
  </si>
  <si>
    <t>5.01.04.004</t>
  </si>
  <si>
    <t xml:space="preserve">Eg. Obra-Varios-Cargas Sociales </t>
  </si>
  <si>
    <t>5.03.01.001</t>
  </si>
  <si>
    <t>Eg. Alq propio-Sueldos y jornales</t>
  </si>
  <si>
    <t>5.05.01.001</t>
  </si>
  <si>
    <t>5.01.08.001</t>
  </si>
  <si>
    <t>5.01.08.004</t>
  </si>
  <si>
    <t>5.03.01.004</t>
  </si>
  <si>
    <t xml:space="preserve">Eg. Alq propio-Cargas Sociales </t>
  </si>
  <si>
    <t>5.05.01.004</t>
  </si>
  <si>
    <t>5.01.06.002</t>
  </si>
  <si>
    <t>Eg. Obra-Carpinteria-Vacaciones</t>
  </si>
  <si>
    <t>Eg. Obra-Pintura-Vacaciones</t>
  </si>
  <si>
    <t>5.01.08.002</t>
  </si>
  <si>
    <t>Eg. Obra-Yeseria-Vacaciones</t>
  </si>
  <si>
    <t>5.01.05.002</t>
  </si>
  <si>
    <t>Eg. Obra-Inst Sanitaria-Vacaciones</t>
  </si>
  <si>
    <t>5.01.03.002</t>
  </si>
  <si>
    <t>5.03.01.002</t>
  </si>
  <si>
    <t>Eg. Alq propio-Vacaciones</t>
  </si>
  <si>
    <t>5.05.01.002</t>
  </si>
  <si>
    <t>5.01.04.002</t>
  </si>
  <si>
    <t>Eg. Obra-Varios-Vacaciones</t>
  </si>
  <si>
    <t>5.01.02.003</t>
  </si>
  <si>
    <t>5.01.03.003</t>
  </si>
  <si>
    <t>5.01.04.003</t>
  </si>
  <si>
    <t xml:space="preserve">Eg. Obra-Varios-Aguinaldo </t>
  </si>
  <si>
    <t>5.01.08.003</t>
  </si>
  <si>
    <t>5.03.01.003</t>
  </si>
  <si>
    <t xml:space="preserve">Eg. Alq propio-Aguinaldo </t>
  </si>
  <si>
    <t>5.05.01.003</t>
  </si>
  <si>
    <t>4.03.01.004</t>
  </si>
  <si>
    <t xml:space="preserve">Ing. Inmob - Alq prop - Recupero de Gastos </t>
  </si>
  <si>
    <t>Eg. Obra-A distribuir-Recuepero 7.6% CS</t>
  </si>
  <si>
    <t>4.01.02.004</t>
  </si>
  <si>
    <t xml:space="preserve"> </t>
  </si>
  <si>
    <t>5.01.03.006</t>
  </si>
  <si>
    <t>5.01.06.006</t>
  </si>
  <si>
    <t>Eg. Obra-Carpinteria-Mano de obra de 3°</t>
  </si>
  <si>
    <t>Eg. Obra-Yeseria-Mano de obra de 3°</t>
  </si>
  <si>
    <t>5.01.05.006</t>
  </si>
  <si>
    <t>Eg. Obra-Inst Sanitaria-Mano de obra de 3°</t>
  </si>
  <si>
    <t>Eg. Obra-Pintura-Mano de obra de 3°</t>
  </si>
  <si>
    <t>5.01.04.006</t>
  </si>
  <si>
    <t>Eg. Obra-Varios-Mano de obra de 3°</t>
  </si>
  <si>
    <t>5.03.01.012</t>
  </si>
  <si>
    <t>Eg. Alq propio-Mano de obra de 3°</t>
  </si>
  <si>
    <t>5.01.03.005</t>
  </si>
  <si>
    <t>5.01.06.005</t>
  </si>
  <si>
    <t>Eg. Obra-Yeseria-Materiales</t>
  </si>
  <si>
    <t>Eg. Obra-Carpinteria-Materiales</t>
  </si>
  <si>
    <t>5.01.05.005</t>
  </si>
  <si>
    <t>Eg. Obra-Inst Sanitaria-Materiales</t>
  </si>
  <si>
    <t>Eg. Obra-Pintura-Materiales</t>
  </si>
  <si>
    <t>5.01.02.005</t>
  </si>
  <si>
    <t>5.03.01.005</t>
  </si>
  <si>
    <t>Eg. Alq propio-Materiales y reparaciones</t>
  </si>
  <si>
    <t>5.01.04.005</t>
  </si>
  <si>
    <t>Eg. Obra-Varios-Materiales</t>
  </si>
  <si>
    <t>5.06.01.001</t>
  </si>
  <si>
    <t>Eg. Financiero-Intereses financiación</t>
  </si>
  <si>
    <t>5.06.01.002</t>
  </si>
  <si>
    <t>Eg. Financiero-Gastos bancarios</t>
  </si>
  <si>
    <t>5.06.01.003</t>
  </si>
  <si>
    <t>Eg. Financiero-Imp Deb y Creds</t>
  </si>
  <si>
    <t>5.06.01.004</t>
  </si>
  <si>
    <t>Eg. Financiero-Dif de Cambio</t>
  </si>
  <si>
    <t>5.06.01.005</t>
  </si>
  <si>
    <t>Eg. Financiero-Int Comerciales</t>
  </si>
  <si>
    <t>5.06.01.006</t>
  </si>
  <si>
    <t>Eg. Financiero-Int y Multas Impositivas</t>
  </si>
  <si>
    <t>5.06.01.007</t>
  </si>
  <si>
    <t>Eg. Financiero-RECPAM</t>
  </si>
  <si>
    <t>Eg. Financiero-Bonificaciones otorgadas</t>
  </si>
  <si>
    <t>5.06.01.008</t>
  </si>
  <si>
    <t>5.06.01.009</t>
  </si>
  <si>
    <t>Eg. Financiero-Resultado por tenencia</t>
  </si>
  <si>
    <t>5.05.01.021</t>
  </si>
  <si>
    <t>Eg. Administración-Reparación y mant de BU</t>
  </si>
  <si>
    <t>Eg. Administración-Sueldos y Jornales</t>
  </si>
  <si>
    <t xml:space="preserve">Eg. Obra-A distribuir-Uniformes al personal </t>
  </si>
  <si>
    <t>5.05.01.006</t>
  </si>
  <si>
    <t>Eg. Administración-Luz, Gas, Agua y Otros</t>
  </si>
  <si>
    <t>5.05.01.007</t>
  </si>
  <si>
    <t>Eg. Administración-Telefono</t>
  </si>
  <si>
    <t>5.05.01.008</t>
  </si>
  <si>
    <t>Eg. Administración-Celulares</t>
  </si>
  <si>
    <t>5.05.01.009</t>
  </si>
  <si>
    <t>Eg. Administración-Internet</t>
  </si>
  <si>
    <t>5.05.01.010</t>
  </si>
  <si>
    <t>Eg. Administración-Impresos y Utiles</t>
  </si>
  <si>
    <t>5.05.01.011</t>
  </si>
  <si>
    <t>Eg. Administración-Movilidad y Gas</t>
  </si>
  <si>
    <t>5.05.01.012</t>
  </si>
  <si>
    <t>Eg. Administración-Seguros</t>
  </si>
  <si>
    <t>5.05.01.013</t>
  </si>
  <si>
    <t>Eg. Administración-Certificaciones</t>
  </si>
  <si>
    <t>5.05.01.014</t>
  </si>
  <si>
    <t>Eg. Administración-Honorarios Legales</t>
  </si>
  <si>
    <t>5.05.01.015</t>
  </si>
  <si>
    <t>Eg. Administración-Honorarios Socios</t>
  </si>
  <si>
    <t>5.05.01.016</t>
  </si>
  <si>
    <t>Eg. Administración-Honorarios Contables</t>
  </si>
  <si>
    <t>5.05.01.017</t>
  </si>
  <si>
    <t>Eg. Administración-Honorarios Técnicos</t>
  </si>
  <si>
    <t>5.05.01.020</t>
  </si>
  <si>
    <t>5.05.01.024</t>
  </si>
  <si>
    <t>Eg. Administración-Limpieza y desinfección</t>
  </si>
  <si>
    <t>5.05.01.023</t>
  </si>
  <si>
    <t>Eg. Administración-Cafeteria y refrigerio</t>
  </si>
  <si>
    <t>Eg. Administración-Correspondencia</t>
  </si>
  <si>
    <t>5.05.01.022</t>
  </si>
  <si>
    <t>Eg. Administración-Capacitación</t>
  </si>
  <si>
    <t>5.05.01.019</t>
  </si>
  <si>
    <t>Eg. Administración-Combustibles</t>
  </si>
  <si>
    <t>5.05.01.018</t>
  </si>
  <si>
    <t>Eg. Administración-Gastos Diversos</t>
  </si>
  <si>
    <t>5.05.01.025</t>
  </si>
  <si>
    <t>Eg. Administración-Seguridad</t>
  </si>
  <si>
    <t>5.05.01.026</t>
  </si>
  <si>
    <t>Eg. Administración-Expensas</t>
  </si>
  <si>
    <t>5.05.01.027</t>
  </si>
  <si>
    <t>Eg. Administración-Gastos Computación</t>
  </si>
  <si>
    <t>5.05.01.029</t>
  </si>
  <si>
    <t>Eg. Administración-Mobiliario y equipamiento oficina</t>
  </si>
  <si>
    <t>5.05.01.028</t>
  </si>
  <si>
    <t>Eg. Administración-Alquileres</t>
  </si>
  <si>
    <t>5.05.01.030</t>
  </si>
  <si>
    <t>Eg. Administración-Dif Redondeo</t>
  </si>
  <si>
    <t>5.03.01.009</t>
  </si>
  <si>
    <t>Eg. Alq propio-Luz, Gas, Agua y otros</t>
  </si>
  <si>
    <t>5.03.01.010</t>
  </si>
  <si>
    <t>Eg. Alq propio-Gastos Diversos</t>
  </si>
  <si>
    <t>4.03.01.005</t>
  </si>
  <si>
    <t>Eg. Administración-Cargas Sociales</t>
  </si>
  <si>
    <t>Eg. Obra-A distribuir-Patente rodado</t>
  </si>
  <si>
    <t>5.07.01.003</t>
  </si>
  <si>
    <t xml:space="preserve">Eg. Imp y Tasas-Impuestos Bs Personales </t>
  </si>
  <si>
    <t>5.07.01.002</t>
  </si>
  <si>
    <t>Eg. Imp y Tasas-Otros impuestos y tasas</t>
  </si>
  <si>
    <t>5.04.01.007</t>
  </si>
  <si>
    <t>Eg. Comercial-TEM</t>
  </si>
  <si>
    <t>5.04.01.002</t>
  </si>
  <si>
    <t>Eg. Comercial-Comisiones</t>
  </si>
  <si>
    <t>5.04.01.006</t>
  </si>
  <si>
    <t>Eg. Comercial-Ingresos Brutos</t>
  </si>
  <si>
    <t>5.04.01.005</t>
  </si>
  <si>
    <t>Eg. Comercial- Deudores Incobrables</t>
  </si>
  <si>
    <t>5.04.01.001</t>
  </si>
  <si>
    <t>Eg. Comercial-Gastos Diversos</t>
  </si>
  <si>
    <t>5.04.01.003</t>
  </si>
  <si>
    <t>Eg. Comercial-Publicidad y Propaganda</t>
  </si>
  <si>
    <t>5.04.01.004</t>
  </si>
  <si>
    <t>Eg. Comercial-Gs de Representacion</t>
  </si>
  <si>
    <t>Ing. Inmob - Alq 3ros - Alquiler</t>
  </si>
  <si>
    <t>Ing. Inmob - Alq 3ros - Comisión</t>
  </si>
  <si>
    <t>4.03.02.003</t>
  </si>
  <si>
    <t>Ing. Inmob - Alq 3ros - Intereses Alquiler</t>
  </si>
  <si>
    <t>Eg. Obra-Trab Prelim-Luz, Gas, Agua Otros</t>
  </si>
  <si>
    <t>Ing. Inmob - Adm Edif - Expensas</t>
  </si>
  <si>
    <t>5.02.01.009</t>
  </si>
  <si>
    <t>Eg Loteos-Expensas</t>
  </si>
  <si>
    <t>Ing. Inmob - Adm Edif - Varios</t>
  </si>
  <si>
    <t>4.03.03.002</t>
  </si>
  <si>
    <t>4.03.03.001</t>
  </si>
  <si>
    <t>Eg. Obra-Mov. Suelo -Mano de obra de 3°</t>
  </si>
  <si>
    <t>Eg. Obra-Mov. Suelo -Excavación a mano</t>
  </si>
  <si>
    <t>Eg. Obra-Mov. Suelo -Excavación a maquina</t>
  </si>
  <si>
    <t>Eg. Obra-Mov. Suelo -Retiro de tierra</t>
  </si>
  <si>
    <t>Eg. Obra-Mov. Suelo -Materiales</t>
  </si>
  <si>
    <t>Eg. Obra-Estructura-Materiales</t>
  </si>
  <si>
    <t>Eg. Obra-Estructura-Mano de obra de 3°</t>
  </si>
  <si>
    <t>Eg. Obra-Estructura-Sueldos y jornales</t>
  </si>
  <si>
    <t xml:space="preserve">Eg. Obra-Estructura-Cargas Sociales </t>
  </si>
  <si>
    <t>Eg. Obra-Estructura-Vacaciones</t>
  </si>
  <si>
    <t xml:space="preserve">Eg. Obra-Estructura-Aguinaldo </t>
  </si>
  <si>
    <t>Eg. Obra-Albañileria-Mano de obra de 3°</t>
  </si>
  <si>
    <t>Eg. Obra-Albañileria-Materiales</t>
  </si>
  <si>
    <t>Eg. Obra-Albañileria-Sueldos y jornales</t>
  </si>
  <si>
    <t xml:space="preserve">Eg. Obra-Albañileria-Cargas Sociales </t>
  </si>
  <si>
    <t>Eg. Obra-Albañileria-Vacaciones</t>
  </si>
  <si>
    <t xml:space="preserve">Eg. Obra-Albañileria-Aguinaldo </t>
  </si>
  <si>
    <t>5.01.05.003</t>
  </si>
  <si>
    <t>Eg. Obra-Herreria y Carpint-Materiales</t>
  </si>
  <si>
    <t>Eg. Obra-Herreria y Carpint-Mano de obra de 3°</t>
  </si>
  <si>
    <t>Eg. Obra-Herreria y Carpint-Sueldos y jornales</t>
  </si>
  <si>
    <t xml:space="preserve">Eg. Obra-Herreria y Carpint-Cargas Sociales </t>
  </si>
  <si>
    <t>Eg. Obra-Herreria y Carpint-Vacaciones</t>
  </si>
  <si>
    <t>5.01.08.005</t>
  </si>
  <si>
    <t>5.01.08.006</t>
  </si>
  <si>
    <t>5.01.09.005</t>
  </si>
  <si>
    <t>5.01.09.006</t>
  </si>
  <si>
    <t>5.01.09.001</t>
  </si>
  <si>
    <t>5.01.09.004</t>
  </si>
  <si>
    <t>5.01.09.002</t>
  </si>
  <si>
    <t>Eg. Obra-Inst Electrica-Materiales</t>
  </si>
  <si>
    <t>Eg. Obra-Inst Electrica-Mano de obra de 3°</t>
  </si>
  <si>
    <t>Eg. Obra-Inst Electrica-Sueldos y jornales</t>
  </si>
  <si>
    <t xml:space="preserve">Eg. Obra-Inst Electrica-Cargas Sociales </t>
  </si>
  <si>
    <t>5.01.10.005</t>
  </si>
  <si>
    <t>5.01.10.006</t>
  </si>
  <si>
    <t>5.01.10.001</t>
  </si>
  <si>
    <t>5.01.10.004</t>
  </si>
  <si>
    <t>5.01.11.009</t>
  </si>
  <si>
    <t>5.01.11.015</t>
  </si>
  <si>
    <t>5.01.11.001</t>
  </si>
  <si>
    <t>5.01.11.004</t>
  </si>
  <si>
    <t>5.01.11.014</t>
  </si>
  <si>
    <t>5.01.11.010</t>
  </si>
  <si>
    <t>5.01.11.008</t>
  </si>
  <si>
    <t>5.01.11.002</t>
  </si>
  <si>
    <t>5.01.11.003</t>
  </si>
  <si>
    <t>5.01.11.012</t>
  </si>
  <si>
    <t>5.01.11.013</t>
  </si>
  <si>
    <t>5.01.11.011</t>
  </si>
  <si>
    <t>5.01.11.007</t>
  </si>
  <si>
    <t>5.01.11.016</t>
  </si>
  <si>
    <t>5.03.01.011</t>
  </si>
  <si>
    <t xml:space="preserve">Eg. Alq propio-Limpieza y desnifección </t>
  </si>
  <si>
    <t xml:space="preserve">Eg. Obra-Varios-Gastos Diversos </t>
  </si>
  <si>
    <t>5.01.05.007</t>
  </si>
  <si>
    <t>5.02.01.010</t>
  </si>
  <si>
    <t>Eg Loteos-Gastos Diversos</t>
  </si>
  <si>
    <t>5.03.01.008</t>
  </si>
  <si>
    <t>Eg. Alq propio-CISI</t>
  </si>
  <si>
    <t>5.02.01.003</t>
  </si>
  <si>
    <t>Eg Loteos- Impuesto inmobiliario</t>
  </si>
  <si>
    <t>5.03.01.006</t>
  </si>
  <si>
    <t>Eg. Alq propio-Impuesto inmobiliario</t>
  </si>
  <si>
    <t>Eg Loteos-Escrituras y Certificaciones</t>
  </si>
  <si>
    <t>Eg Loteos- Costo de venta de inmueble</t>
  </si>
  <si>
    <t>5.02.01.008</t>
  </si>
  <si>
    <t>Eg Loteos- Gastos de mantenimiento</t>
  </si>
  <si>
    <t>5.02.01.011</t>
  </si>
  <si>
    <t>Eg Loteos-Combustible</t>
  </si>
  <si>
    <t>5.02.01.006</t>
  </si>
  <si>
    <t>Eg Loteos- Gastos de seguridad</t>
  </si>
  <si>
    <t>5.02.01.007</t>
  </si>
  <si>
    <t>Eg Loteos- Gastos de infraestructura</t>
  </si>
  <si>
    <t>5.01.05.008</t>
  </si>
  <si>
    <t xml:space="preserve">Eg. Obra-Varios-Herramientas de consumo </t>
  </si>
  <si>
    <t>5.03.01.013</t>
  </si>
  <si>
    <t>Eg. Alq propio-Seguridad</t>
  </si>
  <si>
    <t>Eg. Alq propio-Costo de Vta de Inmueble</t>
  </si>
  <si>
    <t>Eg. Obra-Trab Prelim-Permisos Municipales</t>
  </si>
  <si>
    <t>Eg. Obra-Trab Prelim-Sellados</t>
  </si>
  <si>
    <t>Eg. Obra-Trab Prelim-Otros Gtos Iniciales</t>
  </si>
  <si>
    <t>5.01.01.008</t>
  </si>
  <si>
    <t>Eg. Obra-Trab Prelim-Hon Seguridad e Higiene</t>
  </si>
  <si>
    <t>5.01.05.009</t>
  </si>
  <si>
    <t>Eg. Obra-Varios-Seguros</t>
  </si>
  <si>
    <t>5.01.05.010</t>
  </si>
  <si>
    <t>Eg. Obra-Varios-Seguridad</t>
  </si>
  <si>
    <t xml:space="preserve">Eg. Obra-Trab Prelim-Honorarios Proyecto y Dir. </t>
  </si>
  <si>
    <t>5.01.05.011</t>
  </si>
  <si>
    <t>Eg. Obra-Varios-Gtos Infraestructura</t>
  </si>
  <si>
    <t>4.03.01.006</t>
  </si>
  <si>
    <t>Ing. Inmob - Alq prop - Comisión</t>
  </si>
  <si>
    <t>Ing. Inmob - Alq prop - Alquiler propio</t>
  </si>
  <si>
    <t>Eg. Imp y Tasas-Imp. a las Ganancias</t>
  </si>
  <si>
    <t>5.07.01.001</t>
  </si>
  <si>
    <t xml:space="preserve">IMPUESTOS </t>
  </si>
  <si>
    <t>5.07.01</t>
  </si>
  <si>
    <t>5.07</t>
  </si>
  <si>
    <t>FINANCIEROS</t>
  </si>
  <si>
    <t>5.06.01</t>
  </si>
  <si>
    <t>5.06</t>
  </si>
  <si>
    <t>Eg. Administración-Aguinaldo</t>
  </si>
  <si>
    <t>Eg. Administración-Vacaciones</t>
  </si>
  <si>
    <t>ADMINISTRATIVOS</t>
  </si>
  <si>
    <t>5.05.01</t>
  </si>
  <si>
    <t>5.05</t>
  </si>
  <si>
    <t>COMERCIALES</t>
  </si>
  <si>
    <t>5.04.01</t>
  </si>
  <si>
    <t>5.04</t>
  </si>
  <si>
    <t>5.03.02</t>
  </si>
  <si>
    <t>Eg. Alq propio-Certificaciones</t>
  </si>
  <si>
    <t>5.03.01.007</t>
  </si>
  <si>
    <t>ALQUILERES PROPIOS</t>
  </si>
  <si>
    <t>5.03.01</t>
  </si>
  <si>
    <t>5.03</t>
  </si>
  <si>
    <t>OTROS DESARROLLOS INMOBILIARIOS</t>
  </si>
  <si>
    <t>5.02.02</t>
  </si>
  <si>
    <t>Eg Loteos- Mano de obra de 3°</t>
  </si>
  <si>
    <t>5.02.01.005</t>
  </si>
  <si>
    <t>Eg Loteos- CISI</t>
  </si>
  <si>
    <t>5.02.01.004</t>
  </si>
  <si>
    <t>LOTEOS</t>
  </si>
  <si>
    <t>5.02.01</t>
  </si>
  <si>
    <t>DESARROLLOS INMOBILIARIOS</t>
  </si>
  <si>
    <t>5.02</t>
  </si>
  <si>
    <t>Eg. Obra-A distribuir-Mano de obra de 3°</t>
  </si>
  <si>
    <t>5.01.11.006</t>
  </si>
  <si>
    <t>Eg. Obra-A distribuir-Materiales</t>
  </si>
  <si>
    <t>5.01.11.005</t>
  </si>
  <si>
    <t xml:space="preserve">GASTOS A DISTRIBUIR </t>
  </si>
  <si>
    <t>5.01.11</t>
  </si>
  <si>
    <t xml:space="preserve">Eg. Obra-Inst Electrica-Aguinaldo </t>
  </si>
  <si>
    <t>5.01.10.003</t>
  </si>
  <si>
    <t>Eg. Obra-Inst Electrica-Vacaciones</t>
  </si>
  <si>
    <t>5.01.10.002</t>
  </si>
  <si>
    <t>INSTALACION ELECTRICA</t>
  </si>
  <si>
    <t>5.01.10</t>
  </si>
  <si>
    <t xml:space="preserve">Eg. Obra-Pintura-Aguinaldo </t>
  </si>
  <si>
    <t>5.01.09.003</t>
  </si>
  <si>
    <t>PINTURA</t>
  </si>
  <si>
    <t>5.01.09</t>
  </si>
  <si>
    <t xml:space="preserve">Eg. Obra-Yeseria-Aguinaldo </t>
  </si>
  <si>
    <t>YESERIA</t>
  </si>
  <si>
    <t>5.01.08</t>
  </si>
  <si>
    <t xml:space="preserve">Eg. Obra-Carpinteria-Aguinaldo </t>
  </si>
  <si>
    <t>HERRERIA Y CARPINTERIA</t>
  </si>
  <si>
    <t xml:space="preserve">Eg. Obra-Inst Sanitaria-Aguinaldo </t>
  </si>
  <si>
    <t>5.01.06.003</t>
  </si>
  <si>
    <t>INSTSALACION SANITARIA</t>
  </si>
  <si>
    <t>5.01.06</t>
  </si>
  <si>
    <t>VARIOS</t>
  </si>
  <si>
    <t>5.01.05</t>
  </si>
  <si>
    <t>ALBAÑILERIA</t>
  </si>
  <si>
    <t>5.01.04</t>
  </si>
  <si>
    <t>5.01.03</t>
  </si>
  <si>
    <t xml:space="preserve">MOVIMIENTO DE SUELO </t>
  </si>
  <si>
    <t>Eg. Obra-Trab Prelim-Honorarios Capatacia</t>
  </si>
  <si>
    <t>4.04</t>
  </si>
  <si>
    <t>Ing. Inmob - Adm Edif - Honorarios por Administración</t>
  </si>
  <si>
    <t>ADMINISTRACION EDIFICIOS</t>
  </si>
  <si>
    <t>4.03.03</t>
  </si>
  <si>
    <t>4.03</t>
  </si>
  <si>
    <t>4.02</t>
  </si>
  <si>
    <t>4.01</t>
  </si>
  <si>
    <t>4</t>
  </si>
  <si>
    <t>RESERVAS</t>
  </si>
  <si>
    <t>3.02</t>
  </si>
  <si>
    <t>3.01</t>
  </si>
  <si>
    <t>3</t>
  </si>
  <si>
    <t>2.05</t>
  </si>
  <si>
    <t>2.04</t>
  </si>
  <si>
    <t>2.03</t>
  </si>
  <si>
    <t>2.02</t>
  </si>
  <si>
    <t>Depósito en Gtia Alquileres a Reintegrar</t>
  </si>
  <si>
    <t>2.01</t>
  </si>
  <si>
    <t>2</t>
  </si>
  <si>
    <t>1.06</t>
  </si>
  <si>
    <t>BC INSUMOS Y MATERIALES</t>
  </si>
  <si>
    <t>1.05.03</t>
  </si>
  <si>
    <t>Obras en Construcción</t>
  </si>
  <si>
    <t>1.05</t>
  </si>
  <si>
    <t xml:space="preserve">CREDITOS CON SOCIOS Y PROPIETARIOS </t>
  </si>
  <si>
    <t>1.04.03</t>
  </si>
  <si>
    <t>Depósitos en Garantia</t>
  </si>
  <si>
    <t>1.04</t>
  </si>
  <si>
    <t>1.03</t>
  </si>
  <si>
    <t>1.02</t>
  </si>
  <si>
    <t>1.01</t>
  </si>
  <si>
    <t>1</t>
  </si>
  <si>
    <t xml:space="preserve">Nivel </t>
  </si>
  <si>
    <t>1.02.02.008</t>
  </si>
  <si>
    <t>1.02.02.009</t>
  </si>
  <si>
    <t>4.04.02.005</t>
  </si>
  <si>
    <t>4.04.01.001</t>
  </si>
  <si>
    <t>4.04.01.002</t>
  </si>
  <si>
    <t>4.04.01.003</t>
  </si>
  <si>
    <t>3.02.02.002</t>
  </si>
  <si>
    <t>4.03.03.003</t>
  </si>
  <si>
    <t>5.03.01.014</t>
  </si>
  <si>
    <t>PLAN DE CUENTAS VIEJO</t>
  </si>
  <si>
    <t>SALDO??</t>
  </si>
  <si>
    <t>ANALISIS LUCIA</t>
  </si>
  <si>
    <t xml:space="preserve">CUENTA PLAN DE CUENTAS NUEVO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</si>
</sst>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8" fillId="0" borderId="0" xfId="0" applyFont="1" applyAlignment="1">
      <alignment horizontal="right"/>
    </xf>
    <xf numFmtId="0" fontId="14" fillId="0" borderId="0" xfId="0" applyFont="1"/>
    <xf numFmtId="0" fontId="0" fillId="0" borderId="0" xfId="0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4" fontId="0" fillId="0" borderId="0" xfId="0" applyNumberFormat="1"/>
    <xf numFmtId="4" fontId="14" fillId="0" borderId="0" xfId="0" applyNumberFormat="1" applyFont="1"/>
    <xf numFmtId="4" fontId="0" fillId="0" borderId="0" xfId="0" applyNumberFormat="1" applyAlignment="1">
      <alignment horizontal="center"/>
    </xf>
    <xf numFmtId="0" fontId="0" fillId="33" borderId="0" xfId="0" applyFill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20" fillId="34" borderId="10" xfId="0" applyFont="1" applyFill="1" applyBorder="1"/>
    <xf numFmtId="0" fontId="0" fillId="35" borderId="0" xfId="0" applyFill="1"/>
    <xf numFmtId="0" fontId="0" fillId="35" borderId="0" xfId="0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20" fillId="34" borderId="10" xfId="0" applyFont="1" applyFill="1" applyBorder="1" applyAlignment="1">
      <alignment horizontal="center"/>
    </xf>
    <xf numFmtId="0" fontId="21" fillId="0" borderId="0" xfId="0" applyFont="1"/>
    <xf numFmtId="0" fontId="20" fillId="33" borderId="11" xfId="0" applyFont="1" applyFill="1" applyBorder="1"/>
    <xf numFmtId="0" fontId="16" fillId="37" borderId="0" xfId="0" applyFont="1" applyFill="1" applyAlignment="1">
      <alignment horizontal="center"/>
    </xf>
    <xf numFmtId="0" fontId="20" fillId="34" borderId="12" xfId="0" applyFont="1" applyFill="1" applyBorder="1"/>
    <xf numFmtId="0" fontId="13" fillId="39" borderId="10" xfId="0" applyFont="1" applyFill="1" applyBorder="1" applyAlignment="1">
      <alignment horizontal="center"/>
    </xf>
    <xf numFmtId="0" fontId="0" fillId="38" borderId="10" xfId="0" applyFill="1" applyBorder="1"/>
    <xf numFmtId="0" fontId="19" fillId="38" borderId="10" xfId="0" applyFont="1" applyFill="1" applyBorder="1"/>
    <xf numFmtId="0" fontId="0" fillId="0" borderId="10" xfId="0" applyBorder="1"/>
    <xf numFmtId="49" fontId="0" fillId="0" borderId="10" xfId="0" applyNumberFormat="1" applyBorder="1" applyAlignment="1">
      <alignment horizontal="left"/>
    </xf>
    <xf numFmtId="0" fontId="0" fillId="33" borderId="10" xfId="0" applyFill="1" applyBorder="1"/>
    <xf numFmtId="0" fontId="14" fillId="38" borderId="10" xfId="0" applyFont="1" applyFill="1" applyBorder="1"/>
    <xf numFmtId="49" fontId="0" fillId="0" borderId="10" xfId="0" applyNumberFormat="1" applyBorder="1"/>
    <xf numFmtId="0" fontId="0" fillId="35" borderId="10" xfId="0" applyFill="1" applyBorder="1"/>
    <xf numFmtId="0" fontId="13" fillId="39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4"/>
  <sheetViews>
    <sheetView zoomScale="80" zoomScaleNormal="80" workbookViewId="0">
      <pane ySplit="1" topLeftCell="A2" activePane="bottomLeft" state="frozen"/>
      <selection pane="bottomLeft" activeCell="B5" sqref="B5"/>
    </sheetView>
  </sheetViews>
  <sheetFormatPr baseColWidth="10" defaultRowHeight="14.25"/>
  <cols>
    <col min="1" max="1" width="11.625" style="10"/>
    <col min="2" max="2" width="54.375" bestFit="1" customWidth="1"/>
  </cols>
  <sheetData>
    <row r="1" spans="1:8" ht="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H1" s="3" t="s">
        <v>9165</v>
      </c>
    </row>
    <row r="2" spans="1:8">
      <c r="A2" s="11" t="s">
        <v>9164</v>
      </c>
      <c r="B2" t="s">
        <v>16</v>
      </c>
      <c r="H2">
        <v>1</v>
      </c>
    </row>
    <row r="3" spans="1:8">
      <c r="A3" s="11" t="s">
        <v>9163</v>
      </c>
      <c r="B3" t="s">
        <v>23</v>
      </c>
      <c r="H3">
        <v>2</v>
      </c>
    </row>
    <row r="4" spans="1:8">
      <c r="A4" s="11" t="s">
        <v>8405</v>
      </c>
      <c r="B4" t="s">
        <v>25</v>
      </c>
      <c r="H4">
        <v>3</v>
      </c>
    </row>
    <row r="5" spans="1:8">
      <c r="A5" s="11" t="s">
        <v>8406</v>
      </c>
      <c r="B5" t="s">
        <v>27</v>
      </c>
      <c r="C5">
        <v>1</v>
      </c>
      <c r="D5" t="s">
        <v>17</v>
      </c>
      <c r="H5">
        <v>4</v>
      </c>
    </row>
    <row r="6" spans="1:8">
      <c r="A6" s="11" t="s">
        <v>8409</v>
      </c>
      <c r="B6" t="s">
        <v>29</v>
      </c>
      <c r="C6">
        <v>2</v>
      </c>
      <c r="D6" t="s">
        <v>17</v>
      </c>
      <c r="F6">
        <v>2</v>
      </c>
      <c r="H6">
        <v>4</v>
      </c>
    </row>
    <row r="7" spans="1:8">
      <c r="A7" s="11" t="s">
        <v>8410</v>
      </c>
      <c r="B7" t="s">
        <v>31</v>
      </c>
      <c r="C7">
        <v>3</v>
      </c>
      <c r="D7" t="s">
        <v>17</v>
      </c>
      <c r="H7">
        <v>4</v>
      </c>
    </row>
    <row r="8" spans="1:8">
      <c r="A8" s="11" t="s">
        <v>8411</v>
      </c>
      <c r="B8" t="s">
        <v>35</v>
      </c>
      <c r="C8">
        <v>152</v>
      </c>
      <c r="D8" t="s">
        <v>17</v>
      </c>
      <c r="H8">
        <v>4</v>
      </c>
    </row>
    <row r="9" spans="1:8">
      <c r="A9" s="11" t="s">
        <v>8432</v>
      </c>
      <c r="B9" t="s">
        <v>8634</v>
      </c>
      <c r="C9">
        <v>1974</v>
      </c>
      <c r="D9" t="s">
        <v>17</v>
      </c>
      <c r="H9">
        <v>4</v>
      </c>
    </row>
    <row r="10" spans="1:8">
      <c r="A10" s="11" t="s">
        <v>8433</v>
      </c>
      <c r="B10" t="s">
        <v>53</v>
      </c>
      <c r="C10">
        <v>2124</v>
      </c>
      <c r="D10" t="s">
        <v>17</v>
      </c>
      <c r="F10">
        <v>2</v>
      </c>
      <c r="H10">
        <v>4</v>
      </c>
    </row>
    <row r="11" spans="1:8">
      <c r="A11" s="11" t="s">
        <v>8434</v>
      </c>
      <c r="B11" t="s">
        <v>65</v>
      </c>
      <c r="C11">
        <v>1736</v>
      </c>
      <c r="D11" t="s">
        <v>17</v>
      </c>
      <c r="H11">
        <v>4</v>
      </c>
    </row>
    <row r="12" spans="1:8">
      <c r="A12" s="11" t="s">
        <v>8435</v>
      </c>
      <c r="B12" t="s">
        <v>69</v>
      </c>
      <c r="C12">
        <v>1740</v>
      </c>
      <c r="D12" t="s">
        <v>17</v>
      </c>
      <c r="F12">
        <v>2</v>
      </c>
      <c r="H12">
        <v>4</v>
      </c>
    </row>
    <row r="13" spans="1:8">
      <c r="A13" s="11" t="s">
        <v>8436</v>
      </c>
      <c r="B13" t="s">
        <v>8635</v>
      </c>
      <c r="C13">
        <v>3600</v>
      </c>
      <c r="D13" t="s">
        <v>17</v>
      </c>
      <c r="H13">
        <v>4</v>
      </c>
    </row>
    <row r="14" spans="1:8">
      <c r="A14" s="11" t="s">
        <v>8437</v>
      </c>
      <c r="B14" t="s">
        <v>87</v>
      </c>
      <c r="C14">
        <v>3844</v>
      </c>
      <c r="D14" t="s">
        <v>17</v>
      </c>
      <c r="H14">
        <v>4</v>
      </c>
    </row>
    <row r="15" spans="1:8">
      <c r="A15" s="11" t="s">
        <v>8438</v>
      </c>
      <c r="B15" t="s">
        <v>89</v>
      </c>
      <c r="C15">
        <v>3870</v>
      </c>
      <c r="D15" t="s">
        <v>17</v>
      </c>
      <c r="H15">
        <v>4</v>
      </c>
    </row>
    <row r="16" spans="1:8">
      <c r="A16" s="11" t="s">
        <v>8439</v>
      </c>
      <c r="B16" t="s">
        <v>91</v>
      </c>
      <c r="C16">
        <v>3874</v>
      </c>
      <c r="D16" t="s">
        <v>17</v>
      </c>
      <c r="F16">
        <v>2</v>
      </c>
      <c r="H16">
        <v>4</v>
      </c>
    </row>
    <row r="17" spans="1:8">
      <c r="A17" s="11" t="s">
        <v>8776</v>
      </c>
      <c r="B17" t="s">
        <v>8777</v>
      </c>
      <c r="C17">
        <v>2122</v>
      </c>
      <c r="D17" t="s">
        <v>17</v>
      </c>
      <c r="F17">
        <v>3</v>
      </c>
      <c r="H17">
        <v>4</v>
      </c>
    </row>
    <row r="18" spans="1:8">
      <c r="A18" s="11" t="s">
        <v>8414</v>
      </c>
      <c r="B18" t="s">
        <v>93</v>
      </c>
      <c r="H18">
        <v>3</v>
      </c>
    </row>
    <row r="19" spans="1:8">
      <c r="A19" s="11" t="s">
        <v>8416</v>
      </c>
      <c r="B19" t="s">
        <v>95</v>
      </c>
      <c r="C19">
        <v>4</v>
      </c>
      <c r="D19" t="s">
        <v>17</v>
      </c>
      <c r="E19">
        <v>3</v>
      </c>
      <c r="H19">
        <v>4</v>
      </c>
    </row>
    <row r="20" spans="1:8">
      <c r="A20" s="11" t="s">
        <v>8417</v>
      </c>
      <c r="B20" t="s">
        <v>97</v>
      </c>
      <c r="C20">
        <v>5</v>
      </c>
      <c r="D20" t="s">
        <v>17</v>
      </c>
      <c r="E20">
        <v>3</v>
      </c>
      <c r="H20">
        <v>4</v>
      </c>
    </row>
    <row r="21" spans="1:8">
      <c r="A21" s="11" t="s">
        <v>8418</v>
      </c>
      <c r="B21" t="s">
        <v>8636</v>
      </c>
      <c r="C21">
        <v>3607</v>
      </c>
      <c r="D21" t="s">
        <v>17</v>
      </c>
      <c r="E21">
        <v>3</v>
      </c>
      <c r="F21">
        <v>2</v>
      </c>
      <c r="H21">
        <v>4</v>
      </c>
    </row>
    <row r="22" spans="1:8">
      <c r="A22" s="11" t="s">
        <v>9162</v>
      </c>
      <c r="B22" t="s">
        <v>101</v>
      </c>
      <c r="H22">
        <v>2</v>
      </c>
    </row>
    <row r="23" spans="1:8">
      <c r="A23" s="11" t="s">
        <v>8420</v>
      </c>
      <c r="B23" t="s">
        <v>8412</v>
      </c>
      <c r="H23">
        <v>3</v>
      </c>
    </row>
    <row r="24" spans="1:8">
      <c r="A24" s="11" t="s">
        <v>8421</v>
      </c>
      <c r="B24" t="s">
        <v>105</v>
      </c>
      <c r="C24">
        <v>6</v>
      </c>
      <c r="D24" t="s">
        <v>17</v>
      </c>
      <c r="H24">
        <v>4</v>
      </c>
    </row>
    <row r="25" spans="1:8">
      <c r="A25" s="11" t="s">
        <v>8422</v>
      </c>
      <c r="B25" t="s">
        <v>8640</v>
      </c>
      <c r="C25">
        <v>7</v>
      </c>
      <c r="D25" t="s">
        <v>17</v>
      </c>
      <c r="H25">
        <v>4</v>
      </c>
    </row>
    <row r="26" spans="1:8">
      <c r="A26" s="11" t="s">
        <v>8423</v>
      </c>
      <c r="B26" t="s">
        <v>8637</v>
      </c>
      <c r="C26">
        <v>1977</v>
      </c>
      <c r="D26" t="s">
        <v>17</v>
      </c>
      <c r="E26">
        <v>3</v>
      </c>
      <c r="H26">
        <v>4</v>
      </c>
    </row>
    <row r="27" spans="1:8">
      <c r="A27" s="11" t="s">
        <v>8427</v>
      </c>
      <c r="B27" t="s">
        <v>113</v>
      </c>
      <c r="C27">
        <v>8</v>
      </c>
      <c r="D27" t="s">
        <v>17</v>
      </c>
      <c r="E27">
        <v>3</v>
      </c>
      <c r="H27">
        <v>4</v>
      </c>
    </row>
    <row r="28" spans="1:8">
      <c r="A28" s="11" t="s">
        <v>8429</v>
      </c>
      <c r="B28" t="s">
        <v>115</v>
      </c>
      <c r="C28">
        <v>9</v>
      </c>
      <c r="D28" t="s">
        <v>17</v>
      </c>
      <c r="H28">
        <v>4</v>
      </c>
    </row>
    <row r="29" spans="1:8">
      <c r="A29" s="11" t="s">
        <v>8430</v>
      </c>
      <c r="B29" t="s">
        <v>8641</v>
      </c>
      <c r="C29">
        <v>1973</v>
      </c>
      <c r="D29" t="s">
        <v>17</v>
      </c>
      <c r="E29">
        <v>3</v>
      </c>
      <c r="F29">
        <v>2</v>
      </c>
      <c r="H29">
        <v>4</v>
      </c>
    </row>
    <row r="30" spans="1:8">
      <c r="A30" s="11" t="s">
        <v>8415</v>
      </c>
      <c r="B30" t="s">
        <v>119</v>
      </c>
      <c r="H30">
        <v>3</v>
      </c>
    </row>
    <row r="31" spans="1:8">
      <c r="A31" s="11" t="s">
        <v>8424</v>
      </c>
      <c r="B31" t="s">
        <v>563</v>
      </c>
      <c r="C31">
        <v>1905</v>
      </c>
      <c r="D31" t="s">
        <v>17</v>
      </c>
      <c r="H31">
        <v>4</v>
      </c>
    </row>
    <row r="32" spans="1:8">
      <c r="A32" s="11" t="s">
        <v>8425</v>
      </c>
      <c r="B32" t="s">
        <v>126</v>
      </c>
      <c r="C32">
        <v>56</v>
      </c>
      <c r="D32" t="s">
        <v>17</v>
      </c>
      <c r="H32">
        <v>4</v>
      </c>
    </row>
    <row r="33" spans="1:8">
      <c r="A33" s="11" t="s">
        <v>8426</v>
      </c>
      <c r="B33" t="s">
        <v>8638</v>
      </c>
      <c r="C33">
        <v>2097</v>
      </c>
      <c r="D33" t="s">
        <v>17</v>
      </c>
      <c r="H33">
        <v>4</v>
      </c>
    </row>
    <row r="34" spans="1:8">
      <c r="A34" s="11" t="s">
        <v>8539</v>
      </c>
      <c r="B34" t="s">
        <v>429</v>
      </c>
      <c r="C34">
        <v>3877</v>
      </c>
      <c r="D34" t="s">
        <v>17</v>
      </c>
      <c r="E34">
        <v>4</v>
      </c>
      <c r="H34">
        <v>4</v>
      </c>
    </row>
    <row r="35" spans="1:8">
      <c r="A35" s="11" t="s">
        <v>8540</v>
      </c>
      <c r="B35" t="s">
        <v>431</v>
      </c>
      <c r="C35">
        <v>3878</v>
      </c>
      <c r="D35" t="s">
        <v>17</v>
      </c>
      <c r="H35">
        <v>4</v>
      </c>
    </row>
    <row r="36" spans="1:8">
      <c r="A36" s="11" t="s">
        <v>8541</v>
      </c>
      <c r="B36" t="s">
        <v>433</v>
      </c>
      <c r="C36">
        <v>3882</v>
      </c>
      <c r="D36" t="s">
        <v>17</v>
      </c>
      <c r="E36">
        <v>4</v>
      </c>
      <c r="H36">
        <v>4</v>
      </c>
    </row>
    <row r="37" spans="1:8">
      <c r="A37" s="11" t="s">
        <v>8737</v>
      </c>
      <c r="B37" t="s">
        <v>1912</v>
      </c>
      <c r="C37">
        <v>3841</v>
      </c>
      <c r="D37" t="s">
        <v>17</v>
      </c>
      <c r="H37">
        <v>4</v>
      </c>
    </row>
    <row r="38" spans="1:8">
      <c r="A38" s="11" t="s">
        <v>9166</v>
      </c>
      <c r="B38" t="s">
        <v>424</v>
      </c>
      <c r="C38">
        <v>3875</v>
      </c>
      <c r="D38" t="s">
        <v>17</v>
      </c>
      <c r="H38">
        <v>4</v>
      </c>
    </row>
    <row r="39" spans="1:8">
      <c r="A39" s="11" t="s">
        <v>9167</v>
      </c>
      <c r="B39" t="s">
        <v>427</v>
      </c>
      <c r="C39">
        <v>3876</v>
      </c>
      <c r="D39" t="s">
        <v>17</v>
      </c>
      <c r="E39">
        <v>4</v>
      </c>
      <c r="H39">
        <v>4</v>
      </c>
    </row>
    <row r="40" spans="1:8">
      <c r="A40" s="11" t="s">
        <v>8413</v>
      </c>
      <c r="B40" t="s">
        <v>130</v>
      </c>
      <c r="H40">
        <v>3</v>
      </c>
    </row>
    <row r="41" spans="1:8">
      <c r="A41" s="11" t="s">
        <v>8419</v>
      </c>
      <c r="B41" t="s">
        <v>132</v>
      </c>
      <c r="C41">
        <v>3820</v>
      </c>
      <c r="D41" t="s">
        <v>17</v>
      </c>
      <c r="H41">
        <v>4</v>
      </c>
    </row>
    <row r="42" spans="1:8">
      <c r="A42" s="11" t="s">
        <v>9161</v>
      </c>
      <c r="B42" t="s">
        <v>134</v>
      </c>
      <c r="H42">
        <v>2</v>
      </c>
    </row>
    <row r="43" spans="1:8">
      <c r="A43" s="11" t="s">
        <v>8440</v>
      </c>
      <c r="B43" t="s">
        <v>134</v>
      </c>
      <c r="H43">
        <v>3</v>
      </c>
    </row>
    <row r="44" spans="1:8">
      <c r="A44" s="11" t="s">
        <v>8441</v>
      </c>
      <c r="B44" t="s">
        <v>141</v>
      </c>
      <c r="C44">
        <v>12</v>
      </c>
      <c r="D44" t="s">
        <v>17</v>
      </c>
      <c r="E44">
        <v>1</v>
      </c>
      <c r="H44">
        <v>4</v>
      </c>
    </row>
    <row r="45" spans="1:8">
      <c r="A45" s="11" t="s">
        <v>8442</v>
      </c>
      <c r="B45" t="s">
        <v>8639</v>
      </c>
      <c r="C45">
        <v>13</v>
      </c>
      <c r="D45" t="s">
        <v>17</v>
      </c>
      <c r="E45">
        <v>1</v>
      </c>
      <c r="H45">
        <v>4</v>
      </c>
    </row>
    <row r="46" spans="1:8">
      <c r="A46" s="11" t="s">
        <v>8443</v>
      </c>
      <c r="B46" t="s">
        <v>145</v>
      </c>
      <c r="C46">
        <v>14</v>
      </c>
      <c r="D46" t="s">
        <v>17</v>
      </c>
      <c r="E46">
        <v>1</v>
      </c>
      <c r="H46">
        <v>4</v>
      </c>
    </row>
    <row r="47" spans="1:8">
      <c r="A47" s="11" t="s">
        <v>8428</v>
      </c>
      <c r="B47" t="s">
        <v>147</v>
      </c>
      <c r="C47">
        <v>15</v>
      </c>
      <c r="D47" t="s">
        <v>17</v>
      </c>
      <c r="E47">
        <v>1</v>
      </c>
      <c r="H47">
        <v>4</v>
      </c>
    </row>
    <row r="48" spans="1:8">
      <c r="A48" s="11" t="s">
        <v>8444</v>
      </c>
      <c r="B48" t="s">
        <v>149</v>
      </c>
      <c r="C48">
        <v>141</v>
      </c>
      <c r="D48" t="s">
        <v>17</v>
      </c>
      <c r="E48">
        <v>1</v>
      </c>
      <c r="H48">
        <v>4</v>
      </c>
    </row>
    <row r="49" spans="1:8">
      <c r="A49" s="11" t="s">
        <v>8445</v>
      </c>
      <c r="B49" t="s">
        <v>151</v>
      </c>
      <c r="C49">
        <v>142</v>
      </c>
      <c r="D49" t="s">
        <v>17</v>
      </c>
      <c r="E49">
        <v>1</v>
      </c>
      <c r="H49">
        <v>4</v>
      </c>
    </row>
    <row r="50" spans="1:8">
      <c r="A50" s="11" t="s">
        <v>8446</v>
      </c>
      <c r="B50" t="s">
        <v>8642</v>
      </c>
      <c r="C50">
        <v>143</v>
      </c>
      <c r="D50" t="s">
        <v>17</v>
      </c>
      <c r="E50">
        <v>1</v>
      </c>
      <c r="H50">
        <v>4</v>
      </c>
    </row>
    <row r="51" spans="1:8">
      <c r="A51" s="11" t="s">
        <v>8447</v>
      </c>
      <c r="B51" t="s">
        <v>155</v>
      </c>
      <c r="C51">
        <v>347</v>
      </c>
      <c r="D51" t="s">
        <v>17</v>
      </c>
      <c r="E51">
        <v>1</v>
      </c>
      <c r="H51">
        <v>4</v>
      </c>
    </row>
    <row r="52" spans="1:8">
      <c r="A52" s="11" t="s">
        <v>8448</v>
      </c>
      <c r="B52" t="s">
        <v>8643</v>
      </c>
      <c r="C52">
        <v>1392</v>
      </c>
      <c r="D52" t="s">
        <v>17</v>
      </c>
      <c r="E52">
        <v>1</v>
      </c>
      <c r="H52">
        <v>4</v>
      </c>
    </row>
    <row r="53" spans="1:8">
      <c r="A53" s="11" t="s">
        <v>8449</v>
      </c>
      <c r="B53" t="s">
        <v>159</v>
      </c>
      <c r="C53">
        <v>1347</v>
      </c>
      <c r="D53" t="s">
        <v>17</v>
      </c>
      <c r="E53">
        <v>1</v>
      </c>
      <c r="H53">
        <v>4</v>
      </c>
    </row>
    <row r="54" spans="1:8">
      <c r="A54" s="11" t="s">
        <v>8450</v>
      </c>
      <c r="B54" t="s">
        <v>161</v>
      </c>
      <c r="C54">
        <v>341</v>
      </c>
      <c r="D54" t="s">
        <v>17</v>
      </c>
      <c r="E54">
        <v>1</v>
      </c>
      <c r="H54">
        <v>4</v>
      </c>
    </row>
    <row r="55" spans="1:8">
      <c r="A55" s="11" t="s">
        <v>8451</v>
      </c>
      <c r="B55" t="s">
        <v>163</v>
      </c>
      <c r="C55">
        <v>1389</v>
      </c>
      <c r="D55" t="s">
        <v>17</v>
      </c>
      <c r="E55">
        <v>1</v>
      </c>
      <c r="H55">
        <v>4</v>
      </c>
    </row>
    <row r="56" spans="1:8">
      <c r="A56" s="11" t="s">
        <v>8452</v>
      </c>
      <c r="B56" t="s">
        <v>165</v>
      </c>
      <c r="C56">
        <v>1390</v>
      </c>
      <c r="D56" t="s">
        <v>17</v>
      </c>
      <c r="E56">
        <v>1</v>
      </c>
      <c r="H56">
        <v>4</v>
      </c>
    </row>
    <row r="57" spans="1:8">
      <c r="A57" s="11" t="s">
        <v>8453</v>
      </c>
      <c r="B57" t="s">
        <v>8644</v>
      </c>
      <c r="C57">
        <v>1391</v>
      </c>
      <c r="D57" t="s">
        <v>17</v>
      </c>
      <c r="E57">
        <v>1</v>
      </c>
      <c r="H57">
        <v>4</v>
      </c>
    </row>
    <row r="58" spans="1:8">
      <c r="A58" s="11" t="s">
        <v>8454</v>
      </c>
      <c r="B58" t="s">
        <v>169</v>
      </c>
      <c r="C58">
        <v>1608</v>
      </c>
      <c r="D58" t="s">
        <v>17</v>
      </c>
      <c r="E58">
        <v>1</v>
      </c>
      <c r="H58">
        <v>4</v>
      </c>
    </row>
    <row r="59" spans="1:8">
      <c r="A59" s="11" t="s">
        <v>8455</v>
      </c>
      <c r="B59" t="s">
        <v>171</v>
      </c>
      <c r="C59">
        <v>144</v>
      </c>
      <c r="D59" t="s">
        <v>17</v>
      </c>
      <c r="E59">
        <v>1</v>
      </c>
      <c r="H59">
        <v>4</v>
      </c>
    </row>
    <row r="60" spans="1:8">
      <c r="A60" s="11" t="s">
        <v>8456</v>
      </c>
      <c r="B60" t="s">
        <v>173</v>
      </c>
      <c r="C60">
        <v>1972</v>
      </c>
      <c r="D60" t="s">
        <v>17</v>
      </c>
      <c r="E60">
        <v>1</v>
      </c>
      <c r="F60">
        <v>2</v>
      </c>
      <c r="H60">
        <v>4</v>
      </c>
    </row>
    <row r="61" spans="1:8">
      <c r="A61" s="11" t="s">
        <v>8457</v>
      </c>
      <c r="B61" t="s">
        <v>177</v>
      </c>
      <c r="C61">
        <v>3866</v>
      </c>
      <c r="D61" t="s">
        <v>17</v>
      </c>
      <c r="E61">
        <v>1</v>
      </c>
      <c r="H61">
        <v>4</v>
      </c>
    </row>
    <row r="62" spans="1:8">
      <c r="A62" s="11" t="s">
        <v>8458</v>
      </c>
      <c r="B62" t="s">
        <v>181</v>
      </c>
      <c r="C62">
        <v>3867</v>
      </c>
      <c r="D62" t="s">
        <v>17</v>
      </c>
      <c r="E62">
        <v>1</v>
      </c>
      <c r="H62">
        <v>4</v>
      </c>
    </row>
    <row r="63" spans="1:8">
      <c r="A63" s="11" t="s">
        <v>8459</v>
      </c>
      <c r="B63" t="s">
        <v>183</v>
      </c>
      <c r="C63">
        <v>3868</v>
      </c>
      <c r="D63" t="s">
        <v>17</v>
      </c>
      <c r="E63">
        <v>1</v>
      </c>
      <c r="H63">
        <v>4</v>
      </c>
    </row>
    <row r="64" spans="1:8">
      <c r="A64" s="11" t="s">
        <v>8462</v>
      </c>
      <c r="B64" t="s">
        <v>8466</v>
      </c>
      <c r="C64">
        <v>1822</v>
      </c>
      <c r="D64" t="s">
        <v>17</v>
      </c>
      <c r="E64">
        <v>1</v>
      </c>
      <c r="H64">
        <v>4</v>
      </c>
    </row>
    <row r="65" spans="1:8">
      <c r="A65" s="11" t="s">
        <v>8463</v>
      </c>
      <c r="B65" t="s">
        <v>8645</v>
      </c>
      <c r="C65">
        <v>3851</v>
      </c>
      <c r="D65" t="s">
        <v>17</v>
      </c>
      <c r="H65">
        <v>4</v>
      </c>
    </row>
    <row r="66" spans="1:8">
      <c r="A66" s="11" t="s">
        <v>8464</v>
      </c>
      <c r="B66" t="s">
        <v>201</v>
      </c>
      <c r="C66">
        <v>2764</v>
      </c>
      <c r="D66" t="s">
        <v>17</v>
      </c>
      <c r="H66">
        <v>4</v>
      </c>
    </row>
    <row r="67" spans="1:8">
      <c r="A67" s="11" t="s">
        <v>8465</v>
      </c>
      <c r="B67" t="s">
        <v>8646</v>
      </c>
      <c r="C67">
        <v>16</v>
      </c>
      <c r="D67" t="s">
        <v>17</v>
      </c>
      <c r="E67">
        <v>1</v>
      </c>
      <c r="H67">
        <v>4</v>
      </c>
    </row>
    <row r="68" spans="1:8">
      <c r="A68" s="11" t="s">
        <v>8472</v>
      </c>
      <c r="B68" t="s">
        <v>239</v>
      </c>
      <c r="C68">
        <v>17</v>
      </c>
      <c r="D68" t="s">
        <v>17</v>
      </c>
      <c r="E68">
        <v>1</v>
      </c>
      <c r="H68">
        <v>4</v>
      </c>
    </row>
    <row r="69" spans="1:8">
      <c r="A69" s="11" t="s">
        <v>8547</v>
      </c>
      <c r="B69" t="s">
        <v>366</v>
      </c>
      <c r="C69">
        <v>1980</v>
      </c>
      <c r="D69" t="s">
        <v>17</v>
      </c>
      <c r="E69">
        <v>1</v>
      </c>
      <c r="H69">
        <v>4</v>
      </c>
    </row>
    <row r="70" spans="1:8">
      <c r="A70" s="11" t="s">
        <v>8431</v>
      </c>
      <c r="B70" t="s">
        <v>241</v>
      </c>
      <c r="H70">
        <v>3</v>
      </c>
    </row>
    <row r="71" spans="1:8">
      <c r="A71" s="11" t="s">
        <v>8473</v>
      </c>
      <c r="B71" t="s">
        <v>8647</v>
      </c>
      <c r="C71">
        <v>18</v>
      </c>
      <c r="D71" t="s">
        <v>17</v>
      </c>
      <c r="H71">
        <v>4</v>
      </c>
    </row>
    <row r="72" spans="1:8">
      <c r="A72" s="11" t="s">
        <v>9160</v>
      </c>
      <c r="B72" t="s">
        <v>245</v>
      </c>
      <c r="H72">
        <v>2</v>
      </c>
    </row>
    <row r="73" spans="1:8">
      <c r="A73" s="11" t="s">
        <v>8475</v>
      </c>
      <c r="B73" t="s">
        <v>247</v>
      </c>
      <c r="H73">
        <v>3</v>
      </c>
    </row>
    <row r="74" spans="1:8">
      <c r="A74" s="11" t="s">
        <v>8476</v>
      </c>
      <c r="B74" t="s">
        <v>249</v>
      </c>
      <c r="C74">
        <v>19</v>
      </c>
      <c r="D74" t="s">
        <v>17</v>
      </c>
      <c r="H74">
        <v>4</v>
      </c>
    </row>
    <row r="75" spans="1:8">
      <c r="A75" s="11" t="s">
        <v>8479</v>
      </c>
      <c r="B75" t="s">
        <v>251</v>
      </c>
      <c r="C75">
        <v>20</v>
      </c>
      <c r="D75" t="s">
        <v>17</v>
      </c>
      <c r="H75">
        <v>4</v>
      </c>
    </row>
    <row r="76" spans="1:8">
      <c r="A76" s="11" t="s">
        <v>8480</v>
      </c>
      <c r="B76" t="s">
        <v>253</v>
      </c>
      <c r="C76">
        <v>21</v>
      </c>
      <c r="D76" t="s">
        <v>17</v>
      </c>
      <c r="H76">
        <v>4</v>
      </c>
    </row>
    <row r="77" spans="1:8">
      <c r="A77" s="11" t="s">
        <v>8481</v>
      </c>
      <c r="B77" t="s">
        <v>255</v>
      </c>
      <c r="C77">
        <v>22</v>
      </c>
      <c r="D77" t="s">
        <v>17</v>
      </c>
      <c r="H77">
        <v>4</v>
      </c>
    </row>
    <row r="78" spans="1:8">
      <c r="A78" s="11" t="s">
        <v>8482</v>
      </c>
      <c r="B78" t="s">
        <v>257</v>
      </c>
      <c r="C78">
        <v>23</v>
      </c>
      <c r="D78" t="s">
        <v>17</v>
      </c>
      <c r="H78">
        <v>4</v>
      </c>
    </row>
    <row r="79" spans="1:8">
      <c r="A79" s="11" t="s">
        <v>8483</v>
      </c>
      <c r="B79" t="s">
        <v>8648</v>
      </c>
      <c r="C79">
        <v>24</v>
      </c>
      <c r="D79" t="s">
        <v>17</v>
      </c>
      <c r="H79">
        <v>4</v>
      </c>
    </row>
    <row r="80" spans="1:8">
      <c r="A80" s="11" t="s">
        <v>8484</v>
      </c>
      <c r="B80" t="s">
        <v>8649</v>
      </c>
      <c r="C80">
        <v>25</v>
      </c>
      <c r="D80" t="s">
        <v>17</v>
      </c>
      <c r="H80">
        <v>4</v>
      </c>
    </row>
    <row r="81" spans="1:8">
      <c r="A81" s="11" t="s">
        <v>8485</v>
      </c>
      <c r="B81" t="s">
        <v>8650</v>
      </c>
      <c r="C81">
        <v>26</v>
      </c>
      <c r="D81" t="s">
        <v>17</v>
      </c>
      <c r="H81">
        <v>4</v>
      </c>
    </row>
    <row r="82" spans="1:8">
      <c r="A82" s="11" t="s">
        <v>8486</v>
      </c>
      <c r="B82" t="s">
        <v>265</v>
      </c>
      <c r="C82">
        <v>27</v>
      </c>
      <c r="D82" t="s">
        <v>17</v>
      </c>
      <c r="H82">
        <v>4</v>
      </c>
    </row>
    <row r="83" spans="1:8">
      <c r="A83" s="11" t="s">
        <v>8487</v>
      </c>
      <c r="B83" t="s">
        <v>267</v>
      </c>
      <c r="C83">
        <v>28</v>
      </c>
      <c r="D83" t="s">
        <v>17</v>
      </c>
      <c r="H83">
        <v>4</v>
      </c>
    </row>
    <row r="84" spans="1:8">
      <c r="A84" s="11" t="s">
        <v>8488</v>
      </c>
      <c r="B84" t="s">
        <v>269</v>
      </c>
      <c r="C84">
        <v>29</v>
      </c>
      <c r="D84" t="s">
        <v>17</v>
      </c>
      <c r="H84">
        <v>4</v>
      </c>
    </row>
    <row r="85" spans="1:8">
      <c r="A85" s="11" t="s">
        <v>8489</v>
      </c>
      <c r="B85" t="s">
        <v>271</v>
      </c>
      <c r="C85">
        <v>30</v>
      </c>
      <c r="D85" t="s">
        <v>17</v>
      </c>
      <c r="H85">
        <v>4</v>
      </c>
    </row>
    <row r="86" spans="1:8">
      <c r="A86" s="11" t="s">
        <v>8490</v>
      </c>
      <c r="B86" t="s">
        <v>8651</v>
      </c>
      <c r="C86">
        <v>33</v>
      </c>
      <c r="D86" t="s">
        <v>17</v>
      </c>
      <c r="H86">
        <v>4</v>
      </c>
    </row>
    <row r="87" spans="1:8">
      <c r="A87" s="11" t="s">
        <v>8491</v>
      </c>
      <c r="B87" t="s">
        <v>283</v>
      </c>
      <c r="C87">
        <v>37</v>
      </c>
      <c r="D87" t="s">
        <v>17</v>
      </c>
      <c r="H87">
        <v>4</v>
      </c>
    </row>
    <row r="88" spans="1:8">
      <c r="A88" s="11" t="s">
        <v>8492</v>
      </c>
      <c r="B88" t="s">
        <v>8652</v>
      </c>
      <c r="C88">
        <v>1387</v>
      </c>
      <c r="D88" t="s">
        <v>17</v>
      </c>
      <c r="H88">
        <v>4</v>
      </c>
    </row>
    <row r="89" spans="1:8">
      <c r="A89" s="11" t="s">
        <v>8493</v>
      </c>
      <c r="B89" t="s">
        <v>287</v>
      </c>
      <c r="C89">
        <v>1821</v>
      </c>
      <c r="D89" t="s">
        <v>17</v>
      </c>
      <c r="H89">
        <v>4</v>
      </c>
    </row>
    <row r="90" spans="1:8">
      <c r="A90" s="11" t="s">
        <v>8494</v>
      </c>
      <c r="B90" t="s">
        <v>289</v>
      </c>
      <c r="C90">
        <v>1888</v>
      </c>
      <c r="D90" t="s">
        <v>17</v>
      </c>
      <c r="H90">
        <v>4</v>
      </c>
    </row>
    <row r="91" spans="1:8">
      <c r="A91" s="11" t="s">
        <v>8495</v>
      </c>
      <c r="B91" t="s">
        <v>8655</v>
      </c>
      <c r="C91">
        <v>2026</v>
      </c>
      <c r="D91" t="s">
        <v>17</v>
      </c>
      <c r="H91">
        <v>4</v>
      </c>
    </row>
    <row r="92" spans="1:8">
      <c r="A92" s="11" t="s">
        <v>8496</v>
      </c>
      <c r="B92" t="s">
        <v>8654</v>
      </c>
      <c r="C92">
        <v>2120</v>
      </c>
      <c r="D92" t="s">
        <v>17</v>
      </c>
      <c r="H92">
        <v>4</v>
      </c>
    </row>
    <row r="93" spans="1:8">
      <c r="A93" s="11" t="s">
        <v>8497</v>
      </c>
      <c r="B93" t="s">
        <v>8653</v>
      </c>
      <c r="C93">
        <v>2121</v>
      </c>
      <c r="D93" t="s">
        <v>17</v>
      </c>
      <c r="H93">
        <v>4</v>
      </c>
    </row>
    <row r="94" spans="1:8">
      <c r="A94" s="11" t="s">
        <v>8498</v>
      </c>
      <c r="B94" t="s">
        <v>301</v>
      </c>
      <c r="C94">
        <v>3872</v>
      </c>
      <c r="D94" t="s">
        <v>17</v>
      </c>
      <c r="H94">
        <v>4</v>
      </c>
    </row>
    <row r="95" spans="1:8">
      <c r="A95" s="11" t="s">
        <v>8499</v>
      </c>
      <c r="B95" t="s">
        <v>303</v>
      </c>
      <c r="C95">
        <v>3808</v>
      </c>
      <c r="D95" t="s">
        <v>17</v>
      </c>
      <c r="H95">
        <v>4</v>
      </c>
    </row>
    <row r="96" spans="1:8">
      <c r="A96" s="11" t="s">
        <v>8474</v>
      </c>
      <c r="B96" t="s">
        <v>305</v>
      </c>
      <c r="H96">
        <v>3</v>
      </c>
    </row>
    <row r="97" spans="1:8">
      <c r="A97" s="11" t="s">
        <v>8477</v>
      </c>
      <c r="B97" t="s">
        <v>307</v>
      </c>
      <c r="C97">
        <v>74</v>
      </c>
      <c r="D97" t="s">
        <v>17</v>
      </c>
      <c r="E97">
        <v>4</v>
      </c>
      <c r="H97">
        <v>4</v>
      </c>
    </row>
    <row r="98" spans="1:8">
      <c r="A98" s="11" t="s">
        <v>8500</v>
      </c>
      <c r="B98" t="s">
        <v>9159</v>
      </c>
      <c r="C98">
        <v>76</v>
      </c>
      <c r="D98" t="s">
        <v>17</v>
      </c>
      <c r="H98">
        <v>4</v>
      </c>
    </row>
    <row r="99" spans="1:8">
      <c r="A99" s="11" t="s">
        <v>8501</v>
      </c>
      <c r="B99" t="s">
        <v>314</v>
      </c>
      <c r="C99">
        <v>77</v>
      </c>
      <c r="D99" t="s">
        <v>17</v>
      </c>
      <c r="H99">
        <v>4</v>
      </c>
    </row>
    <row r="100" spans="1:8">
      <c r="A100" s="11" t="s">
        <v>8502</v>
      </c>
      <c r="B100" t="s">
        <v>316</v>
      </c>
      <c r="C100">
        <v>78</v>
      </c>
      <c r="D100" t="s">
        <v>17</v>
      </c>
      <c r="E100">
        <v>1</v>
      </c>
      <c r="H100">
        <v>4</v>
      </c>
    </row>
    <row r="101" spans="1:8">
      <c r="A101" s="11" t="s">
        <v>8503</v>
      </c>
      <c r="B101" t="s">
        <v>318</v>
      </c>
      <c r="C101">
        <v>80</v>
      </c>
      <c r="D101" t="s">
        <v>17</v>
      </c>
      <c r="E101">
        <v>4</v>
      </c>
      <c r="H101">
        <v>4</v>
      </c>
    </row>
    <row r="102" spans="1:8">
      <c r="A102" s="11" t="s">
        <v>8504</v>
      </c>
      <c r="B102" t="s">
        <v>320</v>
      </c>
      <c r="C102">
        <v>81</v>
      </c>
      <c r="D102" t="s">
        <v>17</v>
      </c>
      <c r="E102">
        <v>1</v>
      </c>
      <c r="H102">
        <v>4</v>
      </c>
    </row>
    <row r="103" spans="1:8">
      <c r="A103" s="11" t="s">
        <v>8549</v>
      </c>
      <c r="B103" t="s">
        <v>382</v>
      </c>
      <c r="C103">
        <v>2329</v>
      </c>
      <c r="D103" t="s">
        <v>17</v>
      </c>
      <c r="H103">
        <v>4</v>
      </c>
    </row>
    <row r="104" spans="1:8">
      <c r="A104" s="11" t="s">
        <v>8550</v>
      </c>
      <c r="B104" t="s">
        <v>388</v>
      </c>
      <c r="C104">
        <v>2622</v>
      </c>
      <c r="D104" t="s">
        <v>17</v>
      </c>
      <c r="H104">
        <v>4</v>
      </c>
    </row>
    <row r="105" spans="1:8">
      <c r="A105" s="11" t="s">
        <v>8552</v>
      </c>
      <c r="B105" t="s">
        <v>408</v>
      </c>
      <c r="C105">
        <v>3494</v>
      </c>
      <c r="D105" t="s">
        <v>17</v>
      </c>
      <c r="H105">
        <v>4</v>
      </c>
    </row>
    <row r="106" spans="1:8">
      <c r="A106" s="11" t="s">
        <v>8780</v>
      </c>
      <c r="B106" t="s">
        <v>435</v>
      </c>
      <c r="C106">
        <v>3883</v>
      </c>
      <c r="D106" t="s">
        <v>17</v>
      </c>
      <c r="E106">
        <v>4</v>
      </c>
      <c r="F106">
        <v>2</v>
      </c>
      <c r="H106">
        <v>4</v>
      </c>
    </row>
    <row r="107" spans="1:8">
      <c r="A107" s="11" t="s">
        <v>9158</v>
      </c>
      <c r="B107" t="s">
        <v>9157</v>
      </c>
      <c r="H107">
        <v>3</v>
      </c>
    </row>
    <row r="108" spans="1:8">
      <c r="A108" s="11" t="s">
        <v>8478</v>
      </c>
      <c r="B108" t="s">
        <v>322</v>
      </c>
      <c r="C108">
        <v>147</v>
      </c>
      <c r="D108" t="s">
        <v>17</v>
      </c>
      <c r="E108">
        <v>4</v>
      </c>
      <c r="H108">
        <v>4</v>
      </c>
    </row>
    <row r="109" spans="1:8">
      <c r="A109" s="11" t="s">
        <v>8542</v>
      </c>
      <c r="B109" t="s">
        <v>325</v>
      </c>
      <c r="C109">
        <v>148</v>
      </c>
      <c r="D109" t="s">
        <v>17</v>
      </c>
      <c r="E109">
        <v>4</v>
      </c>
      <c r="H109">
        <v>4</v>
      </c>
    </row>
    <row r="110" spans="1:8">
      <c r="A110" s="11" t="s">
        <v>8543</v>
      </c>
      <c r="B110" t="s">
        <v>327</v>
      </c>
      <c r="C110">
        <v>149</v>
      </c>
      <c r="D110" t="s">
        <v>17</v>
      </c>
      <c r="E110">
        <v>4</v>
      </c>
      <c r="H110">
        <v>4</v>
      </c>
    </row>
    <row r="111" spans="1:8">
      <c r="A111" s="11" t="s">
        <v>8544</v>
      </c>
      <c r="B111" t="s">
        <v>347</v>
      </c>
      <c r="C111">
        <v>996</v>
      </c>
      <c r="D111" t="s">
        <v>17</v>
      </c>
      <c r="E111">
        <v>1</v>
      </c>
      <c r="H111">
        <v>4</v>
      </c>
    </row>
    <row r="112" spans="1:8">
      <c r="A112" s="11" t="s">
        <v>8545</v>
      </c>
      <c r="B112" t="s">
        <v>349</v>
      </c>
      <c r="C112">
        <v>1362</v>
      </c>
      <c r="D112" t="s">
        <v>17</v>
      </c>
      <c r="E112">
        <v>4</v>
      </c>
      <c r="H112">
        <v>4</v>
      </c>
    </row>
    <row r="113" spans="1:8">
      <c r="A113" s="11" t="s">
        <v>8546</v>
      </c>
      <c r="B113" t="s">
        <v>356</v>
      </c>
      <c r="C113">
        <v>1744</v>
      </c>
      <c r="D113" t="s">
        <v>17</v>
      </c>
      <c r="E113">
        <v>1</v>
      </c>
      <c r="F113">
        <v>2</v>
      </c>
      <c r="H113">
        <v>4</v>
      </c>
    </row>
    <row r="114" spans="1:8">
      <c r="A114" s="11" t="s">
        <v>8548</v>
      </c>
      <c r="B114" t="s">
        <v>378</v>
      </c>
      <c r="C114">
        <v>2319</v>
      </c>
      <c r="D114" t="s">
        <v>17</v>
      </c>
      <c r="E114">
        <v>4</v>
      </c>
      <c r="H114">
        <v>4</v>
      </c>
    </row>
    <row r="115" spans="1:8">
      <c r="A115" s="11" t="s">
        <v>8551</v>
      </c>
      <c r="B115" t="s">
        <v>392</v>
      </c>
      <c r="C115">
        <v>2879</v>
      </c>
      <c r="D115" t="s">
        <v>17</v>
      </c>
      <c r="H115">
        <v>4</v>
      </c>
    </row>
    <row r="116" spans="1:8">
      <c r="A116" s="11" t="s">
        <v>8553</v>
      </c>
      <c r="B116" t="s">
        <v>410</v>
      </c>
      <c r="C116">
        <v>3508</v>
      </c>
      <c r="D116" t="s">
        <v>17</v>
      </c>
      <c r="E116">
        <v>4</v>
      </c>
      <c r="H116">
        <v>4</v>
      </c>
    </row>
    <row r="117" spans="1:8">
      <c r="A117" s="11" t="s">
        <v>8554</v>
      </c>
      <c r="B117" t="s">
        <v>420</v>
      </c>
      <c r="C117">
        <v>3843</v>
      </c>
      <c r="D117" t="s">
        <v>17</v>
      </c>
      <c r="E117">
        <v>1</v>
      </c>
      <c r="H117">
        <v>4</v>
      </c>
    </row>
    <row r="118" spans="1:8">
      <c r="A118" s="11" t="s">
        <v>8555</v>
      </c>
      <c r="B118" t="s">
        <v>422</v>
      </c>
      <c r="C118">
        <v>3856</v>
      </c>
      <c r="D118" t="s">
        <v>17</v>
      </c>
      <c r="E118">
        <v>4</v>
      </c>
      <c r="H118">
        <v>4</v>
      </c>
    </row>
    <row r="119" spans="1:8">
      <c r="A119" s="11" t="s">
        <v>8778</v>
      </c>
      <c r="B119" t="s">
        <v>8779</v>
      </c>
      <c r="C119">
        <v>156</v>
      </c>
      <c r="D119" t="s">
        <v>17</v>
      </c>
      <c r="E119">
        <v>1</v>
      </c>
      <c r="H119">
        <v>4</v>
      </c>
    </row>
    <row r="120" spans="1:8">
      <c r="A120" s="11" t="s">
        <v>8781</v>
      </c>
      <c r="B120" t="s">
        <v>418</v>
      </c>
      <c r="C120">
        <v>3840</v>
      </c>
      <c r="D120" t="s">
        <v>17</v>
      </c>
      <c r="E120">
        <v>1</v>
      </c>
      <c r="H120">
        <v>4</v>
      </c>
    </row>
    <row r="121" spans="1:8">
      <c r="A121" s="11" t="s">
        <v>9156</v>
      </c>
      <c r="B121" t="s">
        <v>438</v>
      </c>
      <c r="H121">
        <v>2</v>
      </c>
    </row>
    <row r="122" spans="1:8">
      <c r="A122" s="11" t="s">
        <v>8505</v>
      </c>
      <c r="B122" t="s">
        <v>8508</v>
      </c>
      <c r="H122">
        <v>3</v>
      </c>
    </row>
    <row r="123" spans="1:8">
      <c r="A123" s="11" t="s">
        <v>8509</v>
      </c>
      <c r="B123" t="s">
        <v>9155</v>
      </c>
      <c r="C123">
        <v>85</v>
      </c>
      <c r="D123" t="s">
        <v>17</v>
      </c>
      <c r="H123">
        <v>4</v>
      </c>
    </row>
    <row r="124" spans="1:8">
      <c r="A124" s="11" t="s">
        <v>8506</v>
      </c>
      <c r="B124" t="s">
        <v>8511</v>
      </c>
      <c r="H124">
        <v>3</v>
      </c>
    </row>
    <row r="125" spans="1:8">
      <c r="A125" s="11" t="s">
        <v>8512</v>
      </c>
      <c r="B125" t="s">
        <v>451</v>
      </c>
      <c r="C125">
        <v>86</v>
      </c>
      <c r="D125" t="s">
        <v>17</v>
      </c>
      <c r="H125">
        <v>4</v>
      </c>
    </row>
    <row r="126" spans="1:8">
      <c r="A126" s="11" t="s">
        <v>8513</v>
      </c>
      <c r="B126" t="s">
        <v>454</v>
      </c>
      <c r="C126">
        <v>87</v>
      </c>
      <c r="D126" t="s">
        <v>17</v>
      </c>
      <c r="H126">
        <v>4</v>
      </c>
    </row>
    <row r="127" spans="1:8">
      <c r="A127" s="11" t="s">
        <v>8514</v>
      </c>
      <c r="B127" t="s">
        <v>456</v>
      </c>
      <c r="C127">
        <v>1917</v>
      </c>
      <c r="D127" t="s">
        <v>17</v>
      </c>
      <c r="H127">
        <v>4</v>
      </c>
    </row>
    <row r="128" spans="1:8">
      <c r="A128" s="11" t="s">
        <v>8518</v>
      </c>
      <c r="B128" t="s">
        <v>485</v>
      </c>
      <c r="C128">
        <v>3819</v>
      </c>
      <c r="D128" t="s">
        <v>17</v>
      </c>
      <c r="H128">
        <v>4</v>
      </c>
    </row>
    <row r="129" spans="1:8">
      <c r="A129" s="11" t="s">
        <v>8521</v>
      </c>
      <c r="B129" t="s">
        <v>8520</v>
      </c>
      <c r="C129">
        <v>92</v>
      </c>
      <c r="D129" t="s">
        <v>17</v>
      </c>
      <c r="H129">
        <v>4</v>
      </c>
    </row>
    <row r="130" spans="1:8">
      <c r="A130" s="11" t="s">
        <v>8523</v>
      </c>
      <c r="B130" t="s">
        <v>475</v>
      </c>
      <c r="C130">
        <v>93</v>
      </c>
      <c r="D130" t="s">
        <v>17</v>
      </c>
      <c r="H130">
        <v>4</v>
      </c>
    </row>
    <row r="131" spans="1:8">
      <c r="A131" s="11" t="s">
        <v>9154</v>
      </c>
      <c r="B131" t="s">
        <v>9153</v>
      </c>
      <c r="H131">
        <v>3</v>
      </c>
    </row>
    <row r="132" spans="1:8">
      <c r="A132" s="11" t="s">
        <v>8516</v>
      </c>
      <c r="B132" t="s">
        <v>469</v>
      </c>
      <c r="C132">
        <v>90</v>
      </c>
      <c r="D132" t="s">
        <v>17</v>
      </c>
      <c r="H132">
        <v>4</v>
      </c>
    </row>
    <row r="133" spans="1:8">
      <c r="A133" s="11" t="s">
        <v>8782</v>
      </c>
      <c r="B133" t="s">
        <v>471</v>
      </c>
      <c r="C133">
        <v>91</v>
      </c>
      <c r="D133" t="s">
        <v>17</v>
      </c>
      <c r="H133">
        <v>4</v>
      </c>
    </row>
    <row r="134" spans="1:8">
      <c r="A134" s="11" t="s">
        <v>8783</v>
      </c>
      <c r="B134" t="s">
        <v>8784</v>
      </c>
      <c r="C134">
        <v>82</v>
      </c>
      <c r="D134" t="s">
        <v>17</v>
      </c>
      <c r="H134">
        <v>4</v>
      </c>
    </row>
    <row r="135" spans="1:8">
      <c r="A135" s="11" t="s">
        <v>9152</v>
      </c>
      <c r="B135" t="s">
        <v>487</v>
      </c>
      <c r="H135">
        <v>2</v>
      </c>
    </row>
    <row r="136" spans="1:8">
      <c r="A136" s="11" t="s">
        <v>8507</v>
      </c>
      <c r="B136" t="s">
        <v>8529</v>
      </c>
      <c r="H136">
        <v>3</v>
      </c>
    </row>
    <row r="137" spans="1:8">
      <c r="A137" s="11" t="s">
        <v>8510</v>
      </c>
      <c r="B137" t="s">
        <v>8532</v>
      </c>
      <c r="C137">
        <v>98</v>
      </c>
      <c r="D137" t="s">
        <v>17</v>
      </c>
      <c r="H137">
        <v>4</v>
      </c>
    </row>
    <row r="138" spans="1:8">
      <c r="A138" s="11" t="s">
        <v>8524</v>
      </c>
      <c r="B138" t="s">
        <v>511</v>
      </c>
      <c r="C138">
        <v>102</v>
      </c>
      <c r="D138" t="s">
        <v>17</v>
      </c>
      <c r="H138">
        <v>4</v>
      </c>
    </row>
    <row r="139" spans="1:8">
      <c r="A139" s="11" t="s">
        <v>8525</v>
      </c>
      <c r="B139" t="s">
        <v>515</v>
      </c>
      <c r="C139">
        <v>104</v>
      </c>
      <c r="D139" t="s">
        <v>17</v>
      </c>
      <c r="H139">
        <v>4</v>
      </c>
    </row>
    <row r="140" spans="1:8">
      <c r="A140" s="11" t="s">
        <v>8526</v>
      </c>
      <c r="B140" t="s">
        <v>473</v>
      </c>
      <c r="C140">
        <v>114</v>
      </c>
      <c r="D140" t="s">
        <v>17</v>
      </c>
      <c r="H140">
        <v>4</v>
      </c>
    </row>
    <row r="141" spans="1:8">
      <c r="A141" s="11" t="s">
        <v>8527</v>
      </c>
      <c r="B141" t="s">
        <v>538</v>
      </c>
      <c r="C141">
        <v>115</v>
      </c>
      <c r="D141" t="s">
        <v>17</v>
      </c>
      <c r="H141">
        <v>4</v>
      </c>
    </row>
    <row r="142" spans="1:8">
      <c r="A142" s="11" t="s">
        <v>8522</v>
      </c>
      <c r="B142" t="s">
        <v>540</v>
      </c>
      <c r="C142">
        <v>116</v>
      </c>
      <c r="D142" t="s">
        <v>17</v>
      </c>
      <c r="H142">
        <v>4</v>
      </c>
    </row>
    <row r="143" spans="1:8">
      <c r="A143" s="11" t="s">
        <v>8528</v>
      </c>
      <c r="B143" t="s">
        <v>8530</v>
      </c>
      <c r="H143">
        <v>3</v>
      </c>
    </row>
    <row r="144" spans="1:8">
      <c r="A144" s="11" t="s">
        <v>8533</v>
      </c>
      <c r="B144" t="s">
        <v>8534</v>
      </c>
      <c r="C144">
        <v>99</v>
      </c>
      <c r="D144" t="s">
        <v>17</v>
      </c>
      <c r="H144">
        <v>4</v>
      </c>
    </row>
    <row r="145" spans="1:8">
      <c r="A145" s="11" t="s">
        <v>8535</v>
      </c>
      <c r="B145" t="s">
        <v>525</v>
      </c>
      <c r="C145">
        <v>109</v>
      </c>
      <c r="D145" t="s">
        <v>17</v>
      </c>
      <c r="H145">
        <v>4</v>
      </c>
    </row>
    <row r="146" spans="1:8">
      <c r="A146" s="11" t="s">
        <v>8536</v>
      </c>
      <c r="B146" t="s">
        <v>529</v>
      </c>
      <c r="C146">
        <v>111</v>
      </c>
      <c r="D146" t="s">
        <v>17</v>
      </c>
      <c r="H146">
        <v>4</v>
      </c>
    </row>
    <row r="147" spans="1:8">
      <c r="A147" s="11" t="s">
        <v>8519</v>
      </c>
      <c r="B147" t="s">
        <v>542</v>
      </c>
      <c r="C147">
        <v>117</v>
      </c>
      <c r="D147" t="s">
        <v>17</v>
      </c>
      <c r="H147">
        <v>4</v>
      </c>
    </row>
    <row r="148" spans="1:8">
      <c r="A148" s="11" t="s">
        <v>8537</v>
      </c>
      <c r="B148" t="s">
        <v>544</v>
      </c>
      <c r="C148">
        <v>118</v>
      </c>
      <c r="D148" t="s">
        <v>17</v>
      </c>
      <c r="H148">
        <v>4</v>
      </c>
    </row>
    <row r="149" spans="1:8">
      <c r="A149" s="11" t="s">
        <v>8538</v>
      </c>
      <c r="B149" t="s">
        <v>546</v>
      </c>
      <c r="C149">
        <v>119</v>
      </c>
      <c r="D149" t="s">
        <v>17</v>
      </c>
      <c r="H149">
        <v>4</v>
      </c>
    </row>
    <row r="150" spans="1:8">
      <c r="A150" s="11" t="s">
        <v>8515</v>
      </c>
      <c r="B150" t="s">
        <v>8531</v>
      </c>
      <c r="H150">
        <v>3</v>
      </c>
    </row>
    <row r="151" spans="1:8">
      <c r="A151" s="11" t="s">
        <v>8517</v>
      </c>
      <c r="B151" t="s">
        <v>492</v>
      </c>
      <c r="C151">
        <v>94</v>
      </c>
      <c r="D151" t="s">
        <v>17</v>
      </c>
      <c r="H151">
        <v>4</v>
      </c>
    </row>
    <row r="152" spans="1:8">
      <c r="A152" s="11" t="s">
        <v>9151</v>
      </c>
      <c r="B152" t="s">
        <v>564</v>
      </c>
      <c r="H152">
        <v>1</v>
      </c>
    </row>
    <row r="153" spans="1:8">
      <c r="A153" s="11" t="s">
        <v>9150</v>
      </c>
      <c r="B153" t="s">
        <v>566</v>
      </c>
      <c r="H153">
        <v>2</v>
      </c>
    </row>
    <row r="154" spans="1:8">
      <c r="A154" s="11" t="s">
        <v>8556</v>
      </c>
      <c r="B154" t="s">
        <v>566</v>
      </c>
      <c r="H154">
        <v>3</v>
      </c>
    </row>
    <row r="155" spans="1:8">
      <c r="A155" s="11" t="s">
        <v>8557</v>
      </c>
      <c r="B155" t="s">
        <v>570</v>
      </c>
      <c r="C155">
        <v>38</v>
      </c>
      <c r="D155" t="s">
        <v>17</v>
      </c>
      <c r="E155">
        <v>2</v>
      </c>
      <c r="H155">
        <v>4</v>
      </c>
    </row>
    <row r="156" spans="1:8">
      <c r="A156" s="11" t="s">
        <v>8407</v>
      </c>
      <c r="B156" t="s">
        <v>581</v>
      </c>
      <c r="C156">
        <v>1981</v>
      </c>
      <c r="D156" t="s">
        <v>17</v>
      </c>
      <c r="E156">
        <v>1</v>
      </c>
      <c r="H156">
        <v>4</v>
      </c>
    </row>
    <row r="157" spans="1:8">
      <c r="A157" s="11" t="s">
        <v>8558</v>
      </c>
      <c r="B157" t="s">
        <v>9149</v>
      </c>
      <c r="C157">
        <v>145</v>
      </c>
      <c r="D157" t="s">
        <v>17</v>
      </c>
      <c r="E157">
        <v>1</v>
      </c>
      <c r="H157">
        <v>4</v>
      </c>
    </row>
    <row r="158" spans="1:8">
      <c r="A158" s="11" t="s">
        <v>8559</v>
      </c>
      <c r="B158" t="s">
        <v>602</v>
      </c>
      <c r="C158">
        <v>1344</v>
      </c>
      <c r="D158" t="s">
        <v>17</v>
      </c>
      <c r="E158">
        <v>1</v>
      </c>
      <c r="H158">
        <v>4</v>
      </c>
    </row>
    <row r="159" spans="1:8">
      <c r="A159" s="11" t="s">
        <v>8560</v>
      </c>
      <c r="B159" t="s">
        <v>604</v>
      </c>
      <c r="C159">
        <v>1393</v>
      </c>
      <c r="D159" t="s">
        <v>17</v>
      </c>
      <c r="E159">
        <v>1</v>
      </c>
      <c r="H159">
        <v>4</v>
      </c>
    </row>
    <row r="160" spans="1:8">
      <c r="A160" s="11" t="s">
        <v>8561</v>
      </c>
      <c r="B160" t="s">
        <v>8656</v>
      </c>
      <c r="C160">
        <v>3831</v>
      </c>
      <c r="D160" t="s">
        <v>17</v>
      </c>
      <c r="E160">
        <v>3</v>
      </c>
      <c r="H160">
        <v>4</v>
      </c>
    </row>
    <row r="161" spans="1:8">
      <c r="A161" s="11" t="s">
        <v>8562</v>
      </c>
      <c r="B161" t="s">
        <v>611</v>
      </c>
      <c r="C161">
        <v>1885</v>
      </c>
      <c r="D161" t="s">
        <v>17</v>
      </c>
      <c r="E161">
        <v>1</v>
      </c>
      <c r="H161">
        <v>4</v>
      </c>
    </row>
    <row r="162" spans="1:8">
      <c r="A162" s="11" t="s">
        <v>8563</v>
      </c>
      <c r="B162" t="s">
        <v>613</v>
      </c>
      <c r="C162">
        <v>55</v>
      </c>
      <c r="D162" t="s">
        <v>17</v>
      </c>
      <c r="E162">
        <v>1</v>
      </c>
      <c r="H162">
        <v>4</v>
      </c>
    </row>
    <row r="163" spans="1:8">
      <c r="A163" s="11" t="s">
        <v>8564</v>
      </c>
      <c r="B163" t="s">
        <v>615</v>
      </c>
      <c r="C163">
        <v>1983</v>
      </c>
      <c r="D163" t="s">
        <v>17</v>
      </c>
      <c r="E163">
        <v>2</v>
      </c>
      <c r="H163">
        <v>4</v>
      </c>
    </row>
    <row r="164" spans="1:8">
      <c r="A164" s="11" t="s">
        <v>8565</v>
      </c>
      <c r="B164" t="s">
        <v>617</v>
      </c>
      <c r="C164">
        <v>2312</v>
      </c>
      <c r="D164" t="s">
        <v>17</v>
      </c>
      <c r="E164">
        <v>1</v>
      </c>
      <c r="H164">
        <v>4</v>
      </c>
    </row>
    <row r="165" spans="1:8">
      <c r="A165" s="11" t="s">
        <v>8567</v>
      </c>
      <c r="B165" t="s">
        <v>774</v>
      </c>
      <c r="C165">
        <v>1904</v>
      </c>
      <c r="D165" t="s">
        <v>17</v>
      </c>
      <c r="E165">
        <v>1</v>
      </c>
      <c r="H165">
        <v>4</v>
      </c>
    </row>
    <row r="166" spans="1:8">
      <c r="A166" s="11" t="s">
        <v>8785</v>
      </c>
      <c r="B166" t="s">
        <v>8786</v>
      </c>
      <c r="C166">
        <v>1341</v>
      </c>
      <c r="D166" t="s">
        <v>17</v>
      </c>
      <c r="H166">
        <v>4</v>
      </c>
    </row>
    <row r="167" spans="1:8">
      <c r="A167" s="11" t="s">
        <v>8789</v>
      </c>
      <c r="B167" t="s">
        <v>8790</v>
      </c>
      <c r="C167">
        <v>39</v>
      </c>
      <c r="D167" t="s">
        <v>17</v>
      </c>
      <c r="E167">
        <v>1</v>
      </c>
      <c r="H167">
        <v>4</v>
      </c>
    </row>
    <row r="168" spans="1:8">
      <c r="A168" s="11" t="s">
        <v>9148</v>
      </c>
      <c r="B168" t="s">
        <v>637</v>
      </c>
      <c r="H168">
        <v>2</v>
      </c>
    </row>
    <row r="169" spans="1:8">
      <c r="A169" s="11" t="s">
        <v>8568</v>
      </c>
      <c r="B169" t="s">
        <v>639</v>
      </c>
      <c r="H169">
        <v>3</v>
      </c>
    </row>
    <row r="170" spans="1:8">
      <c r="A170" s="11" t="s">
        <v>8569</v>
      </c>
      <c r="B170" t="s">
        <v>641</v>
      </c>
      <c r="C170">
        <v>43</v>
      </c>
      <c r="D170" t="s">
        <v>17</v>
      </c>
      <c r="H170">
        <v>4</v>
      </c>
    </row>
    <row r="171" spans="1:8">
      <c r="A171" s="11" t="s">
        <v>8571</v>
      </c>
      <c r="B171" t="s">
        <v>643</v>
      </c>
      <c r="C171">
        <v>44</v>
      </c>
      <c r="D171" t="s">
        <v>17</v>
      </c>
      <c r="H171">
        <v>4</v>
      </c>
    </row>
    <row r="172" spans="1:8">
      <c r="A172" s="11" t="s">
        <v>8572</v>
      </c>
      <c r="B172" t="s">
        <v>645</v>
      </c>
      <c r="C172">
        <v>45</v>
      </c>
      <c r="D172" t="s">
        <v>17</v>
      </c>
      <c r="H172">
        <v>4</v>
      </c>
    </row>
    <row r="173" spans="1:8">
      <c r="A173" s="11" t="s">
        <v>8573</v>
      </c>
      <c r="B173" t="s">
        <v>647</v>
      </c>
      <c r="C173">
        <v>46</v>
      </c>
      <c r="D173" t="s">
        <v>17</v>
      </c>
      <c r="H173">
        <v>4</v>
      </c>
    </row>
    <row r="174" spans="1:8">
      <c r="A174" s="11" t="s">
        <v>8574</v>
      </c>
      <c r="B174" t="s">
        <v>649</v>
      </c>
      <c r="C174">
        <v>47</v>
      </c>
      <c r="D174" t="s">
        <v>17</v>
      </c>
      <c r="H174">
        <v>4</v>
      </c>
    </row>
    <row r="175" spans="1:8">
      <c r="A175" s="11" t="s">
        <v>8575</v>
      </c>
      <c r="B175" t="s">
        <v>659</v>
      </c>
      <c r="C175">
        <v>52</v>
      </c>
      <c r="D175" t="s">
        <v>17</v>
      </c>
      <c r="H175">
        <v>4</v>
      </c>
    </row>
    <row r="176" spans="1:8">
      <c r="A176" s="11" t="s">
        <v>8576</v>
      </c>
      <c r="B176" t="s">
        <v>8667</v>
      </c>
      <c r="C176">
        <v>71</v>
      </c>
      <c r="D176" t="s">
        <v>17</v>
      </c>
      <c r="H176">
        <v>4</v>
      </c>
    </row>
    <row r="177" spans="1:8">
      <c r="A177" s="11" t="s">
        <v>8577</v>
      </c>
      <c r="B177" t="s">
        <v>8668</v>
      </c>
      <c r="C177">
        <v>72</v>
      </c>
      <c r="D177" t="s">
        <v>17</v>
      </c>
      <c r="H177">
        <v>4</v>
      </c>
    </row>
    <row r="178" spans="1:8">
      <c r="A178" s="11" t="s">
        <v>8578</v>
      </c>
      <c r="B178" t="s">
        <v>665</v>
      </c>
      <c r="C178">
        <v>73</v>
      </c>
      <c r="D178" t="s">
        <v>17</v>
      </c>
      <c r="E178">
        <v>4</v>
      </c>
      <c r="H178">
        <v>4</v>
      </c>
    </row>
    <row r="179" spans="1:8">
      <c r="A179" s="11" t="s">
        <v>8579</v>
      </c>
      <c r="B179" t="s">
        <v>667</v>
      </c>
      <c r="C179">
        <v>1804</v>
      </c>
      <c r="D179" t="s">
        <v>17</v>
      </c>
      <c r="H179">
        <v>4</v>
      </c>
    </row>
    <row r="180" spans="1:8">
      <c r="A180" s="11" t="s">
        <v>8580</v>
      </c>
      <c r="B180" t="s">
        <v>671</v>
      </c>
      <c r="C180">
        <v>2822</v>
      </c>
      <c r="D180" t="s">
        <v>17</v>
      </c>
      <c r="H180">
        <v>4</v>
      </c>
    </row>
    <row r="181" spans="1:8">
      <c r="A181" s="11" t="s">
        <v>8616</v>
      </c>
      <c r="B181" t="s">
        <v>8662</v>
      </c>
      <c r="C181">
        <v>2325</v>
      </c>
      <c r="D181" t="s">
        <v>17</v>
      </c>
      <c r="H181">
        <v>4</v>
      </c>
    </row>
    <row r="182" spans="1:8">
      <c r="A182" s="11" t="s">
        <v>8787</v>
      </c>
      <c r="B182" t="s">
        <v>8788</v>
      </c>
      <c r="C182">
        <v>48</v>
      </c>
      <c r="D182" t="s">
        <v>17</v>
      </c>
      <c r="H182">
        <v>4</v>
      </c>
    </row>
    <row r="183" spans="1:8">
      <c r="A183" s="11" t="s">
        <v>8581</v>
      </c>
      <c r="B183" t="s">
        <v>677</v>
      </c>
      <c r="H183">
        <v>3</v>
      </c>
    </row>
    <row r="184" spans="1:8">
      <c r="A184" s="11" t="s">
        <v>8570</v>
      </c>
      <c r="B184" t="s">
        <v>8665</v>
      </c>
      <c r="C184">
        <v>53</v>
      </c>
      <c r="D184" t="s">
        <v>17</v>
      </c>
      <c r="H184">
        <v>4</v>
      </c>
    </row>
    <row r="185" spans="1:8">
      <c r="A185" s="11" t="s">
        <v>8582</v>
      </c>
      <c r="B185" t="s">
        <v>8664</v>
      </c>
      <c r="C185">
        <v>54</v>
      </c>
      <c r="D185" t="s">
        <v>17</v>
      </c>
      <c r="H185">
        <v>4</v>
      </c>
    </row>
    <row r="186" spans="1:8">
      <c r="A186" s="11" t="s">
        <v>8583</v>
      </c>
      <c r="B186" t="s">
        <v>683</v>
      </c>
      <c r="C186">
        <v>58</v>
      </c>
      <c r="D186" t="s">
        <v>17</v>
      </c>
      <c r="H186">
        <v>4</v>
      </c>
    </row>
    <row r="187" spans="1:8">
      <c r="A187" s="11" t="s">
        <v>8584</v>
      </c>
      <c r="B187" t="s">
        <v>685</v>
      </c>
      <c r="C187">
        <v>59</v>
      </c>
      <c r="D187" t="s">
        <v>17</v>
      </c>
      <c r="H187">
        <v>4</v>
      </c>
    </row>
    <row r="188" spans="1:8">
      <c r="A188" s="11" t="s">
        <v>8585</v>
      </c>
      <c r="B188" t="s">
        <v>687</v>
      </c>
      <c r="C188">
        <v>60</v>
      </c>
      <c r="D188" t="s">
        <v>17</v>
      </c>
      <c r="H188">
        <v>4</v>
      </c>
    </row>
    <row r="189" spans="1:8">
      <c r="A189" s="11" t="s">
        <v>8586</v>
      </c>
      <c r="B189" t="s">
        <v>689</v>
      </c>
      <c r="C189">
        <v>61</v>
      </c>
      <c r="D189" t="s">
        <v>17</v>
      </c>
      <c r="H189">
        <v>4</v>
      </c>
    </row>
    <row r="190" spans="1:8">
      <c r="A190" s="11" t="s">
        <v>8587</v>
      </c>
      <c r="B190" t="s">
        <v>8666</v>
      </c>
      <c r="C190">
        <v>62</v>
      </c>
      <c r="D190" t="s">
        <v>17</v>
      </c>
      <c r="H190">
        <v>4</v>
      </c>
    </row>
    <row r="191" spans="1:8">
      <c r="A191" s="11" t="s">
        <v>8588</v>
      </c>
      <c r="B191" t="s">
        <v>693</v>
      </c>
      <c r="C191">
        <v>63</v>
      </c>
      <c r="D191" t="s">
        <v>17</v>
      </c>
      <c r="H191">
        <v>4</v>
      </c>
    </row>
    <row r="192" spans="1:8">
      <c r="A192" s="11" t="s">
        <v>8589</v>
      </c>
      <c r="B192" t="s">
        <v>695</v>
      </c>
      <c r="C192">
        <v>64</v>
      </c>
      <c r="D192" t="s">
        <v>17</v>
      </c>
      <c r="H192">
        <v>4</v>
      </c>
    </row>
    <row r="193" spans="1:8">
      <c r="A193" s="11" t="s">
        <v>8590</v>
      </c>
      <c r="B193" t="s">
        <v>697</v>
      </c>
      <c r="C193">
        <v>65</v>
      </c>
      <c r="D193" t="s">
        <v>17</v>
      </c>
      <c r="H193">
        <v>4</v>
      </c>
    </row>
    <row r="194" spans="1:8">
      <c r="A194" s="11" t="s">
        <v>8591</v>
      </c>
      <c r="B194" t="s">
        <v>8592</v>
      </c>
      <c r="C194">
        <v>68</v>
      </c>
      <c r="D194" t="s">
        <v>17</v>
      </c>
      <c r="H194">
        <v>4</v>
      </c>
    </row>
    <row r="195" spans="1:8">
      <c r="A195" s="11" t="s">
        <v>8593</v>
      </c>
      <c r="B195" t="s">
        <v>707</v>
      </c>
      <c r="C195">
        <v>70</v>
      </c>
      <c r="D195" t="s">
        <v>17</v>
      </c>
      <c r="H195">
        <v>4</v>
      </c>
    </row>
    <row r="196" spans="1:8">
      <c r="A196" s="11" t="s">
        <v>8594</v>
      </c>
      <c r="B196" t="s">
        <v>709</v>
      </c>
      <c r="C196">
        <v>120</v>
      </c>
      <c r="D196" t="s">
        <v>17</v>
      </c>
      <c r="H196">
        <v>4</v>
      </c>
    </row>
    <row r="197" spans="1:8">
      <c r="A197" s="11" t="s">
        <v>8595</v>
      </c>
      <c r="B197" t="s">
        <v>711</v>
      </c>
      <c r="C197">
        <v>121</v>
      </c>
      <c r="D197" t="s">
        <v>17</v>
      </c>
      <c r="H197">
        <v>4</v>
      </c>
    </row>
    <row r="198" spans="1:8">
      <c r="A198" s="11" t="s">
        <v>8596</v>
      </c>
      <c r="B198" t="s">
        <v>713</v>
      </c>
      <c r="C198">
        <v>127</v>
      </c>
      <c r="D198" t="s">
        <v>17</v>
      </c>
      <c r="H198">
        <v>4</v>
      </c>
    </row>
    <row r="199" spans="1:8">
      <c r="A199" s="11" t="s">
        <v>8597</v>
      </c>
      <c r="B199" t="s">
        <v>715</v>
      </c>
      <c r="C199">
        <v>1350</v>
      </c>
      <c r="D199" t="s">
        <v>17</v>
      </c>
      <c r="H199">
        <v>4</v>
      </c>
    </row>
    <row r="200" spans="1:8">
      <c r="A200" s="11" t="s">
        <v>8598</v>
      </c>
      <c r="B200" t="s">
        <v>719</v>
      </c>
      <c r="C200">
        <v>3511</v>
      </c>
      <c r="D200" t="s">
        <v>17</v>
      </c>
      <c r="H200">
        <v>4</v>
      </c>
    </row>
    <row r="201" spans="1:8">
      <c r="A201" s="11" t="s">
        <v>8599</v>
      </c>
      <c r="B201" t="s">
        <v>721</v>
      </c>
      <c r="C201">
        <v>3512</v>
      </c>
      <c r="D201" t="s">
        <v>17</v>
      </c>
      <c r="H201">
        <v>4</v>
      </c>
    </row>
    <row r="202" spans="1:8">
      <c r="A202" s="11" t="s">
        <v>8600</v>
      </c>
      <c r="B202" t="s">
        <v>723</v>
      </c>
      <c r="C202">
        <v>1545</v>
      </c>
      <c r="D202" t="s">
        <v>17</v>
      </c>
      <c r="H202">
        <v>4</v>
      </c>
    </row>
    <row r="203" spans="1:8">
      <c r="A203" s="11" t="s">
        <v>8601</v>
      </c>
      <c r="B203" t="s">
        <v>8661</v>
      </c>
      <c r="C203">
        <v>1915</v>
      </c>
      <c r="D203" t="s">
        <v>17</v>
      </c>
      <c r="H203">
        <v>4</v>
      </c>
    </row>
    <row r="204" spans="1:8">
      <c r="A204" s="11" t="s">
        <v>8602</v>
      </c>
      <c r="B204" t="s">
        <v>735</v>
      </c>
      <c r="C204">
        <v>2448</v>
      </c>
      <c r="D204" t="s">
        <v>17</v>
      </c>
      <c r="E204">
        <v>1</v>
      </c>
      <c r="H204">
        <v>4</v>
      </c>
    </row>
    <row r="205" spans="1:8">
      <c r="A205" s="11" t="s">
        <v>8603</v>
      </c>
      <c r="B205" t="s">
        <v>737</v>
      </c>
      <c r="C205">
        <v>3827</v>
      </c>
      <c r="D205" t="s">
        <v>17</v>
      </c>
      <c r="H205">
        <v>4</v>
      </c>
    </row>
    <row r="206" spans="1:8">
      <c r="A206" s="11" t="s">
        <v>8604</v>
      </c>
      <c r="B206" t="s">
        <v>8663</v>
      </c>
      <c r="C206">
        <v>3839</v>
      </c>
      <c r="D206" t="s">
        <v>17</v>
      </c>
      <c r="H206">
        <v>4</v>
      </c>
    </row>
    <row r="207" spans="1:8">
      <c r="A207" s="11" t="s">
        <v>8605</v>
      </c>
      <c r="B207" t="s">
        <v>741</v>
      </c>
      <c r="C207">
        <v>3869</v>
      </c>
      <c r="D207" t="s">
        <v>17</v>
      </c>
      <c r="E207">
        <v>6</v>
      </c>
      <c r="H207">
        <v>4</v>
      </c>
    </row>
    <row r="208" spans="1:8">
      <c r="A208" s="11" t="s">
        <v>9147</v>
      </c>
      <c r="B208" t="s">
        <v>743</v>
      </c>
      <c r="H208">
        <v>2</v>
      </c>
    </row>
    <row r="209" spans="1:8">
      <c r="A209" s="11" t="s">
        <v>8606</v>
      </c>
      <c r="B209" t="s">
        <v>745</v>
      </c>
      <c r="H209">
        <v>3</v>
      </c>
    </row>
    <row r="210" spans="1:8">
      <c r="A210" s="11" t="s">
        <v>8610</v>
      </c>
      <c r="B210" t="s">
        <v>747</v>
      </c>
      <c r="C210">
        <v>124</v>
      </c>
      <c r="D210" t="s">
        <v>17</v>
      </c>
      <c r="E210">
        <v>3</v>
      </c>
      <c r="H210">
        <v>4</v>
      </c>
    </row>
    <row r="211" spans="1:8">
      <c r="A211" s="11" t="s">
        <v>8791</v>
      </c>
      <c r="B211" t="s">
        <v>8792</v>
      </c>
      <c r="C211">
        <v>3464</v>
      </c>
      <c r="D211" t="s">
        <v>17</v>
      </c>
      <c r="H211">
        <v>4</v>
      </c>
    </row>
    <row r="212" spans="1:8">
      <c r="A212" s="11" t="s">
        <v>8608</v>
      </c>
      <c r="B212" t="s">
        <v>755</v>
      </c>
      <c r="H212">
        <v>3</v>
      </c>
    </row>
    <row r="213" spans="1:8">
      <c r="A213" s="11" t="s">
        <v>9146</v>
      </c>
      <c r="B213" t="s">
        <v>757</v>
      </c>
      <c r="H213">
        <v>2</v>
      </c>
    </row>
    <row r="214" spans="1:8">
      <c r="A214" s="11" t="s">
        <v>8607</v>
      </c>
      <c r="B214" t="s">
        <v>759</v>
      </c>
      <c r="H214">
        <v>3</v>
      </c>
    </row>
    <row r="215" spans="1:8">
      <c r="A215" s="11" t="s">
        <v>8612</v>
      </c>
      <c r="B215" t="s">
        <v>771</v>
      </c>
      <c r="C215">
        <v>131</v>
      </c>
      <c r="D215" t="s">
        <v>17</v>
      </c>
      <c r="E215">
        <v>4</v>
      </c>
      <c r="F215">
        <v>2</v>
      </c>
      <c r="H215">
        <v>4</v>
      </c>
    </row>
    <row r="216" spans="1:8">
      <c r="A216" s="11" t="s">
        <v>8613</v>
      </c>
      <c r="B216" t="s">
        <v>8566</v>
      </c>
      <c r="C216">
        <v>3452</v>
      </c>
      <c r="D216" t="s">
        <v>17</v>
      </c>
      <c r="E216">
        <v>1</v>
      </c>
      <c r="H216">
        <v>4</v>
      </c>
    </row>
    <row r="217" spans="1:8">
      <c r="A217" s="11" t="s">
        <v>8614</v>
      </c>
      <c r="B217" t="s">
        <v>635</v>
      </c>
      <c r="C217">
        <v>3490</v>
      </c>
      <c r="D217" t="s">
        <v>17</v>
      </c>
      <c r="H217">
        <v>4</v>
      </c>
    </row>
    <row r="218" spans="1:8">
      <c r="A218" s="11" t="s">
        <v>8609</v>
      </c>
      <c r="B218" t="s">
        <v>763</v>
      </c>
      <c r="H218">
        <v>3</v>
      </c>
    </row>
    <row r="219" spans="1:8">
      <c r="A219" s="11" t="s">
        <v>8611</v>
      </c>
      <c r="B219" t="s">
        <v>778</v>
      </c>
      <c r="C219">
        <v>2096</v>
      </c>
      <c r="D219" t="s">
        <v>17</v>
      </c>
      <c r="E219">
        <v>2</v>
      </c>
      <c r="F219">
        <v>2</v>
      </c>
      <c r="H219">
        <v>4</v>
      </c>
    </row>
    <row r="220" spans="1:8">
      <c r="A220" s="11" t="s">
        <v>8615</v>
      </c>
      <c r="B220" t="s">
        <v>780</v>
      </c>
      <c r="C220">
        <v>2264</v>
      </c>
      <c r="D220" t="s">
        <v>17</v>
      </c>
      <c r="E220">
        <v>2</v>
      </c>
      <c r="H220">
        <v>4</v>
      </c>
    </row>
    <row r="221" spans="1:8">
      <c r="A221" s="11" t="s">
        <v>9145</v>
      </c>
      <c r="B221" t="s">
        <v>788</v>
      </c>
      <c r="H221">
        <v>2</v>
      </c>
    </row>
    <row r="222" spans="1:8">
      <c r="A222" s="11" t="s">
        <v>8617</v>
      </c>
      <c r="B222" t="s">
        <v>790</v>
      </c>
      <c r="H222">
        <v>3</v>
      </c>
    </row>
    <row r="223" spans="1:8">
      <c r="A223" s="11" t="s">
        <v>8618</v>
      </c>
      <c r="B223" t="s">
        <v>8660</v>
      </c>
      <c r="C223">
        <v>1578</v>
      </c>
      <c r="D223" t="s">
        <v>17</v>
      </c>
      <c r="H223">
        <v>4</v>
      </c>
    </row>
    <row r="224" spans="1:8">
      <c r="A224" s="11" t="s">
        <v>8620</v>
      </c>
      <c r="B224" t="s">
        <v>8659</v>
      </c>
      <c r="C224">
        <v>132</v>
      </c>
      <c r="D224" t="s">
        <v>17</v>
      </c>
      <c r="H224">
        <v>4</v>
      </c>
    </row>
    <row r="225" spans="1:8">
      <c r="A225" s="11" t="s">
        <v>8621</v>
      </c>
      <c r="B225" t="s">
        <v>799</v>
      </c>
      <c r="H225">
        <v>3</v>
      </c>
    </row>
    <row r="226" spans="1:8">
      <c r="A226" s="11" t="s">
        <v>8619</v>
      </c>
      <c r="B226" t="s">
        <v>801</v>
      </c>
      <c r="C226">
        <v>133</v>
      </c>
      <c r="D226" t="s">
        <v>17</v>
      </c>
      <c r="H226">
        <v>4</v>
      </c>
    </row>
    <row r="227" spans="1:8">
      <c r="A227" s="11" t="s">
        <v>9144</v>
      </c>
      <c r="B227" t="s">
        <v>802</v>
      </c>
      <c r="H227">
        <v>1</v>
      </c>
    </row>
    <row r="228" spans="1:8">
      <c r="A228" s="11" t="s">
        <v>9143</v>
      </c>
      <c r="B228" t="s">
        <v>804</v>
      </c>
      <c r="H228">
        <v>2</v>
      </c>
    </row>
    <row r="229" spans="1:8">
      <c r="A229" s="11" t="s">
        <v>8622</v>
      </c>
      <c r="B229" t="s">
        <v>806</v>
      </c>
      <c r="H229">
        <v>3</v>
      </c>
    </row>
    <row r="230" spans="1:8">
      <c r="A230" s="11" t="s">
        <v>8623</v>
      </c>
      <c r="B230" t="s">
        <v>808</v>
      </c>
      <c r="C230">
        <v>134</v>
      </c>
      <c r="D230" t="s">
        <v>17</v>
      </c>
      <c r="H230">
        <v>4</v>
      </c>
    </row>
    <row r="231" spans="1:8">
      <c r="A231" s="11" t="s">
        <v>8624</v>
      </c>
      <c r="B231" t="s">
        <v>810</v>
      </c>
      <c r="C231">
        <v>135</v>
      </c>
      <c r="D231" t="s">
        <v>17</v>
      </c>
      <c r="H231">
        <v>4</v>
      </c>
    </row>
    <row r="232" spans="1:8">
      <c r="A232" s="11" t="s">
        <v>8408</v>
      </c>
      <c r="B232" t="s">
        <v>812</v>
      </c>
      <c r="C232">
        <v>136</v>
      </c>
      <c r="D232" t="s">
        <v>17</v>
      </c>
      <c r="H232">
        <v>4</v>
      </c>
    </row>
    <row r="233" spans="1:8">
      <c r="A233" s="11" t="s">
        <v>8625</v>
      </c>
      <c r="B233" t="s">
        <v>814</v>
      </c>
      <c r="C233">
        <v>1348</v>
      </c>
      <c r="D233" t="s">
        <v>17</v>
      </c>
      <c r="H233">
        <v>4</v>
      </c>
    </row>
    <row r="234" spans="1:8">
      <c r="A234" s="11" t="s">
        <v>8626</v>
      </c>
      <c r="B234" t="s">
        <v>816</v>
      </c>
      <c r="C234">
        <v>2590</v>
      </c>
      <c r="D234" t="s">
        <v>17</v>
      </c>
      <c r="E234">
        <v>4</v>
      </c>
      <c r="H234">
        <v>4</v>
      </c>
    </row>
    <row r="235" spans="1:8">
      <c r="A235" s="11" t="s">
        <v>8627</v>
      </c>
      <c r="B235" t="s">
        <v>818</v>
      </c>
      <c r="C235">
        <v>3507</v>
      </c>
      <c r="D235" t="s">
        <v>17</v>
      </c>
      <c r="E235">
        <v>4</v>
      </c>
      <c r="H235">
        <v>4</v>
      </c>
    </row>
    <row r="236" spans="1:8">
      <c r="A236" s="11" t="s">
        <v>8628</v>
      </c>
      <c r="B236" t="s">
        <v>820</v>
      </c>
      <c r="C236">
        <v>3838</v>
      </c>
      <c r="D236" t="s">
        <v>17</v>
      </c>
      <c r="E236">
        <v>4</v>
      </c>
      <c r="H236">
        <v>4</v>
      </c>
    </row>
    <row r="237" spans="1:8">
      <c r="A237" s="11" t="s">
        <v>9142</v>
      </c>
      <c r="B237" t="s">
        <v>822</v>
      </c>
      <c r="H237">
        <v>2</v>
      </c>
    </row>
    <row r="238" spans="1:8">
      <c r="A238" s="11" t="s">
        <v>8629</v>
      </c>
      <c r="B238" t="s">
        <v>9141</v>
      </c>
      <c r="H238">
        <v>3</v>
      </c>
    </row>
    <row r="239" spans="1:8">
      <c r="A239" s="11" t="s">
        <v>8630</v>
      </c>
      <c r="B239" t="s">
        <v>826</v>
      </c>
      <c r="C239">
        <v>137</v>
      </c>
      <c r="D239" t="s">
        <v>17</v>
      </c>
      <c r="H239">
        <v>4</v>
      </c>
    </row>
    <row r="240" spans="1:8">
      <c r="A240" s="11" t="s">
        <v>8632</v>
      </c>
      <c r="B240" t="s">
        <v>828</v>
      </c>
      <c r="C240">
        <v>138</v>
      </c>
      <c r="D240" t="s">
        <v>17</v>
      </c>
      <c r="H240">
        <v>4</v>
      </c>
    </row>
    <row r="241" spans="1:8">
      <c r="A241" s="11" t="s">
        <v>8633</v>
      </c>
      <c r="B241" t="s">
        <v>830</v>
      </c>
      <c r="H241">
        <v>3</v>
      </c>
    </row>
    <row r="242" spans="1:8">
      <c r="A242" s="11" t="s">
        <v>8631</v>
      </c>
      <c r="B242" t="s">
        <v>832</v>
      </c>
      <c r="C242">
        <v>139</v>
      </c>
      <c r="D242" t="s">
        <v>17</v>
      </c>
      <c r="H242">
        <v>4</v>
      </c>
    </row>
    <row r="243" spans="1:8">
      <c r="A243" s="11" t="s">
        <v>9172</v>
      </c>
      <c r="B243" t="s">
        <v>834</v>
      </c>
      <c r="C243">
        <v>140</v>
      </c>
      <c r="D243" t="s">
        <v>17</v>
      </c>
      <c r="H243">
        <v>4</v>
      </c>
    </row>
    <row r="244" spans="1:8">
      <c r="A244" s="11" t="s">
        <v>9140</v>
      </c>
      <c r="B244" t="s">
        <v>837</v>
      </c>
      <c r="H244">
        <v>1</v>
      </c>
    </row>
    <row r="245" spans="1:8">
      <c r="A245" s="10" t="s">
        <v>9139</v>
      </c>
      <c r="B245" t="s">
        <v>8669</v>
      </c>
      <c r="H245">
        <v>2</v>
      </c>
    </row>
    <row r="246" spans="1:8">
      <c r="A246" s="10" t="s">
        <v>8670</v>
      </c>
      <c r="B246" t="s">
        <v>8671</v>
      </c>
      <c r="H246">
        <v>3</v>
      </c>
    </row>
    <row r="247" spans="1:8">
      <c r="A247" s="10" t="s">
        <v>8672</v>
      </c>
      <c r="B247" t="s">
        <v>8673</v>
      </c>
      <c r="C247">
        <v>1697</v>
      </c>
      <c r="D247" t="s">
        <v>436</v>
      </c>
      <c r="H247">
        <v>4</v>
      </c>
    </row>
    <row r="248" spans="1:8">
      <c r="A248" s="10" t="s">
        <v>8674</v>
      </c>
      <c r="B248" t="s">
        <v>8731</v>
      </c>
      <c r="C248">
        <v>1699</v>
      </c>
      <c r="D248" t="s">
        <v>436</v>
      </c>
      <c r="H248">
        <v>4</v>
      </c>
    </row>
    <row r="249" spans="1:8">
      <c r="A249" s="10" t="s">
        <v>8675</v>
      </c>
      <c r="B249" t="s">
        <v>8676</v>
      </c>
      <c r="H249">
        <v>3</v>
      </c>
    </row>
    <row r="250" spans="1:8">
      <c r="A250" s="10" t="s">
        <v>8679</v>
      </c>
      <c r="B250" t="s">
        <v>8677</v>
      </c>
      <c r="C250">
        <v>2450</v>
      </c>
      <c r="D250" t="s">
        <v>436</v>
      </c>
      <c r="H250">
        <v>4</v>
      </c>
    </row>
    <row r="251" spans="1:8">
      <c r="A251" s="10" t="s">
        <v>8678</v>
      </c>
      <c r="B251" t="s">
        <v>8700</v>
      </c>
      <c r="C251">
        <v>1806</v>
      </c>
      <c r="D251" t="s">
        <v>436</v>
      </c>
      <c r="H251">
        <v>4</v>
      </c>
    </row>
    <row r="252" spans="1:8">
      <c r="A252" s="10" t="s">
        <v>8698</v>
      </c>
      <c r="B252" t="s">
        <v>8692</v>
      </c>
      <c r="C252">
        <v>3881</v>
      </c>
      <c r="D252" t="s">
        <v>436</v>
      </c>
      <c r="H252">
        <v>4</v>
      </c>
    </row>
    <row r="253" spans="1:8">
      <c r="A253" s="10" t="s">
        <v>8844</v>
      </c>
      <c r="B253" t="s">
        <v>8699</v>
      </c>
      <c r="C253">
        <v>1814</v>
      </c>
      <c r="D253" t="s">
        <v>436</v>
      </c>
      <c r="H253">
        <v>4</v>
      </c>
    </row>
    <row r="254" spans="1:8">
      <c r="A254" s="10" t="s">
        <v>9138</v>
      </c>
      <c r="B254" t="s">
        <v>8701</v>
      </c>
      <c r="H254">
        <v>2</v>
      </c>
    </row>
    <row r="255" spans="1:8">
      <c r="A255" s="10" t="s">
        <v>8704</v>
      </c>
      <c r="B255" t="s">
        <v>8705</v>
      </c>
      <c r="H255">
        <v>3</v>
      </c>
    </row>
    <row r="256" spans="1:8">
      <c r="A256" s="10" t="s">
        <v>8703</v>
      </c>
      <c r="B256" t="s">
        <v>8702</v>
      </c>
      <c r="C256">
        <v>3832</v>
      </c>
      <c r="D256" t="s">
        <v>436</v>
      </c>
      <c r="H256">
        <v>4</v>
      </c>
    </row>
    <row r="257" spans="1:8">
      <c r="A257" s="10" t="s">
        <v>8707</v>
      </c>
      <c r="B257" t="s">
        <v>8706</v>
      </c>
      <c r="C257">
        <v>1564</v>
      </c>
      <c r="D257" t="s">
        <v>436</v>
      </c>
      <c r="H257">
        <v>4</v>
      </c>
    </row>
    <row r="258" spans="1:8">
      <c r="A258" s="10" t="s">
        <v>8710</v>
      </c>
      <c r="B258" t="s">
        <v>8708</v>
      </c>
      <c r="C258">
        <v>3478</v>
      </c>
      <c r="D258" t="s">
        <v>436</v>
      </c>
      <c r="H258">
        <v>4</v>
      </c>
    </row>
    <row r="259" spans="1:8">
      <c r="A259" s="10" t="s">
        <v>8712</v>
      </c>
      <c r="B259" t="s">
        <v>8715</v>
      </c>
      <c r="C259">
        <v>3481</v>
      </c>
      <c r="D259" t="s">
        <v>436</v>
      </c>
      <c r="H259">
        <v>4</v>
      </c>
    </row>
    <row r="260" spans="1:8">
      <c r="A260" s="10" t="s">
        <v>8714</v>
      </c>
      <c r="B260" t="s">
        <v>8711</v>
      </c>
      <c r="C260">
        <v>3498</v>
      </c>
      <c r="D260" t="s">
        <v>436</v>
      </c>
      <c r="H260">
        <v>4</v>
      </c>
    </row>
    <row r="261" spans="1:8">
      <c r="A261" s="10" t="s">
        <v>8716</v>
      </c>
      <c r="B261" t="s">
        <v>8713</v>
      </c>
      <c r="C261">
        <v>3599</v>
      </c>
      <c r="D261" t="s">
        <v>436</v>
      </c>
      <c r="H261">
        <v>4</v>
      </c>
    </row>
    <row r="262" spans="1:8">
      <c r="A262" s="10" t="s">
        <v>8717</v>
      </c>
      <c r="B262" t="s">
        <v>8732</v>
      </c>
      <c r="C262">
        <v>3699</v>
      </c>
      <c r="D262" t="s">
        <v>436</v>
      </c>
      <c r="H262">
        <v>4</v>
      </c>
    </row>
    <row r="263" spans="1:8">
      <c r="A263" s="10" t="s">
        <v>8733</v>
      </c>
      <c r="B263" t="s">
        <v>8709</v>
      </c>
      <c r="C263">
        <v>3799</v>
      </c>
      <c r="D263" t="s">
        <v>436</v>
      </c>
      <c r="H263">
        <v>4</v>
      </c>
    </row>
    <row r="264" spans="1:8">
      <c r="A264" s="10" t="s">
        <v>8734</v>
      </c>
      <c r="B264" t="s">
        <v>8718</v>
      </c>
      <c r="C264">
        <v>3811</v>
      </c>
      <c r="D264" t="s">
        <v>436</v>
      </c>
      <c r="H264">
        <v>4</v>
      </c>
    </row>
    <row r="265" spans="1:8">
      <c r="A265" s="10" t="s">
        <v>8736</v>
      </c>
      <c r="B265" t="s">
        <v>8735</v>
      </c>
      <c r="C265">
        <v>1568</v>
      </c>
      <c r="D265" t="s">
        <v>436</v>
      </c>
      <c r="H265">
        <v>4</v>
      </c>
    </row>
    <row r="266" spans="1:8">
      <c r="A266" s="10" t="s">
        <v>9137</v>
      </c>
      <c r="B266" t="s">
        <v>8720</v>
      </c>
      <c r="H266">
        <v>2</v>
      </c>
    </row>
    <row r="267" spans="1:8">
      <c r="A267" s="10" t="s">
        <v>8719</v>
      </c>
      <c r="B267" t="s">
        <v>8721</v>
      </c>
      <c r="H267">
        <v>3</v>
      </c>
    </row>
    <row r="268" spans="1:8">
      <c r="A268" s="10" t="s">
        <v>8727</v>
      </c>
      <c r="B268" t="s">
        <v>8728</v>
      </c>
      <c r="C268">
        <v>2281</v>
      </c>
      <c r="D268" t="s">
        <v>436</v>
      </c>
      <c r="H268">
        <v>4</v>
      </c>
    </row>
    <row r="269" spans="1:8">
      <c r="A269" s="10" t="s">
        <v>8726</v>
      </c>
      <c r="B269" t="s">
        <v>8729</v>
      </c>
      <c r="C269">
        <v>2283</v>
      </c>
      <c r="D269" t="s">
        <v>436</v>
      </c>
      <c r="H269">
        <v>4</v>
      </c>
    </row>
    <row r="270" spans="1:8">
      <c r="A270" s="10" t="s">
        <v>8739</v>
      </c>
      <c r="B270" t="s">
        <v>9068</v>
      </c>
      <c r="C270">
        <v>2965</v>
      </c>
      <c r="D270" t="s">
        <v>436</v>
      </c>
      <c r="H270">
        <v>4</v>
      </c>
    </row>
    <row r="271" spans="1:8">
      <c r="A271" s="10" t="s">
        <v>8841</v>
      </c>
      <c r="B271" t="s">
        <v>8740</v>
      </c>
      <c r="C271">
        <v>1573</v>
      </c>
      <c r="D271" t="s">
        <v>436</v>
      </c>
      <c r="H271">
        <v>4</v>
      </c>
    </row>
    <row r="272" spans="1:8">
      <c r="A272" s="10" t="s">
        <v>8943</v>
      </c>
      <c r="B272" t="s">
        <v>8842</v>
      </c>
      <c r="C272">
        <v>2030</v>
      </c>
      <c r="D272" t="s">
        <v>436</v>
      </c>
      <c r="H272">
        <v>4</v>
      </c>
    </row>
    <row r="273" spans="1:8">
      <c r="A273" s="10" t="s">
        <v>9066</v>
      </c>
      <c r="B273" t="s">
        <v>9067</v>
      </c>
      <c r="C273">
        <v>1575</v>
      </c>
      <c r="D273" t="s">
        <v>436</v>
      </c>
      <c r="H273">
        <v>4</v>
      </c>
    </row>
    <row r="274" spans="1:8">
      <c r="A274" s="10" t="s">
        <v>8722</v>
      </c>
      <c r="B274" t="s">
        <v>8723</v>
      </c>
      <c r="H274">
        <v>3</v>
      </c>
    </row>
    <row r="275" spans="1:8">
      <c r="A275" s="10" t="s">
        <v>8724</v>
      </c>
      <c r="B275" t="s">
        <v>8964</v>
      </c>
      <c r="C275">
        <v>2449</v>
      </c>
      <c r="D275" t="s">
        <v>436</v>
      </c>
      <c r="H275">
        <v>4</v>
      </c>
    </row>
    <row r="276" spans="1:8">
      <c r="A276" s="10" t="s">
        <v>8725</v>
      </c>
      <c r="B276" t="s">
        <v>8965</v>
      </c>
      <c r="C276">
        <v>1424</v>
      </c>
      <c r="D276" t="s">
        <v>436</v>
      </c>
      <c r="H276">
        <v>4</v>
      </c>
    </row>
    <row r="277" spans="1:8">
      <c r="A277" s="10" t="s">
        <v>8966</v>
      </c>
      <c r="B277" t="s">
        <v>8967</v>
      </c>
      <c r="C277">
        <v>2285</v>
      </c>
      <c r="D277" t="s">
        <v>436</v>
      </c>
      <c r="H277">
        <v>4</v>
      </c>
    </row>
    <row r="278" spans="1:8">
      <c r="A278" s="10" t="s">
        <v>9136</v>
      </c>
      <c r="B278" t="s">
        <v>9135</v>
      </c>
      <c r="H278">
        <v>3</v>
      </c>
    </row>
    <row r="279" spans="1:8">
      <c r="A279" s="10" t="s">
        <v>8974</v>
      </c>
      <c r="B279" t="s">
        <v>8969</v>
      </c>
      <c r="C279">
        <v>2284</v>
      </c>
      <c r="D279" t="s">
        <v>436</v>
      </c>
      <c r="H279">
        <v>4</v>
      </c>
    </row>
    <row r="280" spans="1:8">
      <c r="A280" s="10" t="s">
        <v>8973</v>
      </c>
      <c r="B280" t="s">
        <v>9134</v>
      </c>
      <c r="C280">
        <v>1576</v>
      </c>
      <c r="D280" t="s">
        <v>436</v>
      </c>
      <c r="H280">
        <v>4</v>
      </c>
    </row>
    <row r="281" spans="1:8">
      <c r="A281" s="10" t="s">
        <v>9173</v>
      </c>
      <c r="B281" t="s">
        <v>8972</v>
      </c>
      <c r="C281">
        <v>1823</v>
      </c>
      <c r="D281" t="s">
        <v>436</v>
      </c>
      <c r="H281">
        <v>4</v>
      </c>
    </row>
    <row r="282" spans="1:8">
      <c r="A282" s="10" t="s">
        <v>9133</v>
      </c>
      <c r="B282" t="s">
        <v>8680</v>
      </c>
      <c r="H282">
        <v>2</v>
      </c>
    </row>
    <row r="283" spans="1:8">
      <c r="A283" s="10" t="s">
        <v>8681</v>
      </c>
      <c r="B283" t="s">
        <v>8683</v>
      </c>
      <c r="H283">
        <v>3</v>
      </c>
    </row>
    <row r="284" spans="1:8">
      <c r="A284" s="10" t="s">
        <v>9169</v>
      </c>
      <c r="B284" t="s">
        <v>8694</v>
      </c>
      <c r="C284">
        <v>175</v>
      </c>
      <c r="D284" t="s">
        <v>436</v>
      </c>
      <c r="H284">
        <v>4</v>
      </c>
    </row>
    <row r="285" spans="1:8">
      <c r="A285" s="10" t="s">
        <v>9170</v>
      </c>
      <c r="B285" t="s">
        <v>8695</v>
      </c>
      <c r="C285">
        <v>1231</v>
      </c>
      <c r="D285" t="s">
        <v>436</v>
      </c>
      <c r="H285">
        <v>4</v>
      </c>
    </row>
    <row r="286" spans="1:8">
      <c r="A286" s="10" t="s">
        <v>9171</v>
      </c>
      <c r="B286" t="s">
        <v>8696</v>
      </c>
      <c r="C286">
        <v>1232</v>
      </c>
      <c r="D286" t="s">
        <v>436</v>
      </c>
      <c r="H286">
        <v>4</v>
      </c>
    </row>
    <row r="287" spans="1:8">
      <c r="A287" s="10" t="s">
        <v>8682</v>
      </c>
      <c r="B287" t="s">
        <v>8684</v>
      </c>
      <c r="H287">
        <v>3</v>
      </c>
    </row>
    <row r="288" spans="1:8">
      <c r="A288" s="10" t="s">
        <v>8688</v>
      </c>
      <c r="B288" t="s">
        <v>8685</v>
      </c>
      <c r="C288">
        <v>1226</v>
      </c>
      <c r="D288" t="s">
        <v>436</v>
      </c>
      <c r="H288">
        <v>4</v>
      </c>
    </row>
    <row r="289" spans="1:8">
      <c r="A289" s="10" t="s">
        <v>8689</v>
      </c>
      <c r="B289" t="s">
        <v>8686</v>
      </c>
      <c r="C289">
        <v>1227</v>
      </c>
      <c r="D289" t="s">
        <v>436</v>
      </c>
      <c r="H289">
        <v>4</v>
      </c>
    </row>
    <row r="290" spans="1:8">
      <c r="A290" s="10" t="s">
        <v>8691</v>
      </c>
      <c r="B290" t="s">
        <v>8687</v>
      </c>
      <c r="C290">
        <v>1228</v>
      </c>
      <c r="D290" t="s">
        <v>436</v>
      </c>
      <c r="H290">
        <v>4</v>
      </c>
    </row>
    <row r="291" spans="1:8">
      <c r="A291" s="10" t="s">
        <v>8690</v>
      </c>
      <c r="B291" t="s">
        <v>8697</v>
      </c>
      <c r="C291">
        <v>3825</v>
      </c>
      <c r="D291" t="s">
        <v>436</v>
      </c>
      <c r="H291">
        <v>4</v>
      </c>
    </row>
    <row r="292" spans="1:8">
      <c r="A292" s="10" t="s">
        <v>9168</v>
      </c>
      <c r="B292" t="s">
        <v>8730</v>
      </c>
      <c r="C292">
        <v>3847</v>
      </c>
      <c r="D292" t="s">
        <v>436</v>
      </c>
      <c r="H292">
        <v>4</v>
      </c>
    </row>
    <row r="293" spans="1:8">
      <c r="A293" s="10">
        <v>5</v>
      </c>
      <c r="B293" t="s">
        <v>2356</v>
      </c>
      <c r="H293">
        <v>1</v>
      </c>
    </row>
    <row r="294" spans="1:8">
      <c r="A294" s="10">
        <v>5.01</v>
      </c>
      <c r="B294" t="s">
        <v>8741</v>
      </c>
      <c r="H294">
        <v>2</v>
      </c>
    </row>
    <row r="295" spans="1:8">
      <c r="A295" s="10" t="s">
        <v>8744</v>
      </c>
      <c r="B295" t="s">
        <v>8745</v>
      </c>
      <c r="H295">
        <v>3</v>
      </c>
    </row>
    <row r="296" spans="1:8">
      <c r="A296" s="10" t="s">
        <v>8742</v>
      </c>
      <c r="B296" t="s">
        <v>9063</v>
      </c>
      <c r="C296">
        <v>176</v>
      </c>
      <c r="D296" t="s">
        <v>436</v>
      </c>
      <c r="H296">
        <v>4</v>
      </c>
    </row>
    <row r="297" spans="1:8">
      <c r="A297" s="10" t="s">
        <v>8743</v>
      </c>
      <c r="B297" t="s">
        <v>9132</v>
      </c>
      <c r="C297">
        <v>1890</v>
      </c>
      <c r="D297" t="s">
        <v>436</v>
      </c>
      <c r="H297">
        <v>4</v>
      </c>
    </row>
    <row r="298" spans="1:8">
      <c r="A298" s="10" t="s">
        <v>8746</v>
      </c>
      <c r="B298" t="s">
        <v>9054</v>
      </c>
      <c r="C298">
        <v>185</v>
      </c>
      <c r="D298" t="s">
        <v>436</v>
      </c>
      <c r="H298">
        <v>4</v>
      </c>
    </row>
    <row r="299" spans="1:8">
      <c r="A299" s="10" t="s">
        <v>8748</v>
      </c>
      <c r="B299" t="s">
        <v>9055</v>
      </c>
      <c r="C299">
        <v>193</v>
      </c>
      <c r="D299" t="s">
        <v>436</v>
      </c>
      <c r="H299">
        <v>4</v>
      </c>
    </row>
    <row r="300" spans="1:8">
      <c r="A300" s="10" t="s">
        <v>8749</v>
      </c>
      <c r="B300" t="s">
        <v>9056</v>
      </c>
      <c r="C300">
        <v>202</v>
      </c>
      <c r="D300" t="s">
        <v>436</v>
      </c>
      <c r="H300">
        <v>4</v>
      </c>
    </row>
    <row r="301" spans="1:8">
      <c r="A301" s="10" t="s">
        <v>8750</v>
      </c>
      <c r="B301" t="s">
        <v>8968</v>
      </c>
      <c r="C301">
        <v>1351</v>
      </c>
      <c r="D301" t="s">
        <v>436</v>
      </c>
      <c r="H301">
        <v>4</v>
      </c>
    </row>
    <row r="302" spans="1:8">
      <c r="A302" s="10" t="s">
        <v>8773</v>
      </c>
      <c r="B302" t="s">
        <v>8772</v>
      </c>
      <c r="C302">
        <v>2629</v>
      </c>
      <c r="D302" t="s">
        <v>436</v>
      </c>
      <c r="H302">
        <v>4</v>
      </c>
    </row>
    <row r="303" spans="1:8">
      <c r="A303" s="10" t="s">
        <v>9057</v>
      </c>
      <c r="B303" t="s">
        <v>9058</v>
      </c>
      <c r="C303">
        <v>3212</v>
      </c>
      <c r="D303" t="s">
        <v>436</v>
      </c>
      <c r="H303">
        <v>4</v>
      </c>
    </row>
    <row r="304" spans="1:8">
      <c r="A304" s="10" t="s">
        <v>8753</v>
      </c>
      <c r="B304" t="s">
        <v>9131</v>
      </c>
      <c r="H304">
        <v>3</v>
      </c>
    </row>
    <row r="305" spans="1:8">
      <c r="A305" s="10" t="s">
        <v>8793</v>
      </c>
      <c r="B305" t="s">
        <v>8975</v>
      </c>
      <c r="C305">
        <v>1616</v>
      </c>
      <c r="D305" t="s">
        <v>436</v>
      </c>
      <c r="H305">
        <v>4</v>
      </c>
    </row>
    <row r="306" spans="1:8">
      <c r="A306" s="10" t="s">
        <v>8755</v>
      </c>
      <c r="B306" t="s">
        <v>8978</v>
      </c>
      <c r="C306">
        <v>3244</v>
      </c>
      <c r="D306" t="s">
        <v>436</v>
      </c>
      <c r="H306">
        <v>4</v>
      </c>
    </row>
    <row r="307" spans="1:8">
      <c r="A307" s="10" t="s">
        <v>8833</v>
      </c>
      <c r="B307" t="s">
        <v>8977</v>
      </c>
      <c r="C307">
        <v>3233</v>
      </c>
      <c r="D307" t="s">
        <v>436</v>
      </c>
      <c r="H307">
        <v>4</v>
      </c>
    </row>
    <row r="308" spans="1:8">
      <c r="A308" s="10" t="s">
        <v>8802</v>
      </c>
      <c r="B308" t="s">
        <v>8976</v>
      </c>
      <c r="C308">
        <v>3222</v>
      </c>
      <c r="D308" t="s">
        <v>436</v>
      </c>
      <c r="H308">
        <v>4</v>
      </c>
    </row>
    <row r="309" spans="1:8">
      <c r="A309" s="10" t="s">
        <v>8864</v>
      </c>
      <c r="B309" t="s">
        <v>8979</v>
      </c>
      <c r="C309">
        <v>2177</v>
      </c>
      <c r="D309" t="s">
        <v>436</v>
      </c>
      <c r="H309">
        <v>4</v>
      </c>
    </row>
    <row r="310" spans="1:8">
      <c r="A310" s="10" t="s">
        <v>9130</v>
      </c>
      <c r="B310" t="s">
        <v>8754</v>
      </c>
      <c r="H310">
        <v>3</v>
      </c>
    </row>
    <row r="311" spans="1:8">
      <c r="A311" s="10" t="s">
        <v>8794</v>
      </c>
      <c r="B311" t="s">
        <v>8982</v>
      </c>
      <c r="C311">
        <v>1441</v>
      </c>
      <c r="D311" t="s">
        <v>436</v>
      </c>
      <c r="H311">
        <v>4</v>
      </c>
    </row>
    <row r="312" spans="1:8">
      <c r="A312" s="10" t="s">
        <v>8827</v>
      </c>
      <c r="B312" t="s">
        <v>8984</v>
      </c>
      <c r="C312">
        <v>1826</v>
      </c>
      <c r="D312" t="s">
        <v>436</v>
      </c>
      <c r="H312">
        <v>4</v>
      </c>
    </row>
    <row r="313" spans="1:8">
      <c r="A313" s="10" t="s">
        <v>8834</v>
      </c>
      <c r="B313" t="s">
        <v>8985</v>
      </c>
      <c r="C313">
        <v>2871</v>
      </c>
      <c r="D313" t="s">
        <v>436</v>
      </c>
      <c r="H313">
        <v>4</v>
      </c>
    </row>
    <row r="314" spans="1:8">
      <c r="A314" s="10" t="s">
        <v>8809</v>
      </c>
      <c r="B314" t="s">
        <v>8983</v>
      </c>
      <c r="C314">
        <v>1448</v>
      </c>
      <c r="D314" t="s">
        <v>436</v>
      </c>
      <c r="H314">
        <v>4</v>
      </c>
    </row>
    <row r="315" spans="1:8">
      <c r="A315" s="10" t="s">
        <v>8857</v>
      </c>
      <c r="B315" t="s">
        <v>8980</v>
      </c>
      <c r="C315">
        <v>2178</v>
      </c>
      <c r="D315" t="s">
        <v>436</v>
      </c>
      <c r="H315">
        <v>4</v>
      </c>
    </row>
    <row r="316" spans="1:8">
      <c r="A316" s="10" t="s">
        <v>8846</v>
      </c>
      <c r="B316" t="s">
        <v>8981</v>
      </c>
      <c r="C316">
        <v>2179</v>
      </c>
      <c r="D316" t="s">
        <v>436</v>
      </c>
      <c r="H316">
        <v>4</v>
      </c>
    </row>
    <row r="317" spans="1:8">
      <c r="A317" s="10" t="s">
        <v>9129</v>
      </c>
      <c r="B317" t="s">
        <v>9128</v>
      </c>
      <c r="H317">
        <v>3</v>
      </c>
    </row>
    <row r="318" spans="1:8">
      <c r="A318" s="10" t="s">
        <v>8800</v>
      </c>
      <c r="B318" t="s">
        <v>8988</v>
      </c>
      <c r="C318">
        <v>1457</v>
      </c>
      <c r="D318" t="s">
        <v>436</v>
      </c>
      <c r="H318">
        <v>4</v>
      </c>
    </row>
    <row r="319" spans="1:8">
      <c r="A319" s="10" t="s">
        <v>8831</v>
      </c>
      <c r="B319" t="s">
        <v>8990</v>
      </c>
      <c r="C319">
        <v>1834</v>
      </c>
      <c r="D319" t="s">
        <v>436</v>
      </c>
      <c r="H319">
        <v>4</v>
      </c>
    </row>
    <row r="320" spans="1:8">
      <c r="A320" s="10" t="s">
        <v>8835</v>
      </c>
      <c r="B320" t="s">
        <v>8991</v>
      </c>
      <c r="C320">
        <v>2873</v>
      </c>
      <c r="D320" t="s">
        <v>436</v>
      </c>
      <c r="H320">
        <v>4</v>
      </c>
    </row>
    <row r="321" spans="1:8">
      <c r="A321" s="10" t="s">
        <v>8810</v>
      </c>
      <c r="B321" t="s">
        <v>8989</v>
      </c>
      <c r="C321">
        <v>1465</v>
      </c>
      <c r="D321" t="s">
        <v>436</v>
      </c>
      <c r="H321">
        <v>4</v>
      </c>
    </row>
    <row r="322" spans="1:8">
      <c r="A322" s="10" t="s">
        <v>8867</v>
      </c>
      <c r="B322" t="s">
        <v>8987</v>
      </c>
      <c r="C322">
        <v>456</v>
      </c>
      <c r="D322" t="s">
        <v>436</v>
      </c>
      <c r="H322">
        <v>4</v>
      </c>
    </row>
    <row r="323" spans="1:8">
      <c r="A323" s="10" t="s">
        <v>8853</v>
      </c>
      <c r="B323" t="s">
        <v>8986</v>
      </c>
      <c r="C323">
        <v>366</v>
      </c>
      <c r="D323" t="s">
        <v>436</v>
      </c>
      <c r="H323">
        <v>4</v>
      </c>
    </row>
    <row r="324" spans="1:8">
      <c r="A324" s="10" t="s">
        <v>9127</v>
      </c>
      <c r="B324" t="s">
        <v>9126</v>
      </c>
      <c r="H324">
        <v>3</v>
      </c>
    </row>
    <row r="325" spans="1:8">
      <c r="A325" s="10" t="s">
        <v>8797</v>
      </c>
      <c r="B325" t="s">
        <v>8801</v>
      </c>
      <c r="C325">
        <v>1421</v>
      </c>
      <c r="D325" t="s">
        <v>436</v>
      </c>
      <c r="H325">
        <v>4</v>
      </c>
    </row>
    <row r="326" spans="1:8">
      <c r="A326" s="10" t="s">
        <v>8825</v>
      </c>
      <c r="B326" t="s">
        <v>8832</v>
      </c>
      <c r="C326">
        <v>3601</v>
      </c>
      <c r="D326" t="s">
        <v>436</v>
      </c>
      <c r="H326">
        <v>4</v>
      </c>
    </row>
    <row r="327" spans="1:8">
      <c r="A327" s="10" t="s">
        <v>8992</v>
      </c>
      <c r="B327" t="s">
        <v>8836</v>
      </c>
      <c r="C327">
        <v>3603</v>
      </c>
      <c r="D327" t="s">
        <v>436</v>
      </c>
      <c r="H327">
        <v>4</v>
      </c>
    </row>
    <row r="328" spans="1:8">
      <c r="A328" s="10" t="s">
        <v>8807</v>
      </c>
      <c r="B328" t="s">
        <v>8811</v>
      </c>
      <c r="C328">
        <v>1422</v>
      </c>
      <c r="D328" t="s">
        <v>436</v>
      </c>
      <c r="H328">
        <v>4</v>
      </c>
    </row>
    <row r="329" spans="1:8">
      <c r="A329" s="10" t="s">
        <v>8861</v>
      </c>
      <c r="B329" t="s">
        <v>8868</v>
      </c>
      <c r="C329">
        <v>1419</v>
      </c>
      <c r="D329" t="s">
        <v>436</v>
      </c>
      <c r="H329">
        <v>4</v>
      </c>
    </row>
    <row r="330" spans="1:8">
      <c r="A330" s="10" t="s">
        <v>8850</v>
      </c>
      <c r="B330" t="s">
        <v>8854</v>
      </c>
      <c r="C330">
        <v>1420</v>
      </c>
      <c r="D330" t="s">
        <v>436</v>
      </c>
      <c r="H330">
        <v>4</v>
      </c>
    </row>
    <row r="331" spans="1:8">
      <c r="A331" s="10" t="s">
        <v>9030</v>
      </c>
      <c r="B331" t="s">
        <v>9029</v>
      </c>
      <c r="C331">
        <v>3817</v>
      </c>
      <c r="D331" t="s">
        <v>436</v>
      </c>
      <c r="H331">
        <v>4</v>
      </c>
    </row>
    <row r="332" spans="1:8">
      <c r="A332" s="10" t="s">
        <v>9049</v>
      </c>
      <c r="B332" t="s">
        <v>9050</v>
      </c>
      <c r="C332">
        <v>1363</v>
      </c>
      <c r="D332" t="s">
        <v>436</v>
      </c>
      <c r="H332">
        <v>4</v>
      </c>
    </row>
    <row r="333" spans="1:8">
      <c r="A333" s="10" t="s">
        <v>9059</v>
      </c>
      <c r="B333" t="s">
        <v>9060</v>
      </c>
      <c r="C333">
        <v>1534</v>
      </c>
      <c r="D333" t="s">
        <v>436</v>
      </c>
      <c r="H333">
        <v>4</v>
      </c>
    </row>
    <row r="334" spans="1:8">
      <c r="A334" s="10" t="s">
        <v>9061</v>
      </c>
      <c r="B334" t="s">
        <v>9062</v>
      </c>
      <c r="C334">
        <v>2671</v>
      </c>
      <c r="D334" t="s">
        <v>436</v>
      </c>
      <c r="H334">
        <v>4</v>
      </c>
    </row>
    <row r="335" spans="1:8">
      <c r="A335" s="10" t="s">
        <v>9064</v>
      </c>
      <c r="B335" t="s">
        <v>9065</v>
      </c>
      <c r="C335">
        <v>2665</v>
      </c>
      <c r="D335" t="s">
        <v>436</v>
      </c>
      <c r="H335">
        <v>4</v>
      </c>
    </row>
    <row r="336" spans="1:8">
      <c r="A336" s="10" t="s">
        <v>9125</v>
      </c>
      <c r="B336" t="s">
        <v>9124</v>
      </c>
      <c r="H336">
        <v>3</v>
      </c>
    </row>
    <row r="337" spans="1:8">
      <c r="A337" s="10" t="s">
        <v>8795</v>
      </c>
      <c r="B337" t="s">
        <v>8798</v>
      </c>
      <c r="C337">
        <v>1489</v>
      </c>
      <c r="D337" t="s">
        <v>436</v>
      </c>
      <c r="H337">
        <v>4</v>
      </c>
    </row>
    <row r="338" spans="1:8">
      <c r="A338" s="10" t="s">
        <v>8820</v>
      </c>
      <c r="B338" t="s">
        <v>8826</v>
      </c>
      <c r="C338">
        <v>1858</v>
      </c>
      <c r="D338" t="s">
        <v>436</v>
      </c>
      <c r="H338">
        <v>4</v>
      </c>
    </row>
    <row r="339" spans="1:8">
      <c r="A339" s="10" t="s">
        <v>9123</v>
      </c>
      <c r="B339" t="s">
        <v>9122</v>
      </c>
      <c r="C339">
        <v>2902</v>
      </c>
      <c r="D339" t="s">
        <v>436</v>
      </c>
      <c r="H339">
        <v>4</v>
      </c>
    </row>
    <row r="340" spans="1:8">
      <c r="A340" s="10" t="s">
        <v>8804</v>
      </c>
      <c r="B340" t="s">
        <v>8808</v>
      </c>
      <c r="C340">
        <v>1497</v>
      </c>
      <c r="D340" t="s">
        <v>436</v>
      </c>
      <c r="H340">
        <v>4</v>
      </c>
    </row>
    <row r="341" spans="1:8">
      <c r="A341" s="10" t="s">
        <v>8858</v>
      </c>
      <c r="B341" t="s">
        <v>8862</v>
      </c>
      <c r="C341">
        <v>834</v>
      </c>
      <c r="D341" t="s">
        <v>436</v>
      </c>
      <c r="H341">
        <v>4</v>
      </c>
    </row>
    <row r="342" spans="1:8">
      <c r="A342" s="10" t="s">
        <v>8847</v>
      </c>
      <c r="B342" t="s">
        <v>8851</v>
      </c>
      <c r="C342">
        <v>852</v>
      </c>
      <c r="D342" t="s">
        <v>436</v>
      </c>
      <c r="H342">
        <v>4</v>
      </c>
    </row>
    <row r="343" spans="1:8">
      <c r="A343" s="10" t="s">
        <v>8751</v>
      </c>
      <c r="B343" t="s">
        <v>9121</v>
      </c>
      <c r="H343">
        <v>3</v>
      </c>
    </row>
    <row r="344" spans="1:8">
      <c r="A344" s="10" t="s">
        <v>8752</v>
      </c>
      <c r="B344" t="s">
        <v>8995</v>
      </c>
      <c r="C344">
        <v>1481</v>
      </c>
      <c r="D344" t="s">
        <v>436</v>
      </c>
      <c r="H344">
        <v>4</v>
      </c>
    </row>
    <row r="345" spans="1:8">
      <c r="A345" s="10" t="s">
        <v>8764</v>
      </c>
      <c r="B345" t="s">
        <v>8821</v>
      </c>
      <c r="C345">
        <v>1850</v>
      </c>
      <c r="D345" t="s">
        <v>436</v>
      </c>
      <c r="H345">
        <v>4</v>
      </c>
    </row>
    <row r="346" spans="1:8">
      <c r="A346" s="10" t="s">
        <v>8765</v>
      </c>
      <c r="B346" t="s">
        <v>9120</v>
      </c>
      <c r="C346">
        <v>2986</v>
      </c>
      <c r="D346" t="s">
        <v>436</v>
      </c>
      <c r="H346">
        <v>4</v>
      </c>
    </row>
    <row r="347" spans="1:8">
      <c r="A347" s="10" t="s">
        <v>8766</v>
      </c>
      <c r="B347" t="s">
        <v>8805</v>
      </c>
      <c r="C347">
        <v>1473</v>
      </c>
      <c r="D347" t="s">
        <v>436</v>
      </c>
      <c r="H347">
        <v>4</v>
      </c>
    </row>
    <row r="348" spans="1:8">
      <c r="A348" s="10" t="s">
        <v>8767</v>
      </c>
      <c r="B348" t="s">
        <v>8860</v>
      </c>
      <c r="C348">
        <v>645</v>
      </c>
      <c r="D348" t="s">
        <v>436</v>
      </c>
      <c r="H348">
        <v>4</v>
      </c>
    </row>
    <row r="349" spans="1:8">
      <c r="A349" s="10" t="s">
        <v>8768</v>
      </c>
      <c r="B349" t="s">
        <v>8848</v>
      </c>
      <c r="C349">
        <v>663</v>
      </c>
      <c r="D349" t="s">
        <v>436</v>
      </c>
      <c r="H349">
        <v>4</v>
      </c>
    </row>
    <row r="350" spans="1:8">
      <c r="A350" s="10" t="s">
        <v>9119</v>
      </c>
      <c r="B350" t="s">
        <v>9118</v>
      </c>
      <c r="H350">
        <v>3</v>
      </c>
    </row>
    <row r="351" spans="1:8">
      <c r="A351" s="10" t="s">
        <v>8815</v>
      </c>
      <c r="B351" t="s">
        <v>8796</v>
      </c>
      <c r="C351">
        <v>1579</v>
      </c>
      <c r="D351" t="s">
        <v>436</v>
      </c>
      <c r="H351">
        <v>4</v>
      </c>
    </row>
    <row r="352" spans="1:8">
      <c r="A352" s="10" t="s">
        <v>8823</v>
      </c>
      <c r="B352" t="s">
        <v>8824</v>
      </c>
      <c r="C352">
        <v>1842</v>
      </c>
      <c r="D352" t="s">
        <v>436</v>
      </c>
      <c r="H352">
        <v>4</v>
      </c>
    </row>
    <row r="353" spans="1:8">
      <c r="A353" s="10" t="s">
        <v>8837</v>
      </c>
      <c r="B353" t="s">
        <v>9117</v>
      </c>
      <c r="C353">
        <v>3003</v>
      </c>
      <c r="D353" t="s">
        <v>436</v>
      </c>
      <c r="H353">
        <v>4</v>
      </c>
    </row>
    <row r="354" spans="1:8">
      <c r="A354" s="10" t="s">
        <v>8816</v>
      </c>
      <c r="B354" t="s">
        <v>8806</v>
      </c>
      <c r="C354">
        <v>1589</v>
      </c>
      <c r="D354" t="s">
        <v>436</v>
      </c>
      <c r="H354">
        <v>4</v>
      </c>
    </row>
    <row r="355" spans="1:8">
      <c r="A355" s="10" t="s">
        <v>8998</v>
      </c>
      <c r="B355" t="s">
        <v>8859</v>
      </c>
      <c r="C355">
        <v>591</v>
      </c>
      <c r="D355" t="s">
        <v>436</v>
      </c>
      <c r="H355">
        <v>4</v>
      </c>
    </row>
    <row r="356" spans="1:8">
      <c r="A356" s="10" t="s">
        <v>8999</v>
      </c>
      <c r="B356" t="s">
        <v>8849</v>
      </c>
      <c r="C356">
        <v>609</v>
      </c>
      <c r="D356" t="s">
        <v>436</v>
      </c>
      <c r="H356">
        <v>4</v>
      </c>
    </row>
    <row r="357" spans="1:8">
      <c r="A357" s="10" t="s">
        <v>9116</v>
      </c>
      <c r="B357" t="s">
        <v>9115</v>
      </c>
      <c r="H357">
        <v>3</v>
      </c>
    </row>
    <row r="358" spans="1:8">
      <c r="A358" s="10" t="s">
        <v>9002</v>
      </c>
      <c r="B358" t="s">
        <v>8799</v>
      </c>
      <c r="C358">
        <v>1513</v>
      </c>
      <c r="D358" t="s">
        <v>436</v>
      </c>
      <c r="H358">
        <v>4</v>
      </c>
    </row>
    <row r="359" spans="1:8">
      <c r="A359" s="10" t="s">
        <v>9004</v>
      </c>
      <c r="B359" t="s">
        <v>8822</v>
      </c>
      <c r="C359">
        <v>1866</v>
      </c>
      <c r="D359" t="s">
        <v>436</v>
      </c>
      <c r="H359">
        <v>4</v>
      </c>
    </row>
    <row r="360" spans="1:8">
      <c r="A360" s="10" t="s">
        <v>9114</v>
      </c>
      <c r="B360" t="s">
        <v>9113</v>
      </c>
      <c r="C360">
        <v>3008</v>
      </c>
      <c r="D360" t="s">
        <v>436</v>
      </c>
      <c r="H360">
        <v>4</v>
      </c>
    </row>
    <row r="361" spans="1:8">
      <c r="A361" s="10" t="s">
        <v>9003</v>
      </c>
      <c r="B361" t="s">
        <v>8803</v>
      </c>
      <c r="C361">
        <v>1505</v>
      </c>
      <c r="D361" t="s">
        <v>436</v>
      </c>
      <c r="H361">
        <v>4</v>
      </c>
    </row>
    <row r="362" spans="1:8">
      <c r="A362" s="10" t="s">
        <v>9000</v>
      </c>
      <c r="B362" t="s">
        <v>8863</v>
      </c>
      <c r="C362">
        <v>1132</v>
      </c>
      <c r="D362" t="s">
        <v>436</v>
      </c>
      <c r="H362">
        <v>4</v>
      </c>
    </row>
    <row r="363" spans="1:8">
      <c r="A363" s="10" t="s">
        <v>9001</v>
      </c>
      <c r="B363" t="s">
        <v>8852</v>
      </c>
      <c r="C363">
        <v>1150</v>
      </c>
      <c r="D363" t="s">
        <v>436</v>
      </c>
      <c r="H363">
        <v>4</v>
      </c>
    </row>
    <row r="364" spans="1:8">
      <c r="A364" s="10" t="s">
        <v>9112</v>
      </c>
      <c r="B364" t="s">
        <v>9111</v>
      </c>
      <c r="H364">
        <v>3</v>
      </c>
    </row>
    <row r="365" spans="1:8">
      <c r="A365" s="10" t="s">
        <v>9011</v>
      </c>
      <c r="B365" t="s">
        <v>9007</v>
      </c>
      <c r="C365">
        <v>2243</v>
      </c>
      <c r="D365" t="s">
        <v>436</v>
      </c>
      <c r="H365">
        <v>4</v>
      </c>
    </row>
    <row r="366" spans="1:8">
      <c r="A366" s="10" t="s">
        <v>9110</v>
      </c>
      <c r="B366" t="s">
        <v>9109</v>
      </c>
      <c r="C366">
        <v>1836</v>
      </c>
      <c r="D366" t="s">
        <v>436</v>
      </c>
      <c r="H366">
        <v>4</v>
      </c>
    </row>
    <row r="367" spans="1:8">
      <c r="A367" s="10" t="s">
        <v>9108</v>
      </c>
      <c r="B367" t="s">
        <v>9107</v>
      </c>
      <c r="C367">
        <v>1844</v>
      </c>
      <c r="D367" t="s">
        <v>436</v>
      </c>
      <c r="H367">
        <v>4</v>
      </c>
    </row>
    <row r="368" spans="1:8">
      <c r="A368" s="10" t="s">
        <v>9012</v>
      </c>
      <c r="B368" t="s">
        <v>9008</v>
      </c>
      <c r="C368">
        <v>2244</v>
      </c>
      <c r="D368" t="s">
        <v>436</v>
      </c>
      <c r="H368">
        <v>4</v>
      </c>
    </row>
    <row r="369" spans="1:8">
      <c r="A369" s="10" t="s">
        <v>9009</v>
      </c>
      <c r="B369" t="s">
        <v>9005</v>
      </c>
      <c r="C369">
        <v>1024</v>
      </c>
      <c r="D369" t="s">
        <v>436</v>
      </c>
      <c r="H369">
        <v>4</v>
      </c>
    </row>
    <row r="370" spans="1:8">
      <c r="A370" s="10" t="s">
        <v>9010</v>
      </c>
      <c r="B370" t="s">
        <v>9006</v>
      </c>
      <c r="C370">
        <v>1042</v>
      </c>
      <c r="D370" t="s">
        <v>436</v>
      </c>
      <c r="H370">
        <v>4</v>
      </c>
    </row>
    <row r="371" spans="1:8">
      <c r="A371" s="10" t="s">
        <v>9106</v>
      </c>
      <c r="B371" t="s">
        <v>9105</v>
      </c>
      <c r="H371">
        <v>3</v>
      </c>
    </row>
    <row r="372" spans="1:8">
      <c r="A372" s="10" t="s">
        <v>9015</v>
      </c>
      <c r="B372" t="s">
        <v>8757</v>
      </c>
      <c r="C372">
        <v>1386</v>
      </c>
      <c r="D372" t="s">
        <v>436</v>
      </c>
      <c r="H372">
        <v>4</v>
      </c>
    </row>
    <row r="373" spans="1:8">
      <c r="A373" s="10" t="s">
        <v>9020</v>
      </c>
      <c r="B373" t="s">
        <v>8758</v>
      </c>
      <c r="C373">
        <v>3801</v>
      </c>
      <c r="D373" t="s">
        <v>436</v>
      </c>
      <c r="H373">
        <v>4</v>
      </c>
    </row>
    <row r="374" spans="1:8">
      <c r="A374" s="10" t="s">
        <v>9021</v>
      </c>
      <c r="B374" t="s">
        <v>8760</v>
      </c>
      <c r="C374">
        <v>3802</v>
      </c>
      <c r="D374" t="s">
        <v>436</v>
      </c>
      <c r="H374">
        <v>4</v>
      </c>
    </row>
    <row r="375" spans="1:8">
      <c r="A375" s="10" t="s">
        <v>9016</v>
      </c>
      <c r="B375" t="s">
        <v>8759</v>
      </c>
      <c r="C375">
        <v>1384</v>
      </c>
      <c r="D375" t="s">
        <v>436</v>
      </c>
      <c r="H375">
        <v>4</v>
      </c>
    </row>
    <row r="376" spans="1:8">
      <c r="A376" s="10" t="s">
        <v>9104</v>
      </c>
      <c r="B376" t="s">
        <v>9103</v>
      </c>
      <c r="C376">
        <v>311</v>
      </c>
      <c r="D376" t="s">
        <v>436</v>
      </c>
      <c r="H376">
        <v>4</v>
      </c>
    </row>
    <row r="377" spans="1:8">
      <c r="A377" s="10" t="s">
        <v>9102</v>
      </c>
      <c r="B377" t="s">
        <v>9101</v>
      </c>
      <c r="C377">
        <v>329</v>
      </c>
      <c r="D377" t="s">
        <v>436</v>
      </c>
      <c r="H377">
        <v>4</v>
      </c>
    </row>
    <row r="378" spans="1:8">
      <c r="A378" s="10" t="s">
        <v>9025</v>
      </c>
      <c r="B378" t="s">
        <v>8761</v>
      </c>
      <c r="C378">
        <v>1882</v>
      </c>
      <c r="D378" t="s">
        <v>436</v>
      </c>
      <c r="H378">
        <v>4</v>
      </c>
    </row>
    <row r="379" spans="1:8">
      <c r="A379" s="10" t="s">
        <v>9019</v>
      </c>
      <c r="B379" t="s">
        <v>8762</v>
      </c>
      <c r="C379">
        <v>1758</v>
      </c>
      <c r="D379" t="s">
        <v>436</v>
      </c>
      <c r="H379">
        <v>4</v>
      </c>
    </row>
    <row r="380" spans="1:8">
      <c r="A380" s="10" t="s">
        <v>9013</v>
      </c>
      <c r="B380" t="s">
        <v>8756</v>
      </c>
      <c r="C380">
        <v>212</v>
      </c>
      <c r="D380" t="s">
        <v>436</v>
      </c>
      <c r="H380">
        <v>4</v>
      </c>
    </row>
    <row r="381" spans="1:8">
      <c r="A381" s="10" t="s">
        <v>9018</v>
      </c>
      <c r="B381" t="s">
        <v>8763</v>
      </c>
      <c r="C381">
        <v>1759</v>
      </c>
      <c r="D381" t="s">
        <v>436</v>
      </c>
      <c r="H381">
        <v>4</v>
      </c>
    </row>
    <row r="382" spans="1:8">
      <c r="A382" s="10" t="s">
        <v>9024</v>
      </c>
      <c r="B382" t="s">
        <v>8843</v>
      </c>
      <c r="C382">
        <v>2989</v>
      </c>
      <c r="D382" t="s">
        <v>436</v>
      </c>
      <c r="H382">
        <v>4</v>
      </c>
    </row>
    <row r="383" spans="1:8">
      <c r="A383" s="10" t="s">
        <v>9022</v>
      </c>
      <c r="B383" t="s">
        <v>8769</v>
      </c>
      <c r="C383">
        <v>1825</v>
      </c>
      <c r="D383" t="s">
        <v>436</v>
      </c>
      <c r="H383">
        <v>4</v>
      </c>
    </row>
    <row r="384" spans="1:8">
      <c r="A384" s="10" t="s">
        <v>9023</v>
      </c>
      <c r="B384" t="s">
        <v>8770</v>
      </c>
      <c r="C384">
        <v>1900</v>
      </c>
      <c r="D384" t="s">
        <v>436</v>
      </c>
      <c r="H384">
        <v>4</v>
      </c>
    </row>
    <row r="385" spans="1:8">
      <c r="A385" s="10" t="s">
        <v>9017</v>
      </c>
      <c r="B385" t="s">
        <v>8771</v>
      </c>
      <c r="C385">
        <v>1383</v>
      </c>
      <c r="D385" t="s">
        <v>436</v>
      </c>
      <c r="H385">
        <v>4</v>
      </c>
    </row>
    <row r="386" spans="1:8">
      <c r="A386" s="10" t="s">
        <v>9014</v>
      </c>
      <c r="B386" t="s">
        <v>8890</v>
      </c>
      <c r="C386">
        <v>1244</v>
      </c>
      <c r="D386" t="s">
        <v>436</v>
      </c>
      <c r="H386">
        <v>4</v>
      </c>
    </row>
    <row r="387" spans="1:8">
      <c r="A387" s="10" t="s">
        <v>9026</v>
      </c>
      <c r="B387" t="s">
        <v>8945</v>
      </c>
      <c r="C387">
        <v>1277</v>
      </c>
      <c r="D387" t="s">
        <v>436</v>
      </c>
      <c r="H387">
        <v>4</v>
      </c>
    </row>
    <row r="388" spans="1:8">
      <c r="A388" s="10" t="s">
        <v>9100</v>
      </c>
      <c r="B388" t="s">
        <v>9099</v>
      </c>
      <c r="H388">
        <v>2</v>
      </c>
    </row>
    <row r="389" spans="1:8">
      <c r="A389" s="10" t="s">
        <v>9098</v>
      </c>
      <c r="B389" t="s">
        <v>9097</v>
      </c>
      <c r="H389">
        <v>3</v>
      </c>
    </row>
    <row r="390" spans="1:8">
      <c r="A390" s="10" t="s">
        <v>8774</v>
      </c>
      <c r="B390" t="s">
        <v>9040</v>
      </c>
      <c r="C390">
        <v>2947</v>
      </c>
      <c r="D390" t="s">
        <v>436</v>
      </c>
      <c r="H390">
        <v>4</v>
      </c>
    </row>
    <row r="391" spans="1:8">
      <c r="A391" s="10" t="s">
        <v>8775</v>
      </c>
      <c r="B391" t="s">
        <v>9039</v>
      </c>
      <c r="C391">
        <v>1704</v>
      </c>
      <c r="D391" t="s">
        <v>436</v>
      </c>
      <c r="H391">
        <v>4</v>
      </c>
    </row>
    <row r="392" spans="1:8">
      <c r="A392" s="10" t="s">
        <v>9035</v>
      </c>
      <c r="B392" t="s">
        <v>9036</v>
      </c>
      <c r="C392">
        <v>1723</v>
      </c>
      <c r="D392" t="s">
        <v>436</v>
      </c>
      <c r="H392">
        <v>4</v>
      </c>
    </row>
    <row r="393" spans="1:8">
      <c r="A393" s="10" t="s">
        <v>9096</v>
      </c>
      <c r="B393" t="s">
        <v>9095</v>
      </c>
      <c r="C393">
        <v>3416</v>
      </c>
      <c r="D393" t="s">
        <v>436</v>
      </c>
      <c r="H393">
        <v>4</v>
      </c>
    </row>
    <row r="394" spans="1:8">
      <c r="A394" s="10" t="s">
        <v>9094</v>
      </c>
      <c r="B394" t="s">
        <v>9093</v>
      </c>
      <c r="C394">
        <v>1619</v>
      </c>
      <c r="D394" t="s">
        <v>436</v>
      </c>
      <c r="H394">
        <v>4</v>
      </c>
    </row>
    <row r="395" spans="1:8">
      <c r="A395" s="10" t="s">
        <v>9045</v>
      </c>
      <c r="B395" t="s">
        <v>9046</v>
      </c>
      <c r="C395">
        <v>1712</v>
      </c>
      <c r="D395" t="s">
        <v>436</v>
      </c>
      <c r="H395">
        <v>4</v>
      </c>
    </row>
    <row r="396" spans="1:8">
      <c r="A396" s="10" t="s">
        <v>9047</v>
      </c>
      <c r="B396" t="s">
        <v>9048</v>
      </c>
      <c r="C396">
        <v>1719</v>
      </c>
      <c r="D396" t="s">
        <v>436</v>
      </c>
      <c r="H396">
        <v>4</v>
      </c>
    </row>
    <row r="397" spans="1:8">
      <c r="A397" s="10" t="s">
        <v>9041</v>
      </c>
      <c r="B397" t="s">
        <v>9042</v>
      </c>
      <c r="C397">
        <v>1715</v>
      </c>
      <c r="D397" t="s">
        <v>436</v>
      </c>
      <c r="H397">
        <v>4</v>
      </c>
    </row>
    <row r="398" spans="1:8">
      <c r="A398" s="10" t="s">
        <v>8970</v>
      </c>
      <c r="B398" t="s">
        <v>8971</v>
      </c>
      <c r="C398">
        <v>1727</v>
      </c>
      <c r="D398" t="s">
        <v>436</v>
      </c>
      <c r="H398">
        <v>4</v>
      </c>
    </row>
    <row r="399" spans="1:8">
      <c r="A399" s="10" t="s">
        <v>9031</v>
      </c>
      <c r="B399" t="s">
        <v>9032</v>
      </c>
      <c r="C399">
        <v>3816</v>
      </c>
      <c r="D399" t="s">
        <v>436</v>
      </c>
      <c r="H399">
        <v>4</v>
      </c>
    </row>
    <row r="400" spans="1:8">
      <c r="A400" s="10" t="s">
        <v>9043</v>
      </c>
      <c r="B400" t="s">
        <v>9044</v>
      </c>
      <c r="C400">
        <v>1708</v>
      </c>
      <c r="D400" t="s">
        <v>436</v>
      </c>
      <c r="H400">
        <v>4</v>
      </c>
    </row>
    <row r="401" spans="1:8">
      <c r="A401" s="10" t="s">
        <v>9092</v>
      </c>
      <c r="B401" t="s">
        <v>9091</v>
      </c>
      <c r="H401">
        <v>3</v>
      </c>
    </row>
    <row r="402" spans="1:8">
      <c r="A402" s="10" t="s">
        <v>9090</v>
      </c>
      <c r="B402" t="s">
        <v>8720</v>
      </c>
      <c r="H402">
        <v>2</v>
      </c>
    </row>
    <row r="403" spans="1:8">
      <c r="A403" s="10" t="s">
        <v>9089</v>
      </c>
      <c r="B403" t="s">
        <v>9088</v>
      </c>
      <c r="H403">
        <v>3</v>
      </c>
    </row>
    <row r="404" spans="1:8">
      <c r="A404" s="10" t="s">
        <v>8812</v>
      </c>
      <c r="B404" t="s">
        <v>8813</v>
      </c>
      <c r="C404">
        <v>2625</v>
      </c>
      <c r="D404" t="s">
        <v>436</v>
      </c>
      <c r="H404">
        <v>4</v>
      </c>
    </row>
    <row r="405" spans="1:8">
      <c r="A405" s="10" t="s">
        <v>8828</v>
      </c>
      <c r="B405" t="s">
        <v>8829</v>
      </c>
      <c r="C405">
        <v>3803</v>
      </c>
      <c r="D405" t="s">
        <v>436</v>
      </c>
      <c r="H405">
        <v>4</v>
      </c>
    </row>
    <row r="406" spans="1:8">
      <c r="A406" s="10" t="s">
        <v>8838</v>
      </c>
      <c r="B406" t="s">
        <v>8839</v>
      </c>
      <c r="C406">
        <v>3804</v>
      </c>
      <c r="D406" t="s">
        <v>436</v>
      </c>
      <c r="H406">
        <v>4</v>
      </c>
    </row>
    <row r="407" spans="1:8">
      <c r="A407" s="10" t="s">
        <v>8817</v>
      </c>
      <c r="B407" t="s">
        <v>8818</v>
      </c>
      <c r="C407">
        <v>2295</v>
      </c>
      <c r="D407" t="s">
        <v>436</v>
      </c>
      <c r="H407">
        <v>4</v>
      </c>
    </row>
    <row r="408" spans="1:8">
      <c r="A408" s="10" t="s">
        <v>8865</v>
      </c>
      <c r="B408" t="s">
        <v>8866</v>
      </c>
      <c r="C408">
        <v>1522</v>
      </c>
      <c r="D408" t="s">
        <v>436</v>
      </c>
      <c r="H408">
        <v>4</v>
      </c>
    </row>
    <row r="409" spans="1:8">
      <c r="A409" s="10" t="s">
        <v>9037</v>
      </c>
      <c r="B409" t="s">
        <v>9038</v>
      </c>
      <c r="C409">
        <v>1402</v>
      </c>
      <c r="D409" t="s">
        <v>436</v>
      </c>
      <c r="H409">
        <v>4</v>
      </c>
    </row>
    <row r="410" spans="1:8">
      <c r="A410" s="10" t="s">
        <v>9087</v>
      </c>
      <c r="B410" t="s">
        <v>9086</v>
      </c>
      <c r="C410">
        <v>3385</v>
      </c>
      <c r="D410" t="s">
        <v>436</v>
      </c>
      <c r="H410">
        <v>4</v>
      </c>
    </row>
    <row r="411" spans="1:8">
      <c r="A411" s="10" t="s">
        <v>9033</v>
      </c>
      <c r="B411" t="s">
        <v>9034</v>
      </c>
      <c r="C411">
        <v>1274</v>
      </c>
      <c r="D411" t="s">
        <v>436</v>
      </c>
      <c r="H411">
        <v>4</v>
      </c>
    </row>
    <row r="412" spans="1:8">
      <c r="A412" s="10" t="s">
        <v>8939</v>
      </c>
      <c r="B412" t="s">
        <v>8940</v>
      </c>
      <c r="C412">
        <v>1433</v>
      </c>
      <c r="D412" t="s">
        <v>436</v>
      </c>
      <c r="H412">
        <v>4</v>
      </c>
    </row>
    <row r="413" spans="1:8">
      <c r="A413" s="10" t="s">
        <v>8941</v>
      </c>
      <c r="B413" t="s">
        <v>8942</v>
      </c>
      <c r="C413">
        <v>1556</v>
      </c>
      <c r="D413" t="s">
        <v>436</v>
      </c>
      <c r="H413">
        <v>4</v>
      </c>
    </row>
    <row r="414" spans="1:8">
      <c r="A414" s="10" t="s">
        <v>9027</v>
      </c>
      <c r="B414" t="s">
        <v>9028</v>
      </c>
      <c r="C414">
        <v>1400</v>
      </c>
      <c r="D414" t="s">
        <v>436</v>
      </c>
      <c r="H414">
        <v>4</v>
      </c>
    </row>
    <row r="415" spans="1:8">
      <c r="A415" s="10" t="s">
        <v>8855</v>
      </c>
      <c r="B415" t="s">
        <v>8856</v>
      </c>
      <c r="C415">
        <v>1524</v>
      </c>
      <c r="D415" t="s">
        <v>436</v>
      </c>
      <c r="H415">
        <v>4</v>
      </c>
    </row>
    <row r="416" spans="1:8">
      <c r="A416" s="10" t="s">
        <v>9051</v>
      </c>
      <c r="B416" t="s">
        <v>9052</v>
      </c>
      <c r="C416">
        <v>2960</v>
      </c>
      <c r="D416" t="s">
        <v>436</v>
      </c>
      <c r="H416">
        <v>4</v>
      </c>
    </row>
    <row r="417" spans="1:8">
      <c r="A417" s="10" t="s">
        <v>9174</v>
      </c>
      <c r="B417" t="s">
        <v>9053</v>
      </c>
      <c r="C417">
        <v>1978</v>
      </c>
      <c r="D417" t="s">
        <v>436</v>
      </c>
      <c r="H417">
        <v>4</v>
      </c>
    </row>
    <row r="418" spans="1:8">
      <c r="A418" s="10" t="s">
        <v>9085</v>
      </c>
      <c r="B418" t="s">
        <v>8723</v>
      </c>
      <c r="H418">
        <v>3</v>
      </c>
    </row>
    <row r="419" spans="1:8">
      <c r="A419" s="10" t="s">
        <v>9084</v>
      </c>
      <c r="B419" t="s">
        <v>9082</v>
      </c>
      <c r="H419">
        <v>2</v>
      </c>
    </row>
    <row r="420" spans="1:8">
      <c r="A420" s="10" t="s">
        <v>9083</v>
      </c>
      <c r="B420" t="s">
        <v>9082</v>
      </c>
      <c r="H420">
        <v>3</v>
      </c>
    </row>
    <row r="421" spans="1:8">
      <c r="A421" s="10" t="s">
        <v>8958</v>
      </c>
      <c r="B421" t="s">
        <v>8959</v>
      </c>
      <c r="C421">
        <v>1743</v>
      </c>
      <c r="D421" t="s">
        <v>436</v>
      </c>
      <c r="H421">
        <v>4</v>
      </c>
    </row>
    <row r="422" spans="1:8">
      <c r="A422" s="10" t="s">
        <v>8952</v>
      </c>
      <c r="B422" t="s">
        <v>8953</v>
      </c>
      <c r="C422">
        <v>1233</v>
      </c>
      <c r="D422" t="s">
        <v>436</v>
      </c>
      <c r="H422">
        <v>4</v>
      </c>
    </row>
    <row r="423" spans="1:8">
      <c r="A423" s="10" t="s">
        <v>8960</v>
      </c>
      <c r="B423" t="s">
        <v>8961</v>
      </c>
      <c r="C423">
        <v>1235</v>
      </c>
      <c r="D423" t="s">
        <v>436</v>
      </c>
      <c r="H423">
        <v>4</v>
      </c>
    </row>
    <row r="424" spans="1:8">
      <c r="A424" s="10" t="s">
        <v>8962</v>
      </c>
      <c r="B424" t="s">
        <v>8963</v>
      </c>
      <c r="C424">
        <v>1236</v>
      </c>
      <c r="D424" t="s">
        <v>436</v>
      </c>
      <c r="H424">
        <v>4</v>
      </c>
    </row>
    <row r="425" spans="1:8">
      <c r="A425" s="10" t="s">
        <v>8956</v>
      </c>
      <c r="B425" t="s">
        <v>8957</v>
      </c>
      <c r="C425">
        <v>1238</v>
      </c>
      <c r="D425" t="s">
        <v>436</v>
      </c>
      <c r="H425">
        <v>4</v>
      </c>
    </row>
    <row r="426" spans="1:8">
      <c r="A426" s="10" t="s">
        <v>8954</v>
      </c>
      <c r="B426" t="s">
        <v>8955</v>
      </c>
      <c r="C426">
        <v>1239</v>
      </c>
      <c r="D426" t="s">
        <v>436</v>
      </c>
      <c r="H426">
        <v>4</v>
      </c>
    </row>
    <row r="427" spans="1:8">
      <c r="A427" s="10" t="s">
        <v>8950</v>
      </c>
      <c r="B427" t="s">
        <v>8951</v>
      </c>
      <c r="C427">
        <v>1270</v>
      </c>
      <c r="D427" t="s">
        <v>436</v>
      </c>
      <c r="H427">
        <v>4</v>
      </c>
    </row>
    <row r="428" spans="1:8">
      <c r="A428" s="10" t="s">
        <v>9081</v>
      </c>
      <c r="B428" t="s">
        <v>9079</v>
      </c>
      <c r="H428">
        <v>2</v>
      </c>
    </row>
    <row r="429" spans="1:8">
      <c r="A429" s="10" t="s">
        <v>9080</v>
      </c>
      <c r="B429" t="s">
        <v>9079</v>
      </c>
      <c r="H429">
        <v>3</v>
      </c>
    </row>
    <row r="430" spans="1:8">
      <c r="A430" s="10" t="s">
        <v>8814</v>
      </c>
      <c r="B430" t="s">
        <v>8889</v>
      </c>
      <c r="C430">
        <v>1241</v>
      </c>
      <c r="D430" t="s">
        <v>436</v>
      </c>
      <c r="H430">
        <v>4</v>
      </c>
    </row>
    <row r="431" spans="1:8">
      <c r="A431" s="10" t="s">
        <v>8830</v>
      </c>
      <c r="B431" t="s">
        <v>9078</v>
      </c>
      <c r="C431">
        <v>3805</v>
      </c>
      <c r="D431" t="s">
        <v>436</v>
      </c>
      <c r="H431">
        <v>4</v>
      </c>
    </row>
    <row r="432" spans="1:8">
      <c r="A432" s="10" t="s">
        <v>8840</v>
      </c>
      <c r="B432" t="s">
        <v>9077</v>
      </c>
      <c r="C432">
        <v>3806</v>
      </c>
      <c r="D432" t="s">
        <v>436</v>
      </c>
      <c r="H432">
        <v>4</v>
      </c>
    </row>
    <row r="433" spans="1:8">
      <c r="A433" s="10" t="s">
        <v>8819</v>
      </c>
      <c r="B433" t="s">
        <v>8944</v>
      </c>
      <c r="C433">
        <v>1242</v>
      </c>
      <c r="D433" t="s">
        <v>436</v>
      </c>
      <c r="H433">
        <v>4</v>
      </c>
    </row>
    <row r="434" spans="1:8">
      <c r="A434" s="10" t="s">
        <v>8891</v>
      </c>
      <c r="B434" t="s">
        <v>8892</v>
      </c>
      <c r="C434">
        <v>1245</v>
      </c>
      <c r="D434" t="s">
        <v>436</v>
      </c>
      <c r="H434">
        <v>4</v>
      </c>
    </row>
    <row r="435" spans="1:8">
      <c r="A435" s="10" t="s">
        <v>8893</v>
      </c>
      <c r="B435" t="s">
        <v>8894</v>
      </c>
      <c r="C435">
        <v>1246</v>
      </c>
      <c r="D435" t="s">
        <v>436</v>
      </c>
      <c r="H435">
        <v>4</v>
      </c>
    </row>
    <row r="436" spans="1:8">
      <c r="A436" s="10" t="s">
        <v>8895</v>
      </c>
      <c r="B436" t="s">
        <v>8896</v>
      </c>
      <c r="C436">
        <v>1247</v>
      </c>
      <c r="D436" t="s">
        <v>436</v>
      </c>
      <c r="H436">
        <v>4</v>
      </c>
    </row>
    <row r="437" spans="1:8">
      <c r="A437" s="10" t="s">
        <v>8897</v>
      </c>
      <c r="B437" t="s">
        <v>8898</v>
      </c>
      <c r="C437">
        <v>1248</v>
      </c>
      <c r="D437" t="s">
        <v>436</v>
      </c>
      <c r="H437">
        <v>4</v>
      </c>
    </row>
    <row r="438" spans="1:8">
      <c r="A438" s="10" t="s">
        <v>8899</v>
      </c>
      <c r="B438" t="s">
        <v>8900</v>
      </c>
      <c r="C438">
        <v>1251</v>
      </c>
      <c r="D438" t="s">
        <v>436</v>
      </c>
      <c r="H438">
        <v>4</v>
      </c>
    </row>
    <row r="439" spans="1:8">
      <c r="A439" s="10" t="s">
        <v>8901</v>
      </c>
      <c r="B439" t="s">
        <v>8902</v>
      </c>
      <c r="C439">
        <v>1252</v>
      </c>
      <c r="D439" t="s">
        <v>436</v>
      </c>
      <c r="H439">
        <v>4</v>
      </c>
    </row>
    <row r="440" spans="1:8">
      <c r="A440" s="10" t="s">
        <v>8903</v>
      </c>
      <c r="B440" t="s">
        <v>8904</v>
      </c>
      <c r="C440">
        <v>1253</v>
      </c>
      <c r="D440" t="s">
        <v>436</v>
      </c>
      <c r="H440">
        <v>4</v>
      </c>
    </row>
    <row r="441" spans="1:8">
      <c r="A441" s="10" t="s">
        <v>8905</v>
      </c>
      <c r="B441" t="s">
        <v>8906</v>
      </c>
      <c r="C441">
        <v>1255</v>
      </c>
      <c r="D441" t="s">
        <v>436</v>
      </c>
      <c r="H441">
        <v>4</v>
      </c>
    </row>
    <row r="442" spans="1:8">
      <c r="A442" s="10" t="s">
        <v>8907</v>
      </c>
      <c r="B442" t="s">
        <v>8908</v>
      </c>
      <c r="C442">
        <v>1256</v>
      </c>
      <c r="D442" t="s">
        <v>436</v>
      </c>
      <c r="H442">
        <v>4</v>
      </c>
    </row>
    <row r="443" spans="1:8">
      <c r="A443" s="10" t="s">
        <v>8909</v>
      </c>
      <c r="B443" t="s">
        <v>8910</v>
      </c>
      <c r="C443">
        <v>1257</v>
      </c>
      <c r="D443" t="s">
        <v>436</v>
      </c>
      <c r="H443">
        <v>4</v>
      </c>
    </row>
    <row r="444" spans="1:8">
      <c r="A444" s="10" t="s">
        <v>8911</v>
      </c>
      <c r="B444" t="s">
        <v>8912</v>
      </c>
      <c r="C444">
        <v>1258</v>
      </c>
      <c r="D444" t="s">
        <v>436</v>
      </c>
      <c r="H444">
        <v>4</v>
      </c>
    </row>
    <row r="445" spans="1:8">
      <c r="A445" s="10" t="s">
        <v>8913</v>
      </c>
      <c r="B445" t="s">
        <v>8914</v>
      </c>
      <c r="C445">
        <v>1259</v>
      </c>
      <c r="D445" t="s">
        <v>436</v>
      </c>
      <c r="H445">
        <v>4</v>
      </c>
    </row>
    <row r="446" spans="1:8">
      <c r="A446" s="10" t="s">
        <v>8925</v>
      </c>
      <c r="B446" t="s">
        <v>8926</v>
      </c>
      <c r="C446">
        <v>1260</v>
      </c>
      <c r="D446" t="s">
        <v>436</v>
      </c>
      <c r="H446">
        <v>4</v>
      </c>
    </row>
    <row r="447" spans="1:8">
      <c r="A447" s="10" t="s">
        <v>8923</v>
      </c>
      <c r="B447" t="s">
        <v>8924</v>
      </c>
      <c r="C447">
        <v>1262</v>
      </c>
      <c r="D447" t="s">
        <v>436</v>
      </c>
      <c r="H447">
        <v>4</v>
      </c>
    </row>
    <row r="448" spans="1:8">
      <c r="A448" s="10" t="s">
        <v>8915</v>
      </c>
      <c r="B448" t="s">
        <v>8888</v>
      </c>
      <c r="C448">
        <v>1240</v>
      </c>
      <c r="D448" t="s">
        <v>436</v>
      </c>
      <c r="H448">
        <v>4</v>
      </c>
    </row>
    <row r="449" spans="1:8">
      <c r="A449" s="10" t="s">
        <v>8887</v>
      </c>
      <c r="B449" t="s">
        <v>8920</v>
      </c>
      <c r="C449">
        <v>1264</v>
      </c>
      <c r="D449" t="s">
        <v>436</v>
      </c>
      <c r="H449">
        <v>4</v>
      </c>
    </row>
    <row r="450" spans="1:8">
      <c r="A450" s="10" t="s">
        <v>8921</v>
      </c>
      <c r="B450" t="s">
        <v>8922</v>
      </c>
      <c r="C450">
        <v>1265</v>
      </c>
      <c r="D450" t="s">
        <v>436</v>
      </c>
      <c r="H450">
        <v>4</v>
      </c>
    </row>
    <row r="451" spans="1:8">
      <c r="A451" s="10" t="s">
        <v>8918</v>
      </c>
      <c r="B451" t="s">
        <v>8919</v>
      </c>
      <c r="C451">
        <v>1266</v>
      </c>
      <c r="D451" t="s">
        <v>436</v>
      </c>
      <c r="H451">
        <v>4</v>
      </c>
    </row>
    <row r="452" spans="1:8">
      <c r="A452" s="10" t="s">
        <v>8916</v>
      </c>
      <c r="B452" t="s">
        <v>8917</v>
      </c>
      <c r="C452">
        <v>1267</v>
      </c>
      <c r="D452" t="s">
        <v>436</v>
      </c>
      <c r="H452">
        <v>4</v>
      </c>
    </row>
    <row r="453" spans="1:8">
      <c r="A453" s="10" t="s">
        <v>8927</v>
      </c>
      <c r="B453" t="s">
        <v>8928</v>
      </c>
      <c r="C453">
        <v>1268</v>
      </c>
      <c r="D453" t="s">
        <v>436</v>
      </c>
      <c r="H453">
        <v>4</v>
      </c>
    </row>
    <row r="454" spans="1:8">
      <c r="A454" s="10" t="s">
        <v>8929</v>
      </c>
      <c r="B454" t="s">
        <v>8930</v>
      </c>
      <c r="C454">
        <v>1269</v>
      </c>
      <c r="D454" t="s">
        <v>436</v>
      </c>
      <c r="H454">
        <v>4</v>
      </c>
    </row>
    <row r="455" spans="1:8">
      <c r="A455" s="10" t="s">
        <v>8931</v>
      </c>
      <c r="B455" t="s">
        <v>8932</v>
      </c>
      <c r="C455">
        <v>1346</v>
      </c>
      <c r="D455" t="s">
        <v>436</v>
      </c>
      <c r="H455">
        <v>4</v>
      </c>
    </row>
    <row r="456" spans="1:8">
      <c r="A456" s="10" t="s">
        <v>8935</v>
      </c>
      <c r="B456" t="s">
        <v>8936</v>
      </c>
      <c r="C456">
        <v>1349</v>
      </c>
      <c r="D456" t="s">
        <v>436</v>
      </c>
      <c r="H456">
        <v>4</v>
      </c>
    </row>
    <row r="457" spans="1:8">
      <c r="A457" s="10" t="s">
        <v>8933</v>
      </c>
      <c r="B457" t="s">
        <v>8934</v>
      </c>
      <c r="C457">
        <v>3852</v>
      </c>
      <c r="D457" t="s">
        <v>436</v>
      </c>
      <c r="H457">
        <v>4</v>
      </c>
    </row>
    <row r="458" spans="1:8">
      <c r="A458" s="10" t="s">
        <v>8937</v>
      </c>
      <c r="B458" t="s">
        <v>8938</v>
      </c>
      <c r="C458">
        <v>3855</v>
      </c>
      <c r="D458" t="s">
        <v>436</v>
      </c>
      <c r="H458">
        <v>4</v>
      </c>
    </row>
    <row r="459" spans="1:8">
      <c r="A459" s="10" t="s">
        <v>9076</v>
      </c>
      <c r="B459" t="s">
        <v>9074</v>
      </c>
      <c r="H459">
        <v>2</v>
      </c>
    </row>
    <row r="460" spans="1:8">
      <c r="A460" s="10" t="s">
        <v>9075</v>
      </c>
      <c r="B460" t="s">
        <v>9074</v>
      </c>
      <c r="H460">
        <v>3</v>
      </c>
    </row>
    <row r="461" spans="1:8">
      <c r="A461" s="10" t="s">
        <v>8869</v>
      </c>
      <c r="B461" t="s">
        <v>8870</v>
      </c>
      <c r="C461">
        <v>1279</v>
      </c>
      <c r="D461" t="s">
        <v>436</v>
      </c>
      <c r="H461">
        <v>4</v>
      </c>
    </row>
    <row r="462" spans="1:8">
      <c r="A462" s="10" t="s">
        <v>8871</v>
      </c>
      <c r="B462" t="s">
        <v>8872</v>
      </c>
      <c r="C462">
        <v>1280</v>
      </c>
      <c r="D462" t="s">
        <v>436</v>
      </c>
      <c r="H462">
        <v>4</v>
      </c>
    </row>
    <row r="463" spans="1:8">
      <c r="A463" s="10" t="s">
        <v>8873</v>
      </c>
      <c r="B463" t="s">
        <v>8874</v>
      </c>
      <c r="C463">
        <v>1281</v>
      </c>
      <c r="D463" t="s">
        <v>436</v>
      </c>
      <c r="H463">
        <v>4</v>
      </c>
    </row>
    <row r="464" spans="1:8">
      <c r="A464" s="10" t="s">
        <v>8875</v>
      </c>
      <c r="B464" t="s">
        <v>8876</v>
      </c>
      <c r="C464">
        <v>1282</v>
      </c>
      <c r="D464" t="s">
        <v>436</v>
      </c>
      <c r="H464">
        <v>4</v>
      </c>
    </row>
    <row r="465" spans="1:8">
      <c r="A465" s="10" t="s">
        <v>8877</v>
      </c>
      <c r="B465" t="s">
        <v>8878</v>
      </c>
      <c r="C465">
        <v>1283</v>
      </c>
      <c r="D465" t="s">
        <v>436</v>
      </c>
      <c r="H465">
        <v>4</v>
      </c>
    </row>
    <row r="466" spans="1:8">
      <c r="A466" s="10" t="s">
        <v>8879</v>
      </c>
      <c r="B466" t="s">
        <v>8880</v>
      </c>
      <c r="C466">
        <v>1284</v>
      </c>
      <c r="D466" t="s">
        <v>436</v>
      </c>
      <c r="H466">
        <v>4</v>
      </c>
    </row>
    <row r="467" spans="1:8">
      <c r="A467" s="10" t="s">
        <v>8881</v>
      </c>
      <c r="B467" t="s">
        <v>8882</v>
      </c>
      <c r="C467">
        <v>3823</v>
      </c>
      <c r="D467" t="s">
        <v>436</v>
      </c>
      <c r="H467">
        <v>4</v>
      </c>
    </row>
    <row r="468" spans="1:8">
      <c r="A468" s="10" t="s">
        <v>8884</v>
      </c>
      <c r="B468" t="s">
        <v>8886</v>
      </c>
      <c r="C468">
        <v>3822</v>
      </c>
      <c r="D468" t="s">
        <v>436</v>
      </c>
      <c r="H468">
        <v>4</v>
      </c>
    </row>
    <row r="469" spans="1:8">
      <c r="A469" s="10" t="s">
        <v>8885</v>
      </c>
      <c r="B469" t="s">
        <v>8883</v>
      </c>
      <c r="C469">
        <v>2882</v>
      </c>
      <c r="D469" t="s">
        <v>436</v>
      </c>
      <c r="H469">
        <v>4</v>
      </c>
    </row>
    <row r="470" spans="1:8">
      <c r="A470" s="10" t="s">
        <v>9073</v>
      </c>
      <c r="B470" t="s">
        <v>9071</v>
      </c>
      <c r="H470">
        <v>2</v>
      </c>
    </row>
    <row r="471" spans="1:8">
      <c r="A471" s="10" t="s">
        <v>9072</v>
      </c>
      <c r="B471" t="s">
        <v>9071</v>
      </c>
      <c r="H471">
        <v>3</v>
      </c>
    </row>
    <row r="472" spans="1:8">
      <c r="A472" s="10" t="s">
        <v>9070</v>
      </c>
      <c r="B472" t="s">
        <v>9069</v>
      </c>
      <c r="C472">
        <v>1272</v>
      </c>
      <c r="D472" t="s">
        <v>436</v>
      </c>
      <c r="H472">
        <v>4</v>
      </c>
    </row>
    <row r="473" spans="1:8">
      <c r="A473" s="10" t="s">
        <v>8948</v>
      </c>
      <c r="B473" t="s">
        <v>8949</v>
      </c>
      <c r="C473">
        <v>1275</v>
      </c>
      <c r="D473" t="s">
        <v>436</v>
      </c>
      <c r="H473">
        <v>4</v>
      </c>
    </row>
    <row r="474" spans="1:8">
      <c r="A474" s="10" t="s">
        <v>8946</v>
      </c>
      <c r="B474" t="s">
        <v>8947</v>
      </c>
      <c r="C474">
        <v>1276</v>
      </c>
      <c r="D474" t="s">
        <v>436</v>
      </c>
      <c r="H474">
        <v>4</v>
      </c>
    </row>
  </sheetData>
  <autoFilter ref="A1:I474"/>
  <conditionalFormatting sqref="C1:C471 C474:C1048576">
    <cfRule type="duplicateValues" dxfId="23" priority="2"/>
  </conditionalFormatting>
  <conditionalFormatting sqref="A1:A1048576">
    <cfRule type="duplicateValues" dxfId="2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4079"/>
  <sheetViews>
    <sheetView showGridLines="0" tabSelected="1" zoomScaleNormal="100" workbookViewId="0">
      <pane ySplit="2" topLeftCell="A3" activePane="bottomLeft" state="frozen"/>
      <selection pane="bottomLeft" activeCell="Q3608" sqref="Q3608"/>
    </sheetView>
  </sheetViews>
  <sheetFormatPr baseColWidth="10" defaultRowHeight="14.25"/>
  <cols>
    <col min="1" max="1" width="21.375" bestFit="1" customWidth="1"/>
    <col min="2" max="2" width="36.75" customWidth="1"/>
    <col min="3" max="3" width="8.25" bestFit="1" customWidth="1"/>
    <col min="4" max="4" width="12.375" hidden="1" customWidth="1"/>
    <col min="5" max="5" width="13.625" hidden="1" customWidth="1"/>
    <col min="6" max="6" width="9.75" hidden="1" customWidth="1"/>
    <col min="7" max="7" width="4.875" hidden="1" customWidth="1"/>
    <col min="8" max="8" width="14.125" hidden="1" customWidth="1"/>
    <col min="9" max="9" width="11.625" hidden="1" customWidth="1"/>
    <col min="10" max="10" width="4" hidden="1" customWidth="1"/>
    <col min="11" max="11" width="7.25" hidden="1" customWidth="1"/>
    <col min="12" max="13" width="12.25" hidden="1" customWidth="1"/>
    <col min="14" max="14" width="4.125" hidden="1" customWidth="1" collapsed="1"/>
    <col min="15" max="15" width="12.625" customWidth="1"/>
    <col min="16" max="16" width="40.75" customWidth="1"/>
    <col min="17" max="17" width="10.625" customWidth="1"/>
    <col min="18" max="18" width="16.625" hidden="1" customWidth="1"/>
    <col min="19" max="19" width="18.625" hidden="1" customWidth="1"/>
    <col min="20" max="20" width="14.75" hidden="1" customWidth="1"/>
    <col min="21" max="22" width="0" hidden="1" customWidth="1"/>
  </cols>
  <sheetData>
    <row r="1" spans="1:22" ht="15">
      <c r="A1" s="18" t="s">
        <v>9175</v>
      </c>
      <c r="H1" s="18" t="s">
        <v>9177</v>
      </c>
      <c r="O1" s="31" t="s">
        <v>9178</v>
      </c>
      <c r="P1" s="31"/>
      <c r="Q1" s="31"/>
    </row>
    <row r="2" spans="1:22" ht="15">
      <c r="A2" s="12" t="s">
        <v>0</v>
      </c>
      <c r="B2" s="12" t="s">
        <v>1</v>
      </c>
      <c r="C2" s="12" t="s">
        <v>2</v>
      </c>
      <c r="D2" s="21" t="s">
        <v>3</v>
      </c>
      <c r="E2" s="12" t="s">
        <v>4</v>
      </c>
      <c r="F2" s="12" t="s">
        <v>5</v>
      </c>
      <c r="H2" s="19" t="s">
        <v>9176</v>
      </c>
      <c r="I2" s="9" t="s">
        <v>8404</v>
      </c>
      <c r="J2" s="9" t="s">
        <v>6</v>
      </c>
      <c r="K2" s="9" t="s">
        <v>7</v>
      </c>
      <c r="L2" s="9" t="s">
        <v>8</v>
      </c>
      <c r="M2" s="9" t="s">
        <v>9</v>
      </c>
      <c r="O2" s="22" t="s">
        <v>10</v>
      </c>
      <c r="P2" s="22" t="s">
        <v>11</v>
      </c>
      <c r="Q2" s="22" t="s">
        <v>12</v>
      </c>
      <c r="R2" s="20" t="s">
        <v>13</v>
      </c>
      <c r="S2" s="20" t="s">
        <v>14</v>
      </c>
      <c r="T2" s="20" t="s">
        <v>15</v>
      </c>
      <c r="V2" t="s">
        <v>7</v>
      </c>
    </row>
    <row r="3" spans="1:22" hidden="1">
      <c r="A3">
        <v>1</v>
      </c>
      <c r="B3" t="s">
        <v>16</v>
      </c>
      <c r="D3" t="s">
        <v>17</v>
      </c>
      <c r="G3" t="s">
        <v>8845</v>
      </c>
      <c r="I3" s="3" t="str">
        <f>+IFERROR(VLOOKUP(C3,'Mov 2023 hasta ahora '!$C$2:$D$314,2,FALSE),"NO")</f>
        <v>NO</v>
      </c>
      <c r="J3" t="s">
        <v>18</v>
      </c>
      <c r="K3">
        <v>1</v>
      </c>
      <c r="L3" t="s">
        <v>19</v>
      </c>
      <c r="M3">
        <v>1</v>
      </c>
    </row>
    <row r="4" spans="1:22" hidden="1">
      <c r="A4">
        <v>1.01</v>
      </c>
      <c r="B4" t="s">
        <v>20</v>
      </c>
      <c r="D4" t="s">
        <v>17</v>
      </c>
      <c r="I4" s="3" t="str">
        <f>+IFERROR(VLOOKUP(C4,'Mov 2023 hasta ahora '!$C$2:$D$314,2,FALSE),"NO")</f>
        <v>NO</v>
      </c>
      <c r="J4" t="s">
        <v>21</v>
      </c>
      <c r="K4">
        <v>2</v>
      </c>
      <c r="L4" t="s">
        <v>19</v>
      </c>
      <c r="M4">
        <v>4</v>
      </c>
    </row>
    <row r="5" spans="1:22" hidden="1">
      <c r="A5" t="s">
        <v>22</v>
      </c>
      <c r="B5" t="s">
        <v>23</v>
      </c>
      <c r="D5" t="s">
        <v>17</v>
      </c>
      <c r="I5" s="3" t="str">
        <f>+IFERROR(VLOOKUP(C5,'Mov 2023 hasta ahora '!$C$2:$D$314,2,FALSE),"NO")</f>
        <v>NO</v>
      </c>
      <c r="J5" t="s">
        <v>18</v>
      </c>
      <c r="K5">
        <v>3</v>
      </c>
      <c r="L5" t="s">
        <v>19</v>
      </c>
      <c r="M5">
        <v>10</v>
      </c>
    </row>
    <row r="6" spans="1:22" hidden="1">
      <c r="A6" t="s">
        <v>24</v>
      </c>
      <c r="B6" t="s">
        <v>25</v>
      </c>
      <c r="D6" t="s">
        <v>17</v>
      </c>
      <c r="I6" s="3" t="str">
        <f>+IFERROR(VLOOKUP(C6,'Mov 2023 hasta ahora '!$C$2:$D$314,2,FALSE),"NO")</f>
        <v>NO</v>
      </c>
      <c r="J6" t="s">
        <v>18</v>
      </c>
      <c r="K6">
        <v>4</v>
      </c>
      <c r="L6" t="s">
        <v>19</v>
      </c>
      <c r="M6">
        <v>14</v>
      </c>
    </row>
    <row r="7" spans="1:22" hidden="1">
      <c r="A7" s="23" t="s">
        <v>26</v>
      </c>
      <c r="B7" s="23" t="s">
        <v>27</v>
      </c>
      <c r="C7" s="23">
        <v>1</v>
      </c>
      <c r="D7" t="s">
        <v>17</v>
      </c>
      <c r="I7" s="3">
        <f>+IFERROR(VLOOKUP(C7,'Mov 2023 hasta ahora '!$C$2:$D$314,2,FALSE),"NO")</f>
        <v>13968</v>
      </c>
      <c r="J7" t="s">
        <v>18</v>
      </c>
      <c r="K7">
        <v>5</v>
      </c>
      <c r="L7" t="s">
        <v>19</v>
      </c>
      <c r="M7">
        <v>18</v>
      </c>
      <c r="O7" s="25" t="s">
        <v>8406</v>
      </c>
      <c r="P7" s="25" t="s">
        <v>27</v>
      </c>
      <c r="Q7" s="25">
        <v>1</v>
      </c>
      <c r="R7" t="s">
        <v>17</v>
      </c>
    </row>
    <row r="8" spans="1:22" hidden="1">
      <c r="A8" s="23" t="s">
        <v>28</v>
      </c>
      <c r="B8" s="23" t="s">
        <v>29</v>
      </c>
      <c r="C8" s="23">
        <v>2</v>
      </c>
      <c r="D8" t="s">
        <v>17</v>
      </c>
      <c r="F8">
        <v>2</v>
      </c>
      <c r="I8" s="3">
        <f>+IFERROR(VLOOKUP(C8,'Mov 2023 hasta ahora '!$C$2:$D$314,2,FALSE),"NO")</f>
        <v>849</v>
      </c>
      <c r="J8" t="s">
        <v>18</v>
      </c>
      <c r="K8">
        <v>5</v>
      </c>
      <c r="L8" t="s">
        <v>19</v>
      </c>
      <c r="M8">
        <v>18</v>
      </c>
      <c r="O8" s="25" t="s">
        <v>8409</v>
      </c>
      <c r="P8" s="25" t="s">
        <v>29</v>
      </c>
      <c r="Q8" s="25">
        <v>2</v>
      </c>
      <c r="R8" t="s">
        <v>17</v>
      </c>
      <c r="T8">
        <f>+F8</f>
        <v>2</v>
      </c>
    </row>
    <row r="9" spans="1:22" hidden="1">
      <c r="A9" s="23" t="s">
        <v>30</v>
      </c>
      <c r="B9" s="23" t="s">
        <v>31</v>
      </c>
      <c r="C9" s="23">
        <v>3</v>
      </c>
      <c r="D9" t="s">
        <v>17</v>
      </c>
      <c r="I9" s="3">
        <f>+IFERROR(VLOOKUP(C9,'Mov 2023 hasta ahora '!$C$2:$D$314,2,FALSE),"NO")</f>
        <v>668</v>
      </c>
      <c r="J9" t="s">
        <v>18</v>
      </c>
      <c r="K9">
        <v>5</v>
      </c>
      <c r="L9" t="s">
        <v>19</v>
      </c>
      <c r="M9">
        <v>18</v>
      </c>
      <c r="O9" s="25" t="s">
        <v>8410</v>
      </c>
      <c r="P9" s="25" t="s">
        <v>31</v>
      </c>
      <c r="Q9" s="25">
        <v>3</v>
      </c>
      <c r="R9" t="s">
        <v>17</v>
      </c>
    </row>
    <row r="10" spans="1:22" hidden="1">
      <c r="A10" s="23" t="s">
        <v>32</v>
      </c>
      <c r="B10" s="23" t="s">
        <v>33</v>
      </c>
      <c r="C10" s="23">
        <v>146</v>
      </c>
      <c r="D10" t="s">
        <v>17</v>
      </c>
      <c r="E10">
        <v>3</v>
      </c>
      <c r="H10" s="3" t="s">
        <v>8461</v>
      </c>
      <c r="I10" s="3" t="str">
        <f>+IFERROR(VLOOKUP(C10,'Mov 2023 hasta ahora '!$C$2:$D$314,2,FALSE),"NO")</f>
        <v>NO</v>
      </c>
      <c r="J10" t="s">
        <v>21</v>
      </c>
      <c r="K10">
        <v>5</v>
      </c>
      <c r="L10" t="s">
        <v>19</v>
      </c>
      <c r="M10">
        <v>18</v>
      </c>
      <c r="O10" s="26" t="s">
        <v>8427</v>
      </c>
      <c r="P10" s="25" t="s">
        <v>113</v>
      </c>
      <c r="Q10" s="25">
        <v>8</v>
      </c>
    </row>
    <row r="11" spans="1:22" hidden="1">
      <c r="A11" s="23" t="s">
        <v>34</v>
      </c>
      <c r="B11" s="23" t="s">
        <v>35</v>
      </c>
      <c r="C11" s="23">
        <v>152</v>
      </c>
      <c r="D11" t="s">
        <v>17</v>
      </c>
      <c r="I11" s="3">
        <f>+IFERROR(VLOOKUP(C11,'Mov 2023 hasta ahora '!$C$2:$D$314,2,FALSE),"NO")</f>
        <v>1087</v>
      </c>
      <c r="J11" t="s">
        <v>18</v>
      </c>
      <c r="K11">
        <v>5</v>
      </c>
      <c r="L11" t="s">
        <v>19</v>
      </c>
      <c r="M11">
        <v>18</v>
      </c>
      <c r="O11" s="25" t="s">
        <v>8411</v>
      </c>
      <c r="P11" s="25" t="s">
        <v>35</v>
      </c>
      <c r="Q11" s="25">
        <v>152</v>
      </c>
      <c r="R11" t="s">
        <v>17</v>
      </c>
    </row>
    <row r="12" spans="1:22" hidden="1">
      <c r="A12" s="23" t="s">
        <v>36</v>
      </c>
      <c r="B12" s="23" t="s">
        <v>37</v>
      </c>
      <c r="C12" s="23">
        <v>338</v>
      </c>
      <c r="D12" t="s">
        <v>17</v>
      </c>
      <c r="F12">
        <v>2</v>
      </c>
      <c r="H12" s="3" t="s">
        <v>8461</v>
      </c>
      <c r="I12" s="3" t="str">
        <f>+IFERROR(VLOOKUP(C12,'Mov 2023 hasta ahora '!$C$2:$D$314,2,FALSE),"NO")</f>
        <v>NO</v>
      </c>
      <c r="J12" t="s">
        <v>21</v>
      </c>
      <c r="K12">
        <v>5</v>
      </c>
      <c r="L12" t="s">
        <v>19</v>
      </c>
      <c r="M12">
        <v>18</v>
      </c>
      <c r="O12" s="26" t="s">
        <v>8409</v>
      </c>
      <c r="P12" s="25" t="s">
        <v>29</v>
      </c>
      <c r="Q12" s="25">
        <v>2</v>
      </c>
      <c r="T12">
        <v>2</v>
      </c>
    </row>
    <row r="13" spans="1:22" hidden="1">
      <c r="A13" s="23" t="s">
        <v>38</v>
      </c>
      <c r="B13" s="23" t="s">
        <v>39</v>
      </c>
      <c r="C13" s="23">
        <v>339</v>
      </c>
      <c r="D13" t="s">
        <v>17</v>
      </c>
      <c r="H13" s="3" t="s">
        <v>8461</v>
      </c>
      <c r="I13" s="3" t="str">
        <f>+IFERROR(VLOOKUP(C13,'Mov 2023 hasta ahora '!$C$2:$D$314,2,FALSE),"NO")</f>
        <v>NO</v>
      </c>
      <c r="J13" t="s">
        <v>21</v>
      </c>
      <c r="K13">
        <v>5</v>
      </c>
      <c r="L13" t="s">
        <v>19</v>
      </c>
      <c r="M13">
        <v>18</v>
      </c>
      <c r="O13" s="26" t="s">
        <v>8434</v>
      </c>
      <c r="P13" s="25" t="s">
        <v>65</v>
      </c>
      <c r="Q13" s="25">
        <v>1736</v>
      </c>
    </row>
    <row r="14" spans="1:22" hidden="1">
      <c r="A14" s="23" t="s">
        <v>40</v>
      </c>
      <c r="B14" s="23" t="s">
        <v>41</v>
      </c>
      <c r="C14" s="23">
        <v>340</v>
      </c>
      <c r="D14" t="s">
        <v>17</v>
      </c>
      <c r="F14">
        <v>2</v>
      </c>
      <c r="H14" s="3" t="s">
        <v>8461</v>
      </c>
      <c r="I14" s="3" t="str">
        <f>+IFERROR(VLOOKUP(C14,'Mov 2023 hasta ahora '!$C$2:$D$314,2,FALSE),"NO")</f>
        <v>NO</v>
      </c>
      <c r="J14" t="s">
        <v>21</v>
      </c>
      <c r="K14">
        <v>5</v>
      </c>
      <c r="L14" t="s">
        <v>19</v>
      </c>
      <c r="M14">
        <v>18</v>
      </c>
      <c r="O14" s="26" t="s">
        <v>8409</v>
      </c>
      <c r="P14" s="25" t="s">
        <v>29</v>
      </c>
      <c r="Q14" s="25">
        <v>2</v>
      </c>
      <c r="T14">
        <v>2</v>
      </c>
    </row>
    <row r="15" spans="1:22" hidden="1">
      <c r="A15" s="23" t="s">
        <v>42</v>
      </c>
      <c r="B15" s="23" t="s">
        <v>43</v>
      </c>
      <c r="C15" s="23">
        <v>1741</v>
      </c>
      <c r="D15" t="s">
        <v>17</v>
      </c>
      <c r="E15">
        <v>3</v>
      </c>
      <c r="H15" s="3" t="s">
        <v>8461</v>
      </c>
      <c r="I15" s="3" t="str">
        <f>+IFERROR(VLOOKUP(C15,'Mov 2023 hasta ahora '!$C$2:$D$314,2,FALSE),"NO")</f>
        <v>NO</v>
      </c>
      <c r="J15" t="s">
        <v>21</v>
      </c>
      <c r="K15">
        <v>5</v>
      </c>
      <c r="L15" t="s">
        <v>19</v>
      </c>
      <c r="M15">
        <v>18</v>
      </c>
      <c r="O15" s="26" t="s">
        <v>8427</v>
      </c>
      <c r="P15" s="25" t="s">
        <v>113</v>
      </c>
      <c r="Q15" s="25">
        <v>8</v>
      </c>
    </row>
    <row r="16" spans="1:22" hidden="1">
      <c r="A16" s="23" t="s">
        <v>44</v>
      </c>
      <c r="B16" s="23" t="s">
        <v>45</v>
      </c>
      <c r="C16" s="23">
        <v>1974</v>
      </c>
      <c r="D16" t="s">
        <v>17</v>
      </c>
      <c r="I16" s="3">
        <f>+IFERROR(VLOOKUP(C16,'Mov 2023 hasta ahora '!$C$2:$D$314,2,FALSE),"NO")</f>
        <v>4</v>
      </c>
      <c r="J16" t="s">
        <v>18</v>
      </c>
      <c r="K16">
        <v>5</v>
      </c>
      <c r="L16" t="s">
        <v>19</v>
      </c>
      <c r="M16">
        <v>18</v>
      </c>
      <c r="O16" s="25" t="s">
        <v>8432</v>
      </c>
      <c r="P16" s="25" t="s">
        <v>8634</v>
      </c>
      <c r="Q16" s="25">
        <v>1974</v>
      </c>
      <c r="R16" t="s">
        <v>17</v>
      </c>
    </row>
    <row r="17" spans="1:20" hidden="1">
      <c r="A17" s="23" t="s">
        <v>46</v>
      </c>
      <c r="B17" s="23" t="s">
        <v>47</v>
      </c>
      <c r="C17" s="23">
        <v>1975</v>
      </c>
      <c r="D17" t="s">
        <v>17</v>
      </c>
      <c r="H17" s="3" t="s">
        <v>8461</v>
      </c>
      <c r="I17" s="3" t="str">
        <f>+IFERROR(VLOOKUP(C17,'Mov 2023 hasta ahora '!$C$2:$D$314,2,FALSE),"NO")</f>
        <v>NO</v>
      </c>
      <c r="J17" t="s">
        <v>21</v>
      </c>
      <c r="K17">
        <v>5</v>
      </c>
      <c r="L17" t="s">
        <v>19</v>
      </c>
      <c r="M17">
        <v>18</v>
      </c>
      <c r="O17" s="26" t="s">
        <v>8434</v>
      </c>
      <c r="P17" s="25" t="s">
        <v>65</v>
      </c>
      <c r="Q17" s="25">
        <v>1736</v>
      </c>
    </row>
    <row r="18" spans="1:20" hidden="1">
      <c r="A18" s="23" t="s">
        <v>48</v>
      </c>
      <c r="B18" s="23" t="s">
        <v>49</v>
      </c>
      <c r="C18" s="23">
        <v>2122</v>
      </c>
      <c r="D18" t="s">
        <v>17</v>
      </c>
      <c r="F18">
        <v>3</v>
      </c>
      <c r="H18" s="3" t="s">
        <v>8461</v>
      </c>
      <c r="I18" s="3" t="str">
        <f>+IFERROR(VLOOKUP(C18,'Mov 2023 hasta ahora '!$C$2:$D$314,2,FALSE),"NO")</f>
        <v>NO</v>
      </c>
      <c r="J18" t="s">
        <v>21</v>
      </c>
      <c r="K18">
        <v>5</v>
      </c>
      <c r="L18" t="s">
        <v>19</v>
      </c>
      <c r="M18">
        <v>18</v>
      </c>
      <c r="O18" s="26" t="s">
        <v>8776</v>
      </c>
      <c r="P18" s="25" t="s">
        <v>8777</v>
      </c>
      <c r="Q18" s="25">
        <v>2122</v>
      </c>
    </row>
    <row r="19" spans="1:20" hidden="1">
      <c r="A19" s="23" t="s">
        <v>50</v>
      </c>
      <c r="B19" s="23" t="s">
        <v>51</v>
      </c>
      <c r="C19" s="23">
        <v>2123</v>
      </c>
      <c r="D19" t="s">
        <v>17</v>
      </c>
      <c r="F19">
        <v>2</v>
      </c>
      <c r="H19" s="3" t="s">
        <v>8461</v>
      </c>
      <c r="I19" s="3" t="str">
        <f>+IFERROR(VLOOKUP(C19,'Mov 2023 hasta ahora '!$C$2:$D$314,2,FALSE),"NO")</f>
        <v>NO</v>
      </c>
      <c r="J19" t="s">
        <v>21</v>
      </c>
      <c r="K19">
        <v>5</v>
      </c>
      <c r="L19" t="s">
        <v>19</v>
      </c>
      <c r="M19">
        <v>18</v>
      </c>
      <c r="O19" s="26" t="s">
        <v>8409</v>
      </c>
      <c r="P19" s="25" t="s">
        <v>29</v>
      </c>
      <c r="Q19" s="25">
        <v>2</v>
      </c>
      <c r="T19">
        <v>2</v>
      </c>
    </row>
    <row r="20" spans="1:20" hidden="1">
      <c r="A20" s="23" t="s">
        <v>52</v>
      </c>
      <c r="B20" s="23" t="s">
        <v>53</v>
      </c>
      <c r="C20" s="23">
        <v>2124</v>
      </c>
      <c r="D20" t="s">
        <v>17</v>
      </c>
      <c r="F20">
        <v>2</v>
      </c>
      <c r="I20" s="3">
        <f>+IFERROR(VLOOKUP(C20,'Mov 2023 hasta ahora '!$C$2:$D$314,2,FALSE),"NO")</f>
        <v>175</v>
      </c>
      <c r="J20" t="s">
        <v>18</v>
      </c>
      <c r="K20">
        <v>5</v>
      </c>
      <c r="L20" t="s">
        <v>19</v>
      </c>
      <c r="M20">
        <v>18</v>
      </c>
      <c r="O20" s="25" t="s">
        <v>8433</v>
      </c>
      <c r="P20" s="25" t="s">
        <v>53</v>
      </c>
      <c r="Q20" s="25">
        <v>2124</v>
      </c>
      <c r="R20" t="s">
        <v>17</v>
      </c>
      <c r="T20">
        <f>+F20</f>
        <v>2</v>
      </c>
    </row>
    <row r="21" spans="1:20" hidden="1">
      <c r="A21" s="23" t="s">
        <v>54</v>
      </c>
      <c r="B21" s="23" t="s">
        <v>55</v>
      </c>
      <c r="C21" s="23">
        <v>2125</v>
      </c>
      <c r="D21" t="s">
        <v>17</v>
      </c>
      <c r="F21">
        <v>3</v>
      </c>
      <c r="H21" s="3" t="s">
        <v>8461</v>
      </c>
      <c r="I21" s="3" t="str">
        <f>+IFERROR(VLOOKUP(C21,'Mov 2023 hasta ahora '!$C$2:$D$314,2,FALSE),"NO")</f>
        <v>NO</v>
      </c>
      <c r="J21" t="s">
        <v>21</v>
      </c>
      <c r="K21">
        <v>5</v>
      </c>
      <c r="L21" t="s">
        <v>19</v>
      </c>
      <c r="M21">
        <v>18</v>
      </c>
      <c r="O21" s="26" t="s">
        <v>8776</v>
      </c>
      <c r="P21" s="25" t="s">
        <v>8777</v>
      </c>
      <c r="Q21" s="25">
        <v>2122</v>
      </c>
    </row>
    <row r="22" spans="1:20" hidden="1">
      <c r="A22" s="23" t="s">
        <v>56</v>
      </c>
      <c r="B22" s="23" t="s">
        <v>57</v>
      </c>
      <c r="C22" s="23">
        <v>2126</v>
      </c>
      <c r="D22" t="s">
        <v>17</v>
      </c>
      <c r="F22">
        <v>3</v>
      </c>
      <c r="H22" s="3" t="s">
        <v>8461</v>
      </c>
      <c r="I22" s="3" t="str">
        <f>+IFERROR(VLOOKUP(C22,'Mov 2023 hasta ahora '!$C$2:$D$314,2,FALSE),"NO")</f>
        <v>NO</v>
      </c>
      <c r="J22" t="s">
        <v>21</v>
      </c>
      <c r="K22">
        <v>5</v>
      </c>
      <c r="L22" t="s">
        <v>19</v>
      </c>
      <c r="M22">
        <v>18</v>
      </c>
      <c r="O22" s="26" t="s">
        <v>8776</v>
      </c>
      <c r="P22" s="25" t="s">
        <v>8777</v>
      </c>
      <c r="Q22" s="25">
        <v>2122</v>
      </c>
    </row>
    <row r="23" spans="1:20" hidden="1">
      <c r="A23" s="23" t="s">
        <v>58</v>
      </c>
      <c r="B23" s="23" t="s">
        <v>59</v>
      </c>
      <c r="C23" s="23">
        <v>2127</v>
      </c>
      <c r="D23" t="s">
        <v>17</v>
      </c>
      <c r="F23">
        <v>3</v>
      </c>
      <c r="H23" s="3" t="s">
        <v>8461</v>
      </c>
      <c r="I23" s="3" t="str">
        <f>+IFERROR(VLOOKUP(C23,'Mov 2023 hasta ahora '!$C$2:$D$314,2,FALSE),"NO")</f>
        <v>NO</v>
      </c>
      <c r="J23" t="s">
        <v>21</v>
      </c>
      <c r="K23">
        <v>5</v>
      </c>
      <c r="L23" t="s">
        <v>19</v>
      </c>
      <c r="M23">
        <v>18</v>
      </c>
      <c r="O23" s="26" t="s">
        <v>8776</v>
      </c>
      <c r="P23" s="25" t="s">
        <v>8777</v>
      </c>
      <c r="Q23" s="25">
        <v>2122</v>
      </c>
    </row>
    <row r="24" spans="1:20" hidden="1">
      <c r="A24" s="23" t="s">
        <v>60</v>
      </c>
      <c r="B24" s="23" t="s">
        <v>61</v>
      </c>
      <c r="C24" s="23">
        <v>2987</v>
      </c>
      <c r="D24" t="s">
        <v>17</v>
      </c>
      <c r="H24" s="3" t="s">
        <v>8461</v>
      </c>
      <c r="I24" s="3" t="str">
        <f>+IFERROR(VLOOKUP(C24,'Mov 2023 hasta ahora '!$C$2:$D$314,2,FALSE),"NO")</f>
        <v>NO</v>
      </c>
      <c r="J24" t="s">
        <v>21</v>
      </c>
      <c r="K24">
        <v>5</v>
      </c>
      <c r="L24" t="s">
        <v>19</v>
      </c>
      <c r="M24">
        <v>18</v>
      </c>
      <c r="O24" s="26" t="s">
        <v>8434</v>
      </c>
      <c r="P24" s="25" t="s">
        <v>65</v>
      </c>
      <c r="Q24" s="25">
        <v>1736</v>
      </c>
    </row>
    <row r="25" spans="1:20" hidden="1">
      <c r="A25" s="23" t="s">
        <v>62</v>
      </c>
      <c r="B25" s="23" t="s">
        <v>63</v>
      </c>
      <c r="C25" s="23">
        <v>2988</v>
      </c>
      <c r="D25" t="s">
        <v>17</v>
      </c>
      <c r="H25" s="3" t="s">
        <v>8461</v>
      </c>
      <c r="I25" s="3" t="str">
        <f>+IFERROR(VLOOKUP(C25,'Mov 2023 hasta ahora '!$C$2:$D$314,2,FALSE),"NO")</f>
        <v>NO</v>
      </c>
      <c r="J25" t="s">
        <v>21</v>
      </c>
      <c r="K25">
        <v>5</v>
      </c>
      <c r="L25" t="s">
        <v>19</v>
      </c>
      <c r="M25">
        <v>18</v>
      </c>
      <c r="O25" s="26" t="s">
        <v>8434</v>
      </c>
      <c r="P25" s="25" t="s">
        <v>65</v>
      </c>
      <c r="Q25" s="25">
        <v>1736</v>
      </c>
    </row>
    <row r="26" spans="1:20" hidden="1">
      <c r="A26" s="23" t="s">
        <v>64</v>
      </c>
      <c r="B26" s="23" t="s">
        <v>65</v>
      </c>
      <c r="C26" s="23">
        <v>1736</v>
      </c>
      <c r="D26" t="s">
        <v>17</v>
      </c>
      <c r="I26" s="3">
        <f>+IFERROR(VLOOKUP(C26,'Mov 2023 hasta ahora '!$C$2:$D$314,2,FALSE),"NO")</f>
        <v>83</v>
      </c>
      <c r="J26" t="s">
        <v>18</v>
      </c>
      <c r="K26">
        <v>5</v>
      </c>
      <c r="L26" t="s">
        <v>19</v>
      </c>
      <c r="M26">
        <v>18</v>
      </c>
      <c r="O26" s="25" t="s">
        <v>8434</v>
      </c>
      <c r="P26" s="25" t="s">
        <v>65</v>
      </c>
      <c r="Q26" s="25">
        <v>1736</v>
      </c>
      <c r="R26" t="s">
        <v>17</v>
      </c>
    </row>
    <row r="27" spans="1:20" hidden="1">
      <c r="A27" s="23" t="s">
        <v>66</v>
      </c>
      <c r="B27" s="23" t="s">
        <v>67</v>
      </c>
      <c r="C27" s="23">
        <v>1739</v>
      </c>
      <c r="D27" t="s">
        <v>17</v>
      </c>
      <c r="H27" s="3" t="s">
        <v>8461</v>
      </c>
      <c r="I27" s="3" t="str">
        <f>+IFERROR(VLOOKUP(C27,'Mov 2023 hasta ahora '!$C$2:$D$314,2,FALSE),"NO")</f>
        <v>NO</v>
      </c>
      <c r="J27" t="s">
        <v>21</v>
      </c>
      <c r="K27">
        <v>5</v>
      </c>
      <c r="L27" t="s">
        <v>19</v>
      </c>
      <c r="M27">
        <v>18</v>
      </c>
      <c r="O27" s="26" t="s">
        <v>8434</v>
      </c>
      <c r="P27" s="25" t="s">
        <v>65</v>
      </c>
      <c r="Q27" s="25">
        <v>1736</v>
      </c>
    </row>
    <row r="28" spans="1:20" hidden="1">
      <c r="A28" s="23" t="s">
        <v>68</v>
      </c>
      <c r="B28" s="23" t="s">
        <v>69</v>
      </c>
      <c r="C28" s="23">
        <v>1740</v>
      </c>
      <c r="D28" t="s">
        <v>17</v>
      </c>
      <c r="F28">
        <v>2</v>
      </c>
      <c r="I28" s="3">
        <f>+IFERROR(VLOOKUP(C28,'Mov 2023 hasta ahora '!$C$2:$D$314,2,FALSE),"NO")</f>
        <v>13</v>
      </c>
      <c r="J28" t="s">
        <v>18</v>
      </c>
      <c r="K28">
        <v>5</v>
      </c>
      <c r="L28" t="s">
        <v>19</v>
      </c>
      <c r="M28">
        <v>18</v>
      </c>
      <c r="O28" s="25" t="s">
        <v>8435</v>
      </c>
      <c r="P28" s="25" t="s">
        <v>69</v>
      </c>
      <c r="Q28" s="25">
        <v>1740</v>
      </c>
      <c r="R28" t="s">
        <v>17</v>
      </c>
      <c r="T28">
        <f>+F28</f>
        <v>2</v>
      </c>
    </row>
    <row r="29" spans="1:20" hidden="1">
      <c r="A29" s="23" t="s">
        <v>70</v>
      </c>
      <c r="B29" s="23" t="s">
        <v>71</v>
      </c>
      <c r="C29" s="23">
        <v>2694</v>
      </c>
      <c r="D29" t="s">
        <v>17</v>
      </c>
      <c r="H29" s="3" t="s">
        <v>8461</v>
      </c>
      <c r="I29" s="3" t="str">
        <f>+IFERROR(VLOOKUP(C29,'Mov 2023 hasta ahora '!$C$2:$D$314,2,FALSE),"NO")</f>
        <v>NO</v>
      </c>
      <c r="J29" t="s">
        <v>21</v>
      </c>
      <c r="K29">
        <v>5</v>
      </c>
      <c r="L29" t="s">
        <v>19</v>
      </c>
      <c r="M29">
        <v>18</v>
      </c>
      <c r="O29" s="26" t="s">
        <v>8434</v>
      </c>
      <c r="P29" s="25" t="s">
        <v>65</v>
      </c>
      <c r="Q29" s="25">
        <v>1736</v>
      </c>
    </row>
    <row r="30" spans="1:20" hidden="1">
      <c r="A30" s="23" t="s">
        <v>72</v>
      </c>
      <c r="B30" s="23" t="s">
        <v>73</v>
      </c>
      <c r="C30" s="23">
        <v>2695</v>
      </c>
      <c r="D30" t="s">
        <v>17</v>
      </c>
      <c r="F30">
        <v>2</v>
      </c>
      <c r="H30" s="3" t="s">
        <v>8461</v>
      </c>
      <c r="I30" s="3" t="str">
        <f>+IFERROR(VLOOKUP(C30,'Mov 2023 hasta ahora '!$C$2:$D$314,2,FALSE),"NO")</f>
        <v>NO</v>
      </c>
      <c r="J30" t="s">
        <v>21</v>
      </c>
      <c r="K30">
        <v>5</v>
      </c>
      <c r="L30" t="s">
        <v>19</v>
      </c>
      <c r="M30">
        <v>18</v>
      </c>
      <c r="O30" s="26" t="s">
        <v>8409</v>
      </c>
      <c r="P30" s="25" t="s">
        <v>29</v>
      </c>
      <c r="Q30" s="25">
        <v>2</v>
      </c>
      <c r="T30">
        <v>2</v>
      </c>
    </row>
    <row r="31" spans="1:20" hidden="1">
      <c r="A31" s="23" t="s">
        <v>74</v>
      </c>
      <c r="B31" s="23" t="s">
        <v>75</v>
      </c>
      <c r="C31" s="23">
        <v>2696</v>
      </c>
      <c r="D31" t="s">
        <v>17</v>
      </c>
      <c r="F31">
        <v>3</v>
      </c>
      <c r="H31" s="3" t="s">
        <v>8461</v>
      </c>
      <c r="I31" s="3" t="str">
        <f>+IFERROR(VLOOKUP(C31,'Mov 2023 hasta ahora '!$C$2:$D$314,2,FALSE),"NO")</f>
        <v>NO</v>
      </c>
      <c r="J31" t="s">
        <v>21</v>
      </c>
      <c r="K31">
        <v>5</v>
      </c>
      <c r="L31" t="s">
        <v>19</v>
      </c>
      <c r="M31">
        <v>18</v>
      </c>
      <c r="O31" s="26" t="s">
        <v>8776</v>
      </c>
      <c r="P31" s="25" t="s">
        <v>8777</v>
      </c>
      <c r="Q31" s="25">
        <v>2122</v>
      </c>
    </row>
    <row r="32" spans="1:20" hidden="1">
      <c r="A32" s="23" t="s">
        <v>76</v>
      </c>
      <c r="B32" s="23" t="s">
        <v>77</v>
      </c>
      <c r="C32" s="23">
        <v>3435</v>
      </c>
      <c r="D32" t="s">
        <v>17</v>
      </c>
      <c r="H32" s="3" t="s">
        <v>8461</v>
      </c>
      <c r="I32" s="3" t="str">
        <f>+IFERROR(VLOOKUP(C32,'Mov 2023 hasta ahora '!$C$2:$D$314,2,FALSE),"NO")</f>
        <v>NO</v>
      </c>
      <c r="J32" t="s">
        <v>21</v>
      </c>
      <c r="K32">
        <v>5</v>
      </c>
      <c r="L32" t="s">
        <v>19</v>
      </c>
      <c r="M32">
        <v>18</v>
      </c>
      <c r="O32" s="26" t="s">
        <v>8434</v>
      </c>
      <c r="P32" s="25" t="s">
        <v>65</v>
      </c>
      <c r="Q32" s="25">
        <v>1736</v>
      </c>
    </row>
    <row r="33" spans="1:20" s="4" customFormat="1" hidden="1">
      <c r="A33" s="24" t="s">
        <v>78</v>
      </c>
      <c r="B33" s="24" t="s">
        <v>79</v>
      </c>
      <c r="C33" s="24">
        <v>3436</v>
      </c>
      <c r="D33" s="4" t="s">
        <v>17</v>
      </c>
      <c r="H33" s="3" t="s">
        <v>8461</v>
      </c>
      <c r="I33" s="5">
        <f>+IFERROR(VLOOKUP(C33,'Mov 2023 hasta ahora '!$C$2:$D$314,2,FALSE),"NO")</f>
        <v>2</v>
      </c>
      <c r="J33" s="4" t="s">
        <v>21</v>
      </c>
      <c r="K33" s="4">
        <v>5</v>
      </c>
      <c r="L33" s="4" t="s">
        <v>19</v>
      </c>
      <c r="M33" s="4">
        <v>18</v>
      </c>
      <c r="O33" s="26" t="s">
        <v>8434</v>
      </c>
      <c r="P33" s="25" t="s">
        <v>65</v>
      </c>
      <c r="Q33" s="25">
        <v>1736</v>
      </c>
      <c r="R33"/>
    </row>
    <row r="34" spans="1:20" hidden="1">
      <c r="A34" s="23" t="s">
        <v>80</v>
      </c>
      <c r="B34" s="23" t="s">
        <v>81</v>
      </c>
      <c r="C34" s="23">
        <v>3440</v>
      </c>
      <c r="H34" s="3" t="s">
        <v>8461</v>
      </c>
      <c r="I34" s="3" t="str">
        <f>+IFERROR(VLOOKUP(C34,'Mov 2023 hasta ahora '!$C$2:$D$314,2,FALSE),"NO")</f>
        <v>NO</v>
      </c>
      <c r="J34" t="s">
        <v>21</v>
      </c>
      <c r="K34">
        <v>5</v>
      </c>
      <c r="L34" t="s">
        <v>19</v>
      </c>
      <c r="M34">
        <v>18</v>
      </c>
      <c r="O34" s="26" t="s">
        <v>8434</v>
      </c>
      <c r="P34" s="25" t="s">
        <v>65</v>
      </c>
      <c r="Q34" s="25">
        <v>1736</v>
      </c>
    </row>
    <row r="35" spans="1:20" hidden="1">
      <c r="A35" s="23" t="s">
        <v>82</v>
      </c>
      <c r="B35" s="23" t="s">
        <v>83</v>
      </c>
      <c r="C35" s="23">
        <v>3462</v>
      </c>
      <c r="H35" s="3" t="s">
        <v>8461</v>
      </c>
      <c r="I35" s="3" t="str">
        <f>+IFERROR(VLOOKUP(C35,'Mov 2023 hasta ahora '!$C$2:$D$314,2,FALSE),"NO")</f>
        <v>NO</v>
      </c>
      <c r="J35" t="s">
        <v>21</v>
      </c>
      <c r="K35">
        <v>5</v>
      </c>
      <c r="L35" t="s">
        <v>19</v>
      </c>
      <c r="M35">
        <v>18</v>
      </c>
      <c r="O35" s="26" t="s">
        <v>8434</v>
      </c>
      <c r="P35" s="25" t="s">
        <v>65</v>
      </c>
      <c r="Q35" s="25">
        <v>1736</v>
      </c>
    </row>
    <row r="36" spans="1:20" hidden="1">
      <c r="A36" s="23" t="s">
        <v>84</v>
      </c>
      <c r="B36" s="23" t="s">
        <v>85</v>
      </c>
      <c r="C36" s="23">
        <v>3600</v>
      </c>
      <c r="I36" s="3">
        <f>+IFERROR(VLOOKUP(C36,'Mov 2023 hasta ahora '!$C$2:$D$314,2,FALSE),"NO")</f>
        <v>2160</v>
      </c>
      <c r="J36" t="s">
        <v>18</v>
      </c>
      <c r="K36">
        <v>5</v>
      </c>
      <c r="L36" t="s">
        <v>19</v>
      </c>
      <c r="M36">
        <v>18</v>
      </c>
      <c r="O36" s="25" t="s">
        <v>8436</v>
      </c>
      <c r="P36" s="25" t="s">
        <v>8635</v>
      </c>
      <c r="Q36" s="25">
        <v>3600</v>
      </c>
      <c r="R36" t="s">
        <v>17</v>
      </c>
    </row>
    <row r="37" spans="1:20" hidden="1">
      <c r="A37" s="23" t="s">
        <v>86</v>
      </c>
      <c r="B37" s="23" t="s">
        <v>87</v>
      </c>
      <c r="C37" s="23">
        <v>3844</v>
      </c>
      <c r="D37" t="s">
        <v>17</v>
      </c>
      <c r="I37" s="3">
        <f>+IFERROR(VLOOKUP(C37,'Mov 2023 hasta ahora '!$C$2:$D$314,2,FALSE),"NO")</f>
        <v>74</v>
      </c>
      <c r="J37" t="s">
        <v>18</v>
      </c>
      <c r="K37">
        <v>5</v>
      </c>
      <c r="L37" t="s">
        <v>19</v>
      </c>
      <c r="M37">
        <v>18</v>
      </c>
      <c r="O37" s="25" t="s">
        <v>8437</v>
      </c>
      <c r="P37" s="25" t="s">
        <v>87</v>
      </c>
      <c r="Q37" s="25">
        <v>3844</v>
      </c>
      <c r="R37" t="s">
        <v>17</v>
      </c>
    </row>
    <row r="38" spans="1:20" hidden="1">
      <c r="A38" s="23" t="s">
        <v>88</v>
      </c>
      <c r="B38" s="23" t="s">
        <v>89</v>
      </c>
      <c r="C38" s="23">
        <v>3870</v>
      </c>
      <c r="I38" s="3">
        <f>+IFERROR(VLOOKUP(C38,'Mov 2023 hasta ahora '!$C$2:$D$314,2,FALSE),"NO")</f>
        <v>2007</v>
      </c>
      <c r="J38" t="s">
        <v>18</v>
      </c>
      <c r="K38">
        <v>5</v>
      </c>
      <c r="L38" t="s">
        <v>19</v>
      </c>
      <c r="M38">
        <v>18</v>
      </c>
      <c r="O38" s="25" t="s">
        <v>8438</v>
      </c>
      <c r="P38" s="25" t="s">
        <v>89</v>
      </c>
      <c r="Q38" s="25">
        <v>3870</v>
      </c>
      <c r="R38" t="s">
        <v>17</v>
      </c>
    </row>
    <row r="39" spans="1:20" hidden="1">
      <c r="A39" s="23" t="s">
        <v>90</v>
      </c>
      <c r="B39" s="23" t="s">
        <v>91</v>
      </c>
      <c r="C39" s="23">
        <v>3874</v>
      </c>
      <c r="D39" t="s">
        <v>17</v>
      </c>
      <c r="F39">
        <v>2</v>
      </c>
      <c r="I39" s="3">
        <f>+IFERROR(VLOOKUP(C39,'Mov 2023 hasta ahora '!$C$2:$D$314,2,FALSE),"NO")</f>
        <v>23</v>
      </c>
      <c r="J39" t="s">
        <v>18</v>
      </c>
      <c r="K39">
        <v>5</v>
      </c>
      <c r="L39" t="s">
        <v>19</v>
      </c>
      <c r="M39">
        <v>18</v>
      </c>
      <c r="O39" s="25" t="s">
        <v>8439</v>
      </c>
      <c r="P39" s="25" t="s">
        <v>91</v>
      </c>
      <c r="Q39" s="25">
        <v>3874</v>
      </c>
      <c r="R39" t="s">
        <v>17</v>
      </c>
      <c r="T39">
        <f>+F39</f>
        <v>2</v>
      </c>
    </row>
    <row r="40" spans="1:20" hidden="1">
      <c r="A40" t="s">
        <v>92</v>
      </c>
      <c r="B40" t="s">
        <v>93</v>
      </c>
      <c r="D40" t="s">
        <v>17</v>
      </c>
      <c r="I40" s="3" t="str">
        <f>+IFERROR(VLOOKUP(C40,'Mov 2023 hasta ahora '!$C$2:$D$314,2,FALSE),"NO")</f>
        <v>NO</v>
      </c>
      <c r="J40" t="s">
        <v>18</v>
      </c>
      <c r="K40">
        <v>4</v>
      </c>
      <c r="L40" t="s">
        <v>19</v>
      </c>
      <c r="M40">
        <v>14</v>
      </c>
    </row>
    <row r="41" spans="1:20" hidden="1">
      <c r="A41" s="23" t="s">
        <v>94</v>
      </c>
      <c r="B41" s="23" t="s">
        <v>95</v>
      </c>
      <c r="C41" s="23">
        <v>4</v>
      </c>
      <c r="D41" t="s">
        <v>17</v>
      </c>
      <c r="E41">
        <v>3</v>
      </c>
      <c r="I41" s="3">
        <f>+IFERROR(VLOOKUP(C41,'Mov 2023 hasta ahora '!$C$2:$D$314,2,FALSE),"NO")</f>
        <v>11263</v>
      </c>
      <c r="J41" t="s">
        <v>18</v>
      </c>
      <c r="K41">
        <v>5</v>
      </c>
      <c r="L41" t="s">
        <v>19</v>
      </c>
      <c r="M41">
        <v>18</v>
      </c>
      <c r="O41" s="25" t="s">
        <v>8416</v>
      </c>
      <c r="P41" s="25" t="s">
        <v>95</v>
      </c>
      <c r="Q41" s="25">
        <v>4</v>
      </c>
      <c r="R41" t="s">
        <v>17</v>
      </c>
      <c r="S41">
        <f>+E41</f>
        <v>3</v>
      </c>
    </row>
    <row r="42" spans="1:20" hidden="1">
      <c r="A42" s="23" t="s">
        <v>96</v>
      </c>
      <c r="B42" s="23" t="s">
        <v>97</v>
      </c>
      <c r="C42" s="23">
        <v>5</v>
      </c>
      <c r="D42" t="s">
        <v>17</v>
      </c>
      <c r="E42">
        <v>3</v>
      </c>
      <c r="I42" s="3" t="str">
        <f>+IFERROR(VLOOKUP(C42,'Mov 2023 hasta ahora '!$C$2:$D$314,2,FALSE),"NO")</f>
        <v>NO</v>
      </c>
      <c r="J42" t="s">
        <v>18</v>
      </c>
      <c r="K42">
        <v>5</v>
      </c>
      <c r="L42" t="s">
        <v>19</v>
      </c>
      <c r="M42">
        <v>18</v>
      </c>
      <c r="O42" s="25" t="s">
        <v>8417</v>
      </c>
      <c r="P42" s="25" t="s">
        <v>97</v>
      </c>
      <c r="Q42" s="25">
        <v>5</v>
      </c>
      <c r="R42" t="s">
        <v>17</v>
      </c>
      <c r="S42">
        <f>+E42</f>
        <v>3</v>
      </c>
    </row>
    <row r="43" spans="1:20" hidden="1">
      <c r="A43" s="23" t="s">
        <v>98</v>
      </c>
      <c r="B43" s="23" t="s">
        <v>99</v>
      </c>
      <c r="C43" s="23">
        <v>3607</v>
      </c>
      <c r="D43" t="s">
        <v>17</v>
      </c>
      <c r="E43">
        <v>3</v>
      </c>
      <c r="F43">
        <v>2</v>
      </c>
      <c r="I43" s="3" t="str">
        <f>+IFERROR(VLOOKUP(C43,'Mov 2023 hasta ahora '!$C$2:$D$314,2,FALSE),"NO")</f>
        <v>NO</v>
      </c>
      <c r="J43" t="s">
        <v>18</v>
      </c>
      <c r="K43">
        <v>5</v>
      </c>
      <c r="L43" t="s">
        <v>19</v>
      </c>
      <c r="M43">
        <v>18</v>
      </c>
      <c r="O43" s="25" t="s">
        <v>8418</v>
      </c>
      <c r="P43" s="25" t="s">
        <v>8636</v>
      </c>
      <c r="Q43" s="25">
        <v>3607</v>
      </c>
      <c r="R43" t="s">
        <v>17</v>
      </c>
      <c r="S43">
        <f>+E43</f>
        <v>3</v>
      </c>
      <c r="T43">
        <f>+F43</f>
        <v>2</v>
      </c>
    </row>
    <row r="44" spans="1:20" hidden="1">
      <c r="A44" t="s">
        <v>100</v>
      </c>
      <c r="B44" t="s">
        <v>101</v>
      </c>
      <c r="D44" t="s">
        <v>17</v>
      </c>
      <c r="I44" s="3" t="str">
        <f>+IFERROR(VLOOKUP(C44,'Mov 2023 hasta ahora '!$C$2:$D$314,2,FALSE),"NO")</f>
        <v>NO</v>
      </c>
      <c r="J44" t="s">
        <v>18</v>
      </c>
      <c r="K44">
        <v>3</v>
      </c>
      <c r="L44" t="s">
        <v>19</v>
      </c>
      <c r="M44">
        <v>10</v>
      </c>
    </row>
    <row r="45" spans="1:20" hidden="1">
      <c r="A45" t="s">
        <v>102</v>
      </c>
      <c r="B45" t="s">
        <v>103</v>
      </c>
      <c r="D45" t="s">
        <v>17</v>
      </c>
      <c r="I45" s="3" t="str">
        <f>+IFERROR(VLOOKUP(C45,'Mov 2023 hasta ahora '!$C$2:$D$314,2,FALSE),"NO")</f>
        <v>NO</v>
      </c>
      <c r="J45" t="s">
        <v>18</v>
      </c>
      <c r="K45">
        <v>4</v>
      </c>
      <c r="L45" t="s">
        <v>19</v>
      </c>
      <c r="M45">
        <v>14</v>
      </c>
    </row>
    <row r="46" spans="1:20" hidden="1">
      <c r="A46" s="23" t="s">
        <v>104</v>
      </c>
      <c r="B46" s="23" t="s">
        <v>105</v>
      </c>
      <c r="C46" s="23">
        <v>6</v>
      </c>
      <c r="D46" t="s">
        <v>17</v>
      </c>
      <c r="I46" s="3" t="str">
        <f>+IFERROR(VLOOKUP(C46,'Mov 2023 hasta ahora '!$C$2:$D$314,2,FALSE),"NO")</f>
        <v>NO</v>
      </c>
      <c r="J46" t="s">
        <v>18</v>
      </c>
      <c r="K46">
        <v>5</v>
      </c>
      <c r="L46" t="s">
        <v>19</v>
      </c>
      <c r="M46">
        <v>18</v>
      </c>
      <c r="O46" s="25" t="s">
        <v>8421</v>
      </c>
      <c r="P46" s="25" t="s">
        <v>105</v>
      </c>
      <c r="Q46" s="25">
        <v>6</v>
      </c>
      <c r="R46" t="s">
        <v>17</v>
      </c>
    </row>
    <row r="47" spans="1:20" hidden="1">
      <c r="A47" s="23" t="s">
        <v>106</v>
      </c>
      <c r="B47" s="23" t="s">
        <v>107</v>
      </c>
      <c r="C47" s="23">
        <v>7</v>
      </c>
      <c r="D47" t="s">
        <v>17</v>
      </c>
      <c r="I47" s="3" t="str">
        <f>+IFERROR(VLOOKUP(C47,'Mov 2023 hasta ahora '!$C$2:$D$314,2,FALSE),"NO")</f>
        <v>NO</v>
      </c>
      <c r="J47" t="s">
        <v>18</v>
      </c>
      <c r="K47">
        <v>5</v>
      </c>
      <c r="L47" t="s">
        <v>19</v>
      </c>
      <c r="M47">
        <v>18</v>
      </c>
      <c r="O47" s="25" t="s">
        <v>8422</v>
      </c>
      <c r="P47" s="25" t="s">
        <v>8640</v>
      </c>
      <c r="Q47" s="25">
        <v>7</v>
      </c>
      <c r="R47" t="s">
        <v>17</v>
      </c>
    </row>
    <row r="48" spans="1:20" hidden="1">
      <c r="A48" s="23" t="s">
        <v>108</v>
      </c>
      <c r="B48" s="23" t="s">
        <v>109</v>
      </c>
      <c r="C48" s="23">
        <v>1977</v>
      </c>
      <c r="D48" t="s">
        <v>17</v>
      </c>
      <c r="E48">
        <v>3</v>
      </c>
      <c r="I48" s="3" t="str">
        <f>+IFERROR(VLOOKUP(C48,'Mov 2023 hasta ahora '!$C$2:$D$314,2,FALSE),"NO")</f>
        <v>NO</v>
      </c>
      <c r="J48" t="s">
        <v>18</v>
      </c>
      <c r="K48">
        <v>5</v>
      </c>
      <c r="L48" t="s">
        <v>19</v>
      </c>
      <c r="M48">
        <v>18</v>
      </c>
      <c r="O48" s="25" t="s">
        <v>8423</v>
      </c>
      <c r="P48" s="25" t="s">
        <v>8637</v>
      </c>
      <c r="Q48" s="25">
        <v>1977</v>
      </c>
      <c r="R48" t="s">
        <v>17</v>
      </c>
      <c r="S48">
        <f>+E48</f>
        <v>3</v>
      </c>
    </row>
    <row r="49" spans="1:20" hidden="1">
      <c r="A49" t="s">
        <v>110</v>
      </c>
      <c r="B49" t="s">
        <v>111</v>
      </c>
      <c r="D49" t="s">
        <v>17</v>
      </c>
      <c r="I49" s="3" t="str">
        <f>+IFERROR(VLOOKUP(C49,'Mov 2023 hasta ahora '!$C$2:$D$314,2,FALSE),"NO")</f>
        <v>NO</v>
      </c>
      <c r="J49" t="s">
        <v>21</v>
      </c>
      <c r="K49">
        <v>4</v>
      </c>
      <c r="L49" t="s">
        <v>19</v>
      </c>
      <c r="M49">
        <v>14</v>
      </c>
    </row>
    <row r="50" spans="1:20" hidden="1">
      <c r="A50" s="23" t="s">
        <v>112</v>
      </c>
      <c r="B50" s="23" t="s">
        <v>113</v>
      </c>
      <c r="C50" s="23">
        <v>8</v>
      </c>
      <c r="D50" t="s">
        <v>17</v>
      </c>
      <c r="E50">
        <v>3</v>
      </c>
      <c r="I50" s="3" t="str">
        <f>+IFERROR(VLOOKUP(C50,'Mov 2023 hasta ahora '!$C$2:$D$314,2,FALSE),"NO")</f>
        <v>NO</v>
      </c>
      <c r="J50" t="s">
        <v>18</v>
      </c>
      <c r="K50">
        <v>5</v>
      </c>
      <c r="L50" t="s">
        <v>19</v>
      </c>
      <c r="M50">
        <v>18</v>
      </c>
      <c r="O50" s="25" t="s">
        <v>8427</v>
      </c>
      <c r="P50" s="25" t="s">
        <v>113</v>
      </c>
      <c r="Q50" s="25">
        <v>8</v>
      </c>
      <c r="R50" t="s">
        <v>17</v>
      </c>
      <c r="S50">
        <f>+E50</f>
        <v>3</v>
      </c>
    </row>
    <row r="51" spans="1:20" hidden="1">
      <c r="A51" s="23" t="s">
        <v>114</v>
      </c>
      <c r="B51" s="23" t="s">
        <v>115</v>
      </c>
      <c r="C51" s="23">
        <v>9</v>
      </c>
      <c r="D51" t="s">
        <v>17</v>
      </c>
      <c r="I51" s="3" t="str">
        <f>+IFERROR(VLOOKUP(C51,'Mov 2023 hasta ahora '!$C$2:$D$314,2,FALSE),"NO")</f>
        <v>NO</v>
      </c>
      <c r="J51" t="s">
        <v>18</v>
      </c>
      <c r="K51">
        <v>5</v>
      </c>
      <c r="L51" t="s">
        <v>19</v>
      </c>
      <c r="M51">
        <v>18</v>
      </c>
      <c r="O51" s="25" t="s">
        <v>8429</v>
      </c>
      <c r="P51" s="25" t="s">
        <v>115</v>
      </c>
      <c r="Q51" s="25">
        <v>9</v>
      </c>
      <c r="R51" t="s">
        <v>17</v>
      </c>
    </row>
    <row r="52" spans="1:20" hidden="1">
      <c r="A52" s="23" t="s">
        <v>116</v>
      </c>
      <c r="B52" s="23" t="s">
        <v>117</v>
      </c>
      <c r="C52" s="23">
        <v>1973</v>
      </c>
      <c r="D52" t="s">
        <v>17</v>
      </c>
      <c r="E52">
        <v>3</v>
      </c>
      <c r="F52">
        <v>2</v>
      </c>
      <c r="I52" s="3" t="str">
        <f>+IFERROR(VLOOKUP(C52,'Mov 2023 hasta ahora '!$C$2:$D$314,2,FALSE),"NO")</f>
        <v>NO</v>
      </c>
      <c r="J52" t="s">
        <v>18</v>
      </c>
      <c r="K52">
        <v>5</v>
      </c>
      <c r="L52" t="s">
        <v>19</v>
      </c>
      <c r="M52">
        <v>18</v>
      </c>
      <c r="O52" s="25" t="s">
        <v>8430</v>
      </c>
      <c r="P52" s="25" t="s">
        <v>8641</v>
      </c>
      <c r="Q52" s="25">
        <v>1973</v>
      </c>
      <c r="R52" t="s">
        <v>17</v>
      </c>
      <c r="S52">
        <f>+E52</f>
        <v>3</v>
      </c>
      <c r="T52">
        <f>+F52</f>
        <v>2</v>
      </c>
    </row>
    <row r="53" spans="1:20" hidden="1">
      <c r="A53" t="s">
        <v>118</v>
      </c>
      <c r="B53" t="s">
        <v>119</v>
      </c>
      <c r="D53" t="s">
        <v>17</v>
      </c>
      <c r="I53" s="3" t="str">
        <f>+IFERROR(VLOOKUP(C53,'Mov 2023 hasta ahora '!$C$2:$D$314,2,FALSE),"NO")</f>
        <v>NO</v>
      </c>
      <c r="J53" t="s">
        <v>120</v>
      </c>
      <c r="K53">
        <v>4</v>
      </c>
      <c r="L53" t="s">
        <v>19</v>
      </c>
      <c r="M53">
        <v>14</v>
      </c>
    </row>
    <row r="54" spans="1:20" hidden="1">
      <c r="A54" s="23" t="s">
        <v>121</v>
      </c>
      <c r="B54" s="23" t="s">
        <v>122</v>
      </c>
      <c r="C54" s="23">
        <v>10</v>
      </c>
      <c r="D54" t="s">
        <v>17</v>
      </c>
      <c r="H54" s="3" t="s">
        <v>8461</v>
      </c>
      <c r="I54" s="3">
        <f>+IFERROR(VLOOKUP(C54,'Mov 2023 hasta ahora '!$C$2:$D$314,2,FALSE),"NO")</f>
        <v>2</v>
      </c>
      <c r="J54" t="s">
        <v>21</v>
      </c>
      <c r="K54">
        <v>5</v>
      </c>
      <c r="L54" t="s">
        <v>19</v>
      </c>
      <c r="M54">
        <v>18</v>
      </c>
      <c r="O54" s="26" t="s">
        <v>8523</v>
      </c>
      <c r="P54" s="25" t="s">
        <v>475</v>
      </c>
      <c r="Q54" s="25">
        <v>93</v>
      </c>
    </row>
    <row r="55" spans="1:20" hidden="1">
      <c r="A55" s="23" t="s">
        <v>123</v>
      </c>
      <c r="B55" s="23" t="s">
        <v>124</v>
      </c>
      <c r="C55" s="23">
        <v>1562</v>
      </c>
      <c r="H55" s="3" t="s">
        <v>8461</v>
      </c>
      <c r="I55" s="3" t="str">
        <f>+IFERROR(VLOOKUP(C55,'Mov 2023 hasta ahora '!$C$2:$D$314,2,FALSE),"NO")</f>
        <v>NO</v>
      </c>
      <c r="J55" t="s">
        <v>21</v>
      </c>
      <c r="K55">
        <v>5</v>
      </c>
      <c r="L55" t="s">
        <v>19</v>
      </c>
      <c r="M55">
        <v>18</v>
      </c>
      <c r="O55" s="26" t="s">
        <v>8424</v>
      </c>
      <c r="P55" s="25" t="s">
        <v>563</v>
      </c>
      <c r="Q55" s="25">
        <v>1905</v>
      </c>
    </row>
    <row r="56" spans="1:20" hidden="1">
      <c r="A56" s="23" t="s">
        <v>125</v>
      </c>
      <c r="B56" s="23" t="s">
        <v>126</v>
      </c>
      <c r="C56" s="23">
        <v>56</v>
      </c>
      <c r="D56" t="s">
        <v>17</v>
      </c>
      <c r="I56" s="3">
        <f>+IFERROR(VLOOKUP(C56,'Mov 2023 hasta ahora '!$C$2:$D$314,2,FALSE),"NO")</f>
        <v>155</v>
      </c>
      <c r="J56" t="s">
        <v>120</v>
      </c>
      <c r="K56">
        <v>5</v>
      </c>
      <c r="L56" t="s">
        <v>19</v>
      </c>
      <c r="M56">
        <v>18</v>
      </c>
      <c r="O56" s="25" t="s">
        <v>8425</v>
      </c>
      <c r="P56" s="25" t="s">
        <v>126</v>
      </c>
      <c r="Q56" s="25">
        <v>56</v>
      </c>
      <c r="R56" t="s">
        <v>17</v>
      </c>
    </row>
    <row r="57" spans="1:20" hidden="1">
      <c r="A57" s="23" t="s">
        <v>127</v>
      </c>
      <c r="B57" s="23" t="s">
        <v>128</v>
      </c>
      <c r="C57" s="23">
        <v>2097</v>
      </c>
      <c r="D57" t="s">
        <v>17</v>
      </c>
      <c r="I57" s="3" t="str">
        <f>+IFERROR(VLOOKUP(C57,'Mov 2023 hasta ahora '!$C$2:$D$314,2,FALSE),"NO")</f>
        <v>NO</v>
      </c>
      <c r="J57" t="s">
        <v>120</v>
      </c>
      <c r="K57">
        <v>5</v>
      </c>
      <c r="L57" t="s">
        <v>19</v>
      </c>
      <c r="M57">
        <v>18</v>
      </c>
      <c r="O57" s="25" t="s">
        <v>8426</v>
      </c>
      <c r="P57" s="25" t="s">
        <v>8638</v>
      </c>
      <c r="Q57" s="25">
        <v>2097</v>
      </c>
      <c r="R57" t="s">
        <v>17</v>
      </c>
    </row>
    <row r="58" spans="1:20" hidden="1">
      <c r="A58" t="s">
        <v>129</v>
      </c>
      <c r="B58" t="s">
        <v>130</v>
      </c>
      <c r="I58" s="3" t="str">
        <f>+IFERROR(VLOOKUP(C58,'Mov 2023 hasta ahora '!$C$2:$D$314,2,FALSE),"NO")</f>
        <v>NO</v>
      </c>
      <c r="J58" t="s">
        <v>18</v>
      </c>
      <c r="K58">
        <v>4</v>
      </c>
      <c r="L58" t="s">
        <v>19</v>
      </c>
      <c r="M58">
        <v>14</v>
      </c>
    </row>
    <row r="59" spans="1:20" hidden="1">
      <c r="A59" s="23" t="s">
        <v>131</v>
      </c>
      <c r="B59" s="23" t="s">
        <v>132</v>
      </c>
      <c r="C59" s="23">
        <v>3820</v>
      </c>
      <c r="D59" t="s">
        <v>17</v>
      </c>
      <c r="I59" s="3" t="str">
        <f>+IFERROR(VLOOKUP(C59,'Mov 2023 hasta ahora '!$C$2:$D$314,2,FALSE),"NO")</f>
        <v>NO</v>
      </c>
      <c r="J59" t="s">
        <v>18</v>
      </c>
      <c r="K59">
        <v>5</v>
      </c>
      <c r="L59" t="s">
        <v>19</v>
      </c>
      <c r="M59">
        <v>18</v>
      </c>
      <c r="O59" s="25" t="s">
        <v>8419</v>
      </c>
      <c r="P59" s="25" t="s">
        <v>132</v>
      </c>
      <c r="Q59" s="25">
        <v>3820</v>
      </c>
      <c r="R59" t="s">
        <v>17</v>
      </c>
    </row>
    <row r="60" spans="1:20" hidden="1">
      <c r="A60" t="s">
        <v>133</v>
      </c>
      <c r="B60" t="s">
        <v>134</v>
      </c>
      <c r="D60" t="s">
        <v>17</v>
      </c>
      <c r="I60" s="3" t="str">
        <f>+IFERROR(VLOOKUP(C60,'Mov 2023 hasta ahora '!$C$2:$D$314,2,FALSE),"NO")</f>
        <v>NO</v>
      </c>
      <c r="J60" t="s">
        <v>18</v>
      </c>
      <c r="K60">
        <v>3</v>
      </c>
      <c r="L60" t="s">
        <v>19</v>
      </c>
      <c r="M60">
        <v>10</v>
      </c>
    </row>
    <row r="61" spans="1:20" hidden="1">
      <c r="A61" t="s">
        <v>135</v>
      </c>
      <c r="B61" t="s">
        <v>136</v>
      </c>
      <c r="D61" t="s">
        <v>17</v>
      </c>
      <c r="I61" s="3" t="str">
        <f>+IFERROR(VLOOKUP(C61,'Mov 2023 hasta ahora '!$C$2:$D$314,2,FALSE),"NO")</f>
        <v>NO</v>
      </c>
      <c r="J61" t="s">
        <v>137</v>
      </c>
      <c r="K61">
        <v>4</v>
      </c>
      <c r="L61" t="s">
        <v>19</v>
      </c>
      <c r="M61">
        <v>14</v>
      </c>
    </row>
    <row r="62" spans="1:20" hidden="1">
      <c r="A62" s="23" t="s">
        <v>138</v>
      </c>
      <c r="B62" s="23" t="s">
        <v>139</v>
      </c>
      <c r="C62" s="23">
        <v>11</v>
      </c>
      <c r="D62" t="s">
        <v>17</v>
      </c>
      <c r="E62">
        <v>1</v>
      </c>
      <c r="H62" s="3" t="s">
        <v>8461</v>
      </c>
      <c r="I62" s="3" t="str">
        <f>+IFERROR(VLOOKUP(C62,'Mov 2023 hasta ahora '!$C$2:$D$314,2,FALSE),"NO")</f>
        <v>NO</v>
      </c>
      <c r="J62" t="s">
        <v>21</v>
      </c>
      <c r="K62">
        <v>5</v>
      </c>
      <c r="L62" t="s">
        <v>19</v>
      </c>
      <c r="M62">
        <v>18</v>
      </c>
      <c r="O62" s="26" t="s">
        <v>8443</v>
      </c>
      <c r="P62" s="25" t="s">
        <v>145</v>
      </c>
      <c r="Q62" s="25">
        <v>14</v>
      </c>
    </row>
    <row r="63" spans="1:20" hidden="1">
      <c r="A63" s="23" t="s">
        <v>140</v>
      </c>
      <c r="B63" s="23" t="s">
        <v>141</v>
      </c>
      <c r="C63" s="23">
        <v>12</v>
      </c>
      <c r="D63" t="s">
        <v>17</v>
      </c>
      <c r="E63">
        <v>1</v>
      </c>
      <c r="H63" s="6">
        <v>-7747154.4000000004</v>
      </c>
      <c r="I63" s="3" t="str">
        <f>+IFERROR(VLOOKUP(C63,'Mov 2023 hasta ahora '!$C$2:$D$314,2,FALSE),"NO")</f>
        <v>NO</v>
      </c>
      <c r="J63" t="s">
        <v>21</v>
      </c>
      <c r="K63">
        <v>5</v>
      </c>
      <c r="L63" t="s">
        <v>19</v>
      </c>
      <c r="M63">
        <v>18</v>
      </c>
      <c r="O63" s="25" t="s">
        <v>8441</v>
      </c>
      <c r="P63" s="25" t="s">
        <v>141</v>
      </c>
      <c r="Q63" s="25">
        <v>12</v>
      </c>
      <c r="R63" t="s">
        <v>17</v>
      </c>
      <c r="S63">
        <f t="shared" ref="S63:S79" si="0">+E63</f>
        <v>1</v>
      </c>
    </row>
    <row r="64" spans="1:20" hidden="1">
      <c r="A64" s="23" t="s">
        <v>142</v>
      </c>
      <c r="B64" s="23" t="s">
        <v>143</v>
      </c>
      <c r="C64" s="23">
        <v>13</v>
      </c>
      <c r="D64" t="s">
        <v>17</v>
      </c>
      <c r="E64">
        <v>1</v>
      </c>
      <c r="I64" s="3">
        <f>+IFERROR(VLOOKUP(C64,'Mov 2023 hasta ahora '!$C$2:$D$314,2,FALSE),"NO")</f>
        <v>3748</v>
      </c>
      <c r="J64" t="s">
        <v>18</v>
      </c>
      <c r="K64">
        <v>5</v>
      </c>
      <c r="L64" t="s">
        <v>19</v>
      </c>
      <c r="M64">
        <v>18</v>
      </c>
      <c r="O64" s="25" t="s">
        <v>8442</v>
      </c>
      <c r="P64" s="25" t="s">
        <v>8639</v>
      </c>
      <c r="Q64" s="25">
        <v>13</v>
      </c>
      <c r="R64" t="s">
        <v>17</v>
      </c>
      <c r="S64">
        <f t="shared" si="0"/>
        <v>1</v>
      </c>
    </row>
    <row r="65" spans="1:20" hidden="1">
      <c r="A65" s="23" t="s">
        <v>144</v>
      </c>
      <c r="B65" s="23" t="s">
        <v>145</v>
      </c>
      <c r="C65" s="23">
        <v>14</v>
      </c>
      <c r="D65" t="s">
        <v>17</v>
      </c>
      <c r="E65">
        <v>1</v>
      </c>
      <c r="I65" s="3" t="str">
        <f>+IFERROR(VLOOKUP(C65,'Mov 2023 hasta ahora '!$C$2:$D$314,2,FALSE),"NO")</f>
        <v>NO</v>
      </c>
      <c r="J65" t="s">
        <v>18</v>
      </c>
      <c r="K65">
        <v>5</v>
      </c>
      <c r="L65" t="s">
        <v>19</v>
      </c>
      <c r="M65">
        <v>18</v>
      </c>
      <c r="O65" s="25" t="s">
        <v>8443</v>
      </c>
      <c r="P65" s="25" t="s">
        <v>145</v>
      </c>
      <c r="Q65" s="25">
        <v>14</v>
      </c>
      <c r="R65" t="s">
        <v>17</v>
      </c>
      <c r="S65">
        <f t="shared" si="0"/>
        <v>1</v>
      </c>
    </row>
    <row r="66" spans="1:20" hidden="1">
      <c r="A66" s="23" t="s">
        <v>146</v>
      </c>
      <c r="B66" s="23" t="s">
        <v>147</v>
      </c>
      <c r="C66" s="23">
        <v>15</v>
      </c>
      <c r="D66" t="s">
        <v>17</v>
      </c>
      <c r="E66">
        <v>1</v>
      </c>
      <c r="I66" s="3">
        <f>+IFERROR(VLOOKUP(C66,'Mov 2023 hasta ahora '!$C$2:$D$314,2,FALSE),"NO")</f>
        <v>1555</v>
      </c>
      <c r="J66" t="s">
        <v>18</v>
      </c>
      <c r="K66">
        <v>5</v>
      </c>
      <c r="L66" t="s">
        <v>19</v>
      </c>
      <c r="M66">
        <v>18</v>
      </c>
      <c r="O66" s="25" t="s">
        <v>8428</v>
      </c>
      <c r="P66" s="25" t="s">
        <v>147</v>
      </c>
      <c r="Q66" s="25">
        <v>15</v>
      </c>
      <c r="R66" t="s">
        <v>17</v>
      </c>
      <c r="S66">
        <f t="shared" si="0"/>
        <v>1</v>
      </c>
    </row>
    <row r="67" spans="1:20" hidden="1">
      <c r="A67" s="23" t="s">
        <v>148</v>
      </c>
      <c r="B67" s="23" t="s">
        <v>149</v>
      </c>
      <c r="C67" s="23">
        <v>141</v>
      </c>
      <c r="D67" t="s">
        <v>17</v>
      </c>
      <c r="E67">
        <v>1</v>
      </c>
      <c r="I67" s="3">
        <f>+IFERROR(VLOOKUP(C67,'Mov 2023 hasta ahora '!$C$2:$D$314,2,FALSE),"NO")</f>
        <v>3969</v>
      </c>
      <c r="J67" t="s">
        <v>18</v>
      </c>
      <c r="K67">
        <v>5</v>
      </c>
      <c r="L67" t="s">
        <v>19</v>
      </c>
      <c r="M67">
        <v>18</v>
      </c>
      <c r="O67" s="25" t="s">
        <v>8444</v>
      </c>
      <c r="P67" s="25" t="s">
        <v>149</v>
      </c>
      <c r="Q67" s="25">
        <v>141</v>
      </c>
      <c r="R67" t="s">
        <v>17</v>
      </c>
      <c r="S67">
        <f t="shared" si="0"/>
        <v>1</v>
      </c>
    </row>
    <row r="68" spans="1:20" hidden="1">
      <c r="A68" s="23" t="s">
        <v>150</v>
      </c>
      <c r="B68" s="23" t="s">
        <v>151</v>
      </c>
      <c r="C68" s="23">
        <v>142</v>
      </c>
      <c r="D68" t="s">
        <v>17</v>
      </c>
      <c r="E68">
        <v>1</v>
      </c>
      <c r="I68" s="3" t="str">
        <f>+IFERROR(VLOOKUP(C68,'Mov 2023 hasta ahora '!$C$2:$D$314,2,FALSE),"NO")</f>
        <v>NO</v>
      </c>
      <c r="J68" t="s">
        <v>18</v>
      </c>
      <c r="K68">
        <v>5</v>
      </c>
      <c r="L68" t="s">
        <v>19</v>
      </c>
      <c r="M68">
        <v>18</v>
      </c>
      <c r="O68" s="25" t="s">
        <v>8445</v>
      </c>
      <c r="P68" s="25" t="s">
        <v>151</v>
      </c>
      <c r="Q68" s="25">
        <v>142</v>
      </c>
      <c r="R68" t="s">
        <v>17</v>
      </c>
      <c r="S68">
        <f t="shared" si="0"/>
        <v>1</v>
      </c>
    </row>
    <row r="69" spans="1:20" hidden="1">
      <c r="A69" s="23" t="s">
        <v>152</v>
      </c>
      <c r="B69" s="23" t="s">
        <v>153</v>
      </c>
      <c r="C69" s="23">
        <v>143</v>
      </c>
      <c r="D69" t="s">
        <v>17</v>
      </c>
      <c r="E69">
        <v>1</v>
      </c>
      <c r="I69" s="3">
        <f>+IFERROR(VLOOKUP(C69,'Mov 2023 hasta ahora '!$C$2:$D$314,2,FALSE),"NO")</f>
        <v>141</v>
      </c>
      <c r="J69" t="s">
        <v>18</v>
      </c>
      <c r="K69">
        <v>5</v>
      </c>
      <c r="L69" t="s">
        <v>19</v>
      </c>
      <c r="M69">
        <v>18</v>
      </c>
      <c r="O69" s="25" t="s">
        <v>8446</v>
      </c>
      <c r="P69" s="25" t="s">
        <v>8642</v>
      </c>
      <c r="Q69" s="25">
        <v>143</v>
      </c>
      <c r="R69" t="s">
        <v>17</v>
      </c>
      <c r="S69">
        <f t="shared" si="0"/>
        <v>1</v>
      </c>
    </row>
    <row r="70" spans="1:20" hidden="1">
      <c r="A70" s="23" t="s">
        <v>154</v>
      </c>
      <c r="B70" s="23" t="s">
        <v>155</v>
      </c>
      <c r="C70" s="23">
        <v>347</v>
      </c>
      <c r="D70" t="s">
        <v>17</v>
      </c>
      <c r="E70">
        <v>1</v>
      </c>
      <c r="I70" s="3">
        <f>+IFERROR(VLOOKUP(C70,'Mov 2023 hasta ahora '!$C$2:$D$314,2,FALSE),"NO")</f>
        <v>28</v>
      </c>
      <c r="J70" t="s">
        <v>18</v>
      </c>
      <c r="K70">
        <v>5</v>
      </c>
      <c r="L70" t="s">
        <v>19</v>
      </c>
      <c r="M70">
        <v>18</v>
      </c>
      <c r="O70" s="25" t="s">
        <v>8447</v>
      </c>
      <c r="P70" s="25" t="s">
        <v>155</v>
      </c>
      <c r="Q70" s="25">
        <v>347</v>
      </c>
      <c r="R70" t="s">
        <v>17</v>
      </c>
      <c r="S70">
        <f t="shared" si="0"/>
        <v>1</v>
      </c>
    </row>
    <row r="71" spans="1:20" hidden="1">
      <c r="A71" s="23" t="s">
        <v>156</v>
      </c>
      <c r="B71" s="23" t="s">
        <v>157</v>
      </c>
      <c r="C71" s="23">
        <v>1392</v>
      </c>
      <c r="D71" t="s">
        <v>17</v>
      </c>
      <c r="E71">
        <v>1</v>
      </c>
      <c r="I71" s="3">
        <f>+IFERROR(VLOOKUP(C71,'Mov 2023 hasta ahora '!$C$2:$D$314,2,FALSE),"NO")</f>
        <v>23472</v>
      </c>
      <c r="J71" t="s">
        <v>18</v>
      </c>
      <c r="K71">
        <v>5</v>
      </c>
      <c r="L71" t="s">
        <v>19</v>
      </c>
      <c r="M71">
        <v>18</v>
      </c>
      <c r="O71" s="25" t="s">
        <v>8448</v>
      </c>
      <c r="P71" s="25" t="s">
        <v>8643</v>
      </c>
      <c r="Q71" s="25">
        <v>1392</v>
      </c>
      <c r="R71" t="s">
        <v>17</v>
      </c>
      <c r="S71">
        <f t="shared" si="0"/>
        <v>1</v>
      </c>
    </row>
    <row r="72" spans="1:20" hidden="1">
      <c r="A72" s="23" t="s">
        <v>158</v>
      </c>
      <c r="B72" s="23" t="s">
        <v>159</v>
      </c>
      <c r="C72" s="23">
        <v>1347</v>
      </c>
      <c r="D72" t="s">
        <v>17</v>
      </c>
      <c r="E72">
        <v>1</v>
      </c>
      <c r="I72" s="3">
        <f>+IFERROR(VLOOKUP(C72,'Mov 2023 hasta ahora '!$C$2:$D$314,2,FALSE),"NO")</f>
        <v>2215</v>
      </c>
      <c r="J72" t="s">
        <v>18</v>
      </c>
      <c r="K72">
        <v>5</v>
      </c>
      <c r="L72" t="s">
        <v>19</v>
      </c>
      <c r="M72">
        <v>18</v>
      </c>
      <c r="O72" s="25" t="s">
        <v>8449</v>
      </c>
      <c r="P72" s="25" t="s">
        <v>159</v>
      </c>
      <c r="Q72" s="25">
        <v>1347</v>
      </c>
      <c r="R72" t="s">
        <v>17</v>
      </c>
      <c r="S72">
        <f t="shared" si="0"/>
        <v>1</v>
      </c>
    </row>
    <row r="73" spans="1:20" hidden="1">
      <c r="A73" s="23" t="s">
        <v>160</v>
      </c>
      <c r="B73" s="23" t="s">
        <v>161</v>
      </c>
      <c r="C73" s="23">
        <v>341</v>
      </c>
      <c r="D73" t="s">
        <v>17</v>
      </c>
      <c r="E73">
        <v>1</v>
      </c>
      <c r="I73" s="3" t="str">
        <f>+IFERROR(VLOOKUP(C73,'Mov 2023 hasta ahora '!$C$2:$D$314,2,FALSE),"NO")</f>
        <v>NO</v>
      </c>
      <c r="J73" t="s">
        <v>18</v>
      </c>
      <c r="K73">
        <v>5</v>
      </c>
      <c r="L73" t="s">
        <v>19</v>
      </c>
      <c r="M73">
        <v>18</v>
      </c>
      <c r="O73" s="25" t="s">
        <v>8450</v>
      </c>
      <c r="P73" s="25" t="s">
        <v>161</v>
      </c>
      <c r="Q73" s="25">
        <v>341</v>
      </c>
      <c r="R73" t="s">
        <v>17</v>
      </c>
      <c r="S73">
        <f t="shared" si="0"/>
        <v>1</v>
      </c>
    </row>
    <row r="74" spans="1:20" hidden="1">
      <c r="A74" s="23" t="s">
        <v>162</v>
      </c>
      <c r="B74" s="23" t="s">
        <v>163</v>
      </c>
      <c r="C74" s="23">
        <v>1389</v>
      </c>
      <c r="D74" t="s">
        <v>17</v>
      </c>
      <c r="E74">
        <v>1</v>
      </c>
      <c r="I74" s="3" t="str">
        <f>+IFERROR(VLOOKUP(C74,'Mov 2023 hasta ahora '!$C$2:$D$314,2,FALSE),"NO")</f>
        <v>NO</v>
      </c>
      <c r="J74" t="s">
        <v>18</v>
      </c>
      <c r="K74">
        <v>5</v>
      </c>
      <c r="L74" t="s">
        <v>19</v>
      </c>
      <c r="M74">
        <v>18</v>
      </c>
      <c r="O74" s="25" t="s">
        <v>8451</v>
      </c>
      <c r="P74" s="25" t="s">
        <v>163</v>
      </c>
      <c r="Q74" s="25">
        <v>1389</v>
      </c>
      <c r="R74" t="s">
        <v>17</v>
      </c>
      <c r="S74">
        <f t="shared" si="0"/>
        <v>1</v>
      </c>
    </row>
    <row r="75" spans="1:20" hidden="1">
      <c r="A75" s="23" t="s">
        <v>164</v>
      </c>
      <c r="B75" s="23" t="s">
        <v>165</v>
      </c>
      <c r="C75" s="23">
        <v>1390</v>
      </c>
      <c r="D75" t="s">
        <v>17</v>
      </c>
      <c r="E75">
        <v>1</v>
      </c>
      <c r="I75" s="3">
        <f>+IFERROR(VLOOKUP(C75,'Mov 2023 hasta ahora '!$C$2:$D$314,2,FALSE),"NO")</f>
        <v>21145</v>
      </c>
      <c r="J75" t="s">
        <v>18</v>
      </c>
      <c r="K75">
        <v>5</v>
      </c>
      <c r="L75" t="s">
        <v>19</v>
      </c>
      <c r="M75">
        <v>18</v>
      </c>
      <c r="O75" s="25" t="s">
        <v>8452</v>
      </c>
      <c r="P75" s="25" t="s">
        <v>165</v>
      </c>
      <c r="Q75" s="25">
        <v>1390</v>
      </c>
      <c r="R75" t="s">
        <v>17</v>
      </c>
      <c r="S75">
        <f t="shared" si="0"/>
        <v>1</v>
      </c>
    </row>
    <row r="76" spans="1:20" hidden="1">
      <c r="A76" s="23" t="s">
        <v>166</v>
      </c>
      <c r="B76" s="23" t="s">
        <v>167</v>
      </c>
      <c r="C76" s="23">
        <v>1391</v>
      </c>
      <c r="D76" t="s">
        <v>17</v>
      </c>
      <c r="E76">
        <v>1</v>
      </c>
      <c r="I76" s="3">
        <f>+IFERROR(VLOOKUP(C76,'Mov 2023 hasta ahora '!$C$2:$D$314,2,FALSE),"NO")</f>
        <v>574</v>
      </c>
      <c r="J76" t="s">
        <v>18</v>
      </c>
      <c r="K76">
        <v>5</v>
      </c>
      <c r="L76" t="s">
        <v>19</v>
      </c>
      <c r="M76">
        <v>18</v>
      </c>
      <c r="O76" s="25" t="s">
        <v>8453</v>
      </c>
      <c r="P76" s="25" t="s">
        <v>8644</v>
      </c>
      <c r="Q76" s="25">
        <v>1391</v>
      </c>
      <c r="R76" t="s">
        <v>17</v>
      </c>
      <c r="S76">
        <f t="shared" si="0"/>
        <v>1</v>
      </c>
    </row>
    <row r="77" spans="1:20" hidden="1">
      <c r="A77" s="23" t="s">
        <v>168</v>
      </c>
      <c r="B77" s="23" t="s">
        <v>169</v>
      </c>
      <c r="C77" s="23">
        <v>1608</v>
      </c>
      <c r="D77" t="s">
        <v>17</v>
      </c>
      <c r="E77">
        <v>1</v>
      </c>
      <c r="I77" s="3">
        <f>+IFERROR(VLOOKUP(C77,'Mov 2023 hasta ahora '!$C$2:$D$314,2,FALSE),"NO")</f>
        <v>1358</v>
      </c>
      <c r="J77" t="s">
        <v>18</v>
      </c>
      <c r="K77">
        <v>5</v>
      </c>
      <c r="L77" t="s">
        <v>19</v>
      </c>
      <c r="M77">
        <v>18</v>
      </c>
      <c r="O77" s="25" t="s">
        <v>8454</v>
      </c>
      <c r="P77" s="25" t="s">
        <v>169</v>
      </c>
      <c r="Q77" s="25">
        <v>1608</v>
      </c>
      <c r="R77" t="s">
        <v>17</v>
      </c>
      <c r="S77">
        <f t="shared" si="0"/>
        <v>1</v>
      </c>
    </row>
    <row r="78" spans="1:20" hidden="1">
      <c r="A78" s="23" t="s">
        <v>170</v>
      </c>
      <c r="B78" s="23" t="s">
        <v>171</v>
      </c>
      <c r="C78" s="23">
        <v>144</v>
      </c>
      <c r="D78" t="s">
        <v>17</v>
      </c>
      <c r="E78">
        <v>1</v>
      </c>
      <c r="I78" s="3">
        <f>+IFERROR(VLOOKUP(C78,'Mov 2023 hasta ahora '!$C$2:$D$314,2,FALSE),"NO")</f>
        <v>1971</v>
      </c>
      <c r="J78" t="s">
        <v>18</v>
      </c>
      <c r="K78">
        <v>5</v>
      </c>
      <c r="L78" t="s">
        <v>19</v>
      </c>
      <c r="M78">
        <v>18</v>
      </c>
      <c r="O78" s="25" t="s">
        <v>8455</v>
      </c>
      <c r="P78" s="25" t="s">
        <v>171</v>
      </c>
      <c r="Q78" s="25">
        <v>144</v>
      </c>
      <c r="R78" t="s">
        <v>17</v>
      </c>
      <c r="S78">
        <f t="shared" si="0"/>
        <v>1</v>
      </c>
    </row>
    <row r="79" spans="1:20" hidden="1">
      <c r="A79" s="23" t="s">
        <v>172</v>
      </c>
      <c r="B79" s="23" t="s">
        <v>173</v>
      </c>
      <c r="C79" s="23">
        <v>1972</v>
      </c>
      <c r="D79" t="s">
        <v>17</v>
      </c>
      <c r="E79">
        <v>1</v>
      </c>
      <c r="F79">
        <v>2</v>
      </c>
      <c r="I79" s="3" t="str">
        <f>+IFERROR(VLOOKUP(C79,'Mov 2023 hasta ahora '!$C$2:$D$314,2,FALSE),"NO")</f>
        <v>NO</v>
      </c>
      <c r="J79" t="s">
        <v>18</v>
      </c>
      <c r="K79">
        <v>5</v>
      </c>
      <c r="L79" t="s">
        <v>19</v>
      </c>
      <c r="M79">
        <v>18</v>
      </c>
      <c r="O79" s="25" t="s">
        <v>8456</v>
      </c>
      <c r="P79" s="25" t="s">
        <v>173</v>
      </c>
      <c r="Q79" s="25">
        <v>1972</v>
      </c>
      <c r="R79" t="s">
        <v>17</v>
      </c>
      <c r="S79">
        <f t="shared" si="0"/>
        <v>1</v>
      </c>
      <c r="T79">
        <f>+F79</f>
        <v>2</v>
      </c>
    </row>
    <row r="80" spans="1:20" hidden="1">
      <c r="A80" s="23" t="s">
        <v>174</v>
      </c>
      <c r="B80" s="23" t="s">
        <v>175</v>
      </c>
      <c r="C80" s="23">
        <v>2447</v>
      </c>
      <c r="D80" t="s">
        <v>17</v>
      </c>
      <c r="E80">
        <v>1</v>
      </c>
      <c r="H80" s="3" t="s">
        <v>8461</v>
      </c>
      <c r="I80" s="3" t="str">
        <f>+IFERROR(VLOOKUP(C80,'Mov 2023 hasta ahora '!$C$2:$D$314,2,FALSE),"NO")</f>
        <v>NO</v>
      </c>
      <c r="J80" t="s">
        <v>21</v>
      </c>
      <c r="K80">
        <v>5</v>
      </c>
      <c r="L80" t="s">
        <v>19</v>
      </c>
      <c r="M80">
        <v>18</v>
      </c>
      <c r="O80" s="26" t="s">
        <v>8443</v>
      </c>
      <c r="P80" s="25" t="s">
        <v>145</v>
      </c>
      <c r="Q80" s="25">
        <v>14</v>
      </c>
    </row>
    <row r="81" spans="1:19" hidden="1">
      <c r="A81" s="23" t="s">
        <v>176</v>
      </c>
      <c r="B81" s="23" t="s">
        <v>177</v>
      </c>
      <c r="C81" s="23">
        <v>155</v>
      </c>
      <c r="D81" t="s">
        <v>17</v>
      </c>
      <c r="E81">
        <v>1</v>
      </c>
      <c r="H81" s="3" t="s">
        <v>8461</v>
      </c>
      <c r="I81" s="3">
        <f>+IFERROR(VLOOKUP(C81,'Mov 2023 hasta ahora '!$C$2:$D$314,2,FALSE),"NO")</f>
        <v>4</v>
      </c>
      <c r="J81" t="s">
        <v>18</v>
      </c>
      <c r="K81">
        <v>5</v>
      </c>
      <c r="L81" t="s">
        <v>19</v>
      </c>
      <c r="M81">
        <v>18</v>
      </c>
      <c r="O81" s="26" t="s">
        <v>8457</v>
      </c>
      <c r="P81" s="25" t="s">
        <v>177</v>
      </c>
      <c r="Q81" s="25">
        <v>3866</v>
      </c>
      <c r="R81" t="s">
        <v>17</v>
      </c>
      <c r="S81">
        <f>+E81</f>
        <v>1</v>
      </c>
    </row>
    <row r="82" spans="1:19" hidden="1">
      <c r="A82" s="23" t="s">
        <v>178</v>
      </c>
      <c r="B82" s="23" t="s">
        <v>179</v>
      </c>
      <c r="C82" s="23">
        <v>1730</v>
      </c>
      <c r="D82" t="s">
        <v>17</v>
      </c>
      <c r="E82">
        <v>1</v>
      </c>
      <c r="H82" s="3" t="s">
        <v>8461</v>
      </c>
      <c r="I82" s="3" t="str">
        <f>+IFERROR(VLOOKUP(C82,'Mov 2023 hasta ahora '!$C$2:$D$314,2,FALSE),"NO")</f>
        <v>NO</v>
      </c>
      <c r="J82" t="s">
        <v>21</v>
      </c>
      <c r="K82">
        <v>5</v>
      </c>
      <c r="L82" t="s">
        <v>19</v>
      </c>
      <c r="M82">
        <v>18</v>
      </c>
      <c r="O82" s="26" t="s">
        <v>8462</v>
      </c>
      <c r="P82" s="25" t="s">
        <v>8466</v>
      </c>
      <c r="Q82" s="25">
        <v>1822</v>
      </c>
    </row>
    <row r="83" spans="1:19" hidden="1">
      <c r="A83" s="23" t="s">
        <v>180</v>
      </c>
      <c r="B83" s="23" t="s">
        <v>181</v>
      </c>
      <c r="C83" s="23">
        <v>1728</v>
      </c>
      <c r="D83" t="s">
        <v>17</v>
      </c>
      <c r="E83">
        <v>1</v>
      </c>
      <c r="H83" s="6">
        <v>34754.17</v>
      </c>
      <c r="I83" s="3" t="str">
        <f>+IFERROR(VLOOKUP(C83,'Mov 2023 hasta ahora '!$C$2:$D$314,2,FALSE),"NO")</f>
        <v>NO</v>
      </c>
      <c r="J83" t="s">
        <v>18</v>
      </c>
      <c r="K83">
        <v>5</v>
      </c>
      <c r="L83" t="s">
        <v>19</v>
      </c>
      <c r="M83">
        <v>18</v>
      </c>
      <c r="O83" s="26" t="s">
        <v>8458</v>
      </c>
      <c r="P83" s="25" t="s">
        <v>181</v>
      </c>
      <c r="Q83" s="25">
        <v>3867</v>
      </c>
      <c r="R83" t="s">
        <v>17</v>
      </c>
      <c r="S83">
        <f>+E83</f>
        <v>1</v>
      </c>
    </row>
    <row r="84" spans="1:19" hidden="1">
      <c r="A84" s="23" t="s">
        <v>182</v>
      </c>
      <c r="B84" s="23" t="s">
        <v>183</v>
      </c>
      <c r="C84" s="23">
        <v>1729</v>
      </c>
      <c r="D84" t="s">
        <v>17</v>
      </c>
      <c r="E84">
        <v>1</v>
      </c>
      <c r="H84">
        <v>-1000</v>
      </c>
      <c r="I84" s="3" t="str">
        <f>+IFERROR(VLOOKUP(C84,'Mov 2023 hasta ahora '!$C$2:$D$314,2,FALSE),"NO")</f>
        <v>NO</v>
      </c>
      <c r="J84" t="s">
        <v>18</v>
      </c>
      <c r="K84">
        <v>5</v>
      </c>
      <c r="L84" t="s">
        <v>19</v>
      </c>
      <c r="M84">
        <v>18</v>
      </c>
      <c r="O84" s="26" t="s">
        <v>8459</v>
      </c>
      <c r="P84" s="25" t="s">
        <v>183</v>
      </c>
      <c r="Q84" s="25">
        <v>3868</v>
      </c>
      <c r="R84" t="s">
        <v>17</v>
      </c>
      <c r="S84">
        <f>+E84</f>
        <v>1</v>
      </c>
    </row>
    <row r="85" spans="1:19" hidden="1">
      <c r="A85" s="23" t="s">
        <v>184</v>
      </c>
      <c r="B85" s="23" t="s">
        <v>185</v>
      </c>
      <c r="C85" s="23">
        <v>1822</v>
      </c>
      <c r="E85">
        <v>1</v>
      </c>
      <c r="H85" s="3" t="s">
        <v>8461</v>
      </c>
      <c r="I85" s="3" t="str">
        <f>+IFERROR(VLOOKUP(C85,'Mov 2023 hasta ahora '!$C$2:$D$314,2,FALSE),"NO")</f>
        <v>NO</v>
      </c>
      <c r="J85" t="s">
        <v>18</v>
      </c>
      <c r="K85">
        <v>5</v>
      </c>
      <c r="L85" t="s">
        <v>19</v>
      </c>
      <c r="M85">
        <v>18</v>
      </c>
      <c r="O85" s="25" t="s">
        <v>8462</v>
      </c>
      <c r="P85" s="25" t="s">
        <v>8466</v>
      </c>
      <c r="Q85" s="25">
        <v>1822</v>
      </c>
      <c r="R85" t="s">
        <v>17</v>
      </c>
      <c r="S85">
        <f>+E85</f>
        <v>1</v>
      </c>
    </row>
    <row r="86" spans="1:19" hidden="1">
      <c r="A86" s="23" t="s">
        <v>186</v>
      </c>
      <c r="B86" s="23" t="s">
        <v>187</v>
      </c>
      <c r="C86" s="23">
        <v>2584</v>
      </c>
      <c r="D86" t="s">
        <v>17</v>
      </c>
      <c r="E86">
        <v>1</v>
      </c>
      <c r="H86" s="3" t="s">
        <v>8461</v>
      </c>
      <c r="I86" s="3" t="str">
        <f>+IFERROR(VLOOKUP(C86,'Mov 2023 hasta ahora '!$C$2:$D$314,2,FALSE),"NO")</f>
        <v>NO</v>
      </c>
      <c r="J86" t="s">
        <v>21</v>
      </c>
      <c r="K86">
        <v>5</v>
      </c>
      <c r="L86" t="s">
        <v>19</v>
      </c>
      <c r="M86">
        <v>18</v>
      </c>
      <c r="O86" s="26" t="s">
        <v>8462</v>
      </c>
      <c r="P86" s="25" t="s">
        <v>8466</v>
      </c>
      <c r="Q86" s="25">
        <v>1822</v>
      </c>
    </row>
    <row r="87" spans="1:19" hidden="1">
      <c r="A87" s="23" t="s">
        <v>188</v>
      </c>
      <c r="B87" s="23" t="s">
        <v>189</v>
      </c>
      <c r="C87" s="23">
        <v>2697</v>
      </c>
      <c r="D87" t="s">
        <v>17</v>
      </c>
      <c r="E87">
        <v>1</v>
      </c>
      <c r="H87" s="3" t="s">
        <v>8461</v>
      </c>
      <c r="I87" s="3" t="str">
        <f>+IFERROR(VLOOKUP(C87,'Mov 2023 hasta ahora '!$C$2:$D$314,2,FALSE),"NO")</f>
        <v>NO</v>
      </c>
      <c r="J87" t="s">
        <v>21</v>
      </c>
      <c r="K87">
        <v>5</v>
      </c>
      <c r="L87" t="s">
        <v>19</v>
      </c>
      <c r="M87">
        <v>18</v>
      </c>
      <c r="O87" s="26" t="s">
        <v>8443</v>
      </c>
      <c r="P87" s="25" t="s">
        <v>145</v>
      </c>
      <c r="Q87" s="25">
        <v>14</v>
      </c>
    </row>
    <row r="88" spans="1:19" hidden="1">
      <c r="A88" s="23" t="s">
        <v>190</v>
      </c>
      <c r="B88" s="23" t="s">
        <v>191</v>
      </c>
      <c r="C88" s="23">
        <v>3429</v>
      </c>
      <c r="D88" t="s">
        <v>17</v>
      </c>
      <c r="E88">
        <v>1</v>
      </c>
      <c r="H88" s="3" t="s">
        <v>8461</v>
      </c>
      <c r="I88" s="3" t="str">
        <f>+IFERROR(VLOOKUP(C88,'Mov 2023 hasta ahora '!$C$2:$D$314,2,FALSE),"NO")</f>
        <v>NO</v>
      </c>
      <c r="J88" t="s">
        <v>21</v>
      </c>
      <c r="K88">
        <v>5</v>
      </c>
      <c r="L88" t="s">
        <v>19</v>
      </c>
      <c r="M88">
        <v>18</v>
      </c>
      <c r="O88" s="26" t="s">
        <v>8462</v>
      </c>
      <c r="P88" s="25" t="s">
        <v>8466</v>
      </c>
      <c r="Q88" s="25">
        <v>1822</v>
      </c>
    </row>
    <row r="89" spans="1:19" hidden="1">
      <c r="A89" s="23" t="s">
        <v>192</v>
      </c>
      <c r="B89" s="23" t="s">
        <v>193</v>
      </c>
      <c r="C89" s="23">
        <v>3457</v>
      </c>
      <c r="D89" t="s">
        <v>17</v>
      </c>
      <c r="E89">
        <v>1</v>
      </c>
      <c r="H89" s="3" t="s">
        <v>8461</v>
      </c>
      <c r="I89" s="3" t="str">
        <f>+IFERROR(VLOOKUP(C89,'Mov 2023 hasta ahora '!$C$2:$D$314,2,FALSE),"NO")</f>
        <v>NO</v>
      </c>
      <c r="J89" t="s">
        <v>21</v>
      </c>
      <c r="K89">
        <v>5</v>
      </c>
      <c r="L89" t="s">
        <v>19</v>
      </c>
      <c r="M89">
        <v>18</v>
      </c>
      <c r="O89" s="26" t="s">
        <v>8462</v>
      </c>
      <c r="P89" s="25" t="s">
        <v>8466</v>
      </c>
      <c r="Q89" s="25">
        <v>1822</v>
      </c>
    </row>
    <row r="90" spans="1:19" hidden="1">
      <c r="A90" s="23" t="s">
        <v>194</v>
      </c>
      <c r="B90" s="23" t="s">
        <v>195</v>
      </c>
      <c r="C90" s="23">
        <v>3833</v>
      </c>
      <c r="D90" t="s">
        <v>17</v>
      </c>
      <c r="E90">
        <v>1</v>
      </c>
      <c r="H90" s="3" t="s">
        <v>8461</v>
      </c>
      <c r="I90" s="3">
        <f>+IFERROR(VLOOKUP(C90,'Mov 2023 hasta ahora '!$C$2:$D$314,2,FALSE),"NO")</f>
        <v>1368</v>
      </c>
      <c r="J90" t="s">
        <v>21</v>
      </c>
      <c r="K90">
        <v>5</v>
      </c>
      <c r="L90" t="s">
        <v>19</v>
      </c>
      <c r="M90">
        <v>18</v>
      </c>
      <c r="O90" s="26" t="s">
        <v>8462</v>
      </c>
      <c r="P90" s="25" t="s">
        <v>8466</v>
      </c>
      <c r="Q90" s="25">
        <v>1822</v>
      </c>
    </row>
    <row r="91" spans="1:19" hidden="1">
      <c r="A91" s="23" t="s">
        <v>196</v>
      </c>
      <c r="B91" s="23" t="s">
        <v>197</v>
      </c>
      <c r="C91" s="23">
        <v>3851</v>
      </c>
      <c r="D91" t="s">
        <v>17</v>
      </c>
      <c r="I91" s="3">
        <f>+IFERROR(VLOOKUP(C91,'Mov 2023 hasta ahora '!$C$2:$D$314,2,FALSE),"NO")</f>
        <v>6</v>
      </c>
      <c r="K91">
        <v>5</v>
      </c>
      <c r="L91" t="s">
        <v>19</v>
      </c>
      <c r="M91">
        <v>18</v>
      </c>
      <c r="O91" s="25" t="s">
        <v>8463</v>
      </c>
      <c r="P91" s="25" t="s">
        <v>8645</v>
      </c>
      <c r="Q91" s="25">
        <v>3851</v>
      </c>
      <c r="R91" t="s">
        <v>17</v>
      </c>
    </row>
    <row r="92" spans="1:19" hidden="1">
      <c r="A92" s="23" t="s">
        <v>198</v>
      </c>
      <c r="B92" s="23" t="s">
        <v>199</v>
      </c>
      <c r="C92" s="23">
        <v>1737</v>
      </c>
      <c r="D92" t="s">
        <v>17</v>
      </c>
      <c r="E92">
        <v>1</v>
      </c>
      <c r="H92" s="3" t="s">
        <v>8461</v>
      </c>
      <c r="I92" s="3" t="str">
        <f>+IFERROR(VLOOKUP(C92,'Mov 2023 hasta ahora '!$C$2:$D$314,2,FALSE),"NO")</f>
        <v>NO</v>
      </c>
      <c r="J92" t="s">
        <v>21</v>
      </c>
      <c r="K92">
        <v>5</v>
      </c>
      <c r="L92" t="s">
        <v>19</v>
      </c>
      <c r="M92">
        <v>18</v>
      </c>
      <c r="O92" s="26" t="s">
        <v>8443</v>
      </c>
      <c r="P92" s="25" t="s">
        <v>145</v>
      </c>
      <c r="Q92" s="25">
        <v>14</v>
      </c>
    </row>
    <row r="93" spans="1:19" hidden="1">
      <c r="A93" s="23" t="s">
        <v>200</v>
      </c>
      <c r="B93" s="23" t="s">
        <v>201</v>
      </c>
      <c r="C93" s="23">
        <v>2764</v>
      </c>
      <c r="D93" t="s">
        <v>17</v>
      </c>
      <c r="I93" s="3">
        <f>+IFERROR(VLOOKUP(C93,'Mov 2023 hasta ahora '!$C$2:$D$314,2,FALSE),"NO")</f>
        <v>38</v>
      </c>
      <c r="J93" t="s">
        <v>8460</v>
      </c>
      <c r="K93">
        <v>5</v>
      </c>
      <c r="L93" t="s">
        <v>19</v>
      </c>
      <c r="M93">
        <v>18</v>
      </c>
      <c r="O93" s="27" t="s">
        <v>8464</v>
      </c>
      <c r="P93" s="27" t="s">
        <v>201</v>
      </c>
      <c r="Q93" s="27">
        <v>2764</v>
      </c>
      <c r="R93" t="s">
        <v>17</v>
      </c>
    </row>
    <row r="94" spans="1:19" hidden="1">
      <c r="A94" s="23" t="s">
        <v>202</v>
      </c>
      <c r="B94" s="23" t="s">
        <v>203</v>
      </c>
      <c r="C94" s="23">
        <v>2866</v>
      </c>
      <c r="D94" t="s">
        <v>17</v>
      </c>
      <c r="E94">
        <v>1</v>
      </c>
      <c r="H94" s="6">
        <v>38720.31</v>
      </c>
      <c r="I94" s="3" t="str">
        <f>+IFERROR(VLOOKUP(C94,'Mov 2023 hasta ahora '!$C$2:$D$314,2,FALSE),"NO")</f>
        <v>NO</v>
      </c>
      <c r="J94" t="s">
        <v>8471</v>
      </c>
      <c r="K94">
        <v>5</v>
      </c>
      <c r="L94" t="s">
        <v>19</v>
      </c>
      <c r="M94">
        <v>18</v>
      </c>
      <c r="O94" s="26" t="s">
        <v>8465</v>
      </c>
      <c r="P94" s="25" t="s">
        <v>8646</v>
      </c>
      <c r="Q94" s="25">
        <v>16</v>
      </c>
    </row>
    <row r="95" spans="1:19" hidden="1">
      <c r="A95" s="23" t="s">
        <v>204</v>
      </c>
      <c r="B95" s="23" t="s">
        <v>205</v>
      </c>
      <c r="C95" s="23">
        <v>3449</v>
      </c>
      <c r="D95" t="s">
        <v>17</v>
      </c>
      <c r="E95">
        <v>1</v>
      </c>
      <c r="H95" s="6">
        <v>139500</v>
      </c>
      <c r="I95" s="3" t="str">
        <f>+IFERROR(VLOOKUP(C95,'Mov 2023 hasta ahora '!$C$2:$D$314,2,FALSE),"NO")</f>
        <v>NO</v>
      </c>
      <c r="J95" t="s">
        <v>21</v>
      </c>
      <c r="K95">
        <v>5</v>
      </c>
      <c r="L95" t="s">
        <v>19</v>
      </c>
      <c r="M95">
        <v>18</v>
      </c>
      <c r="O95" s="26" t="s">
        <v>8457</v>
      </c>
      <c r="P95" s="25" t="s">
        <v>177</v>
      </c>
      <c r="Q95" s="25">
        <v>3866</v>
      </c>
    </row>
    <row r="96" spans="1:19" hidden="1">
      <c r="A96" s="23" t="s">
        <v>206</v>
      </c>
      <c r="B96" s="23" t="s">
        <v>207</v>
      </c>
      <c r="C96" s="23">
        <v>3450</v>
      </c>
      <c r="D96" t="s">
        <v>17</v>
      </c>
      <c r="E96">
        <v>1</v>
      </c>
      <c r="H96" s="3" t="s">
        <v>8461</v>
      </c>
      <c r="I96" s="3" t="str">
        <f>+IFERROR(VLOOKUP(C96,'Mov 2023 hasta ahora '!$C$2:$D$314,2,FALSE),"NO")</f>
        <v>NO</v>
      </c>
      <c r="J96" t="s">
        <v>21</v>
      </c>
      <c r="K96">
        <v>5</v>
      </c>
      <c r="L96" t="s">
        <v>19</v>
      </c>
      <c r="M96">
        <v>18</v>
      </c>
      <c r="O96" s="26" t="s">
        <v>8458</v>
      </c>
      <c r="P96" s="25" t="s">
        <v>181</v>
      </c>
      <c r="Q96" s="25">
        <v>3867</v>
      </c>
    </row>
    <row r="97" spans="1:19" hidden="1">
      <c r="A97" s="23" t="s">
        <v>208</v>
      </c>
      <c r="B97" s="23" t="s">
        <v>209</v>
      </c>
      <c r="C97" s="23">
        <v>3459</v>
      </c>
      <c r="D97" t="s">
        <v>17</v>
      </c>
      <c r="E97">
        <v>1</v>
      </c>
      <c r="H97" s="3" t="s">
        <v>8461</v>
      </c>
      <c r="I97" s="3" t="str">
        <f>+IFERROR(VLOOKUP(C97,'Mov 2023 hasta ahora '!$C$2:$D$314,2,FALSE),"NO")</f>
        <v>NO</v>
      </c>
      <c r="J97" t="s">
        <v>21</v>
      </c>
      <c r="K97">
        <v>5</v>
      </c>
      <c r="L97" t="s">
        <v>19</v>
      </c>
      <c r="M97">
        <v>18</v>
      </c>
      <c r="O97" s="26" t="s">
        <v>8443</v>
      </c>
      <c r="P97" s="25" t="s">
        <v>145</v>
      </c>
      <c r="Q97" s="25">
        <v>14</v>
      </c>
    </row>
    <row r="98" spans="1:19" hidden="1">
      <c r="A98" s="23" t="s">
        <v>210</v>
      </c>
      <c r="B98" s="23" t="s">
        <v>211</v>
      </c>
      <c r="C98" s="23">
        <v>3460</v>
      </c>
      <c r="D98" t="s">
        <v>17</v>
      </c>
      <c r="E98">
        <v>1</v>
      </c>
      <c r="H98" s="3" t="s">
        <v>8461</v>
      </c>
      <c r="I98" s="3" t="str">
        <f>+IFERROR(VLOOKUP(C98,'Mov 2023 hasta ahora '!$C$2:$D$314,2,FALSE),"NO")</f>
        <v>NO</v>
      </c>
      <c r="J98" t="s">
        <v>21</v>
      </c>
      <c r="K98">
        <v>5</v>
      </c>
      <c r="L98" t="s">
        <v>19</v>
      </c>
      <c r="M98">
        <v>18</v>
      </c>
      <c r="O98" s="26" t="s">
        <v>8443</v>
      </c>
      <c r="P98" s="25" t="s">
        <v>145</v>
      </c>
      <c r="Q98" s="25">
        <v>14</v>
      </c>
    </row>
    <row r="99" spans="1:19" hidden="1">
      <c r="A99" s="23" t="s">
        <v>212</v>
      </c>
      <c r="B99" s="23" t="s">
        <v>213</v>
      </c>
      <c r="C99" s="23">
        <v>3473</v>
      </c>
      <c r="D99" t="s">
        <v>17</v>
      </c>
      <c r="E99">
        <v>1</v>
      </c>
      <c r="H99" s="3" t="s">
        <v>8461</v>
      </c>
      <c r="I99" s="3" t="str">
        <f>+IFERROR(VLOOKUP(C99,'Mov 2023 hasta ahora '!$C$2:$D$314,2,FALSE),"NO")</f>
        <v>NO</v>
      </c>
      <c r="J99" t="s">
        <v>21</v>
      </c>
      <c r="K99">
        <v>5</v>
      </c>
      <c r="L99" t="s">
        <v>19</v>
      </c>
      <c r="M99">
        <v>18</v>
      </c>
      <c r="O99" s="26" t="s">
        <v>8459</v>
      </c>
      <c r="P99" s="25" t="s">
        <v>183</v>
      </c>
      <c r="Q99" s="25">
        <v>3868</v>
      </c>
    </row>
    <row r="100" spans="1:19" hidden="1">
      <c r="A100" s="23" t="s">
        <v>214</v>
      </c>
      <c r="B100" s="23" t="s">
        <v>215</v>
      </c>
      <c r="C100" s="23">
        <v>3483</v>
      </c>
      <c r="E100">
        <v>1</v>
      </c>
      <c r="H100" s="3" t="s">
        <v>8461</v>
      </c>
      <c r="I100" s="3" t="str">
        <f>+IFERROR(VLOOKUP(C100,'Mov 2023 hasta ahora '!$C$2:$D$314,2,FALSE),"NO")</f>
        <v>NO</v>
      </c>
      <c r="J100" t="s">
        <v>21</v>
      </c>
      <c r="K100">
        <v>5</v>
      </c>
      <c r="L100" t="s">
        <v>19</v>
      </c>
      <c r="M100">
        <v>18</v>
      </c>
      <c r="O100" s="26" t="s">
        <v>8458</v>
      </c>
      <c r="P100" s="25" t="s">
        <v>181</v>
      </c>
      <c r="Q100" s="25">
        <v>3867</v>
      </c>
    </row>
    <row r="101" spans="1:19" hidden="1">
      <c r="A101" s="23" t="s">
        <v>216</v>
      </c>
      <c r="B101" s="23" t="s">
        <v>217</v>
      </c>
      <c r="C101" s="23">
        <v>3488</v>
      </c>
      <c r="E101">
        <v>1</v>
      </c>
      <c r="H101" s="3" t="s">
        <v>8461</v>
      </c>
      <c r="I101" s="3" t="str">
        <f>+IFERROR(VLOOKUP(C101,'Mov 2023 hasta ahora '!$C$2:$D$314,2,FALSE),"NO")</f>
        <v>NO</v>
      </c>
      <c r="J101" t="s">
        <v>21</v>
      </c>
      <c r="K101">
        <v>5</v>
      </c>
      <c r="L101" t="s">
        <v>19</v>
      </c>
      <c r="M101">
        <v>18</v>
      </c>
      <c r="O101" s="26" t="s">
        <v>8457</v>
      </c>
      <c r="P101" s="25" t="s">
        <v>177</v>
      </c>
      <c r="Q101" s="25">
        <v>3866</v>
      </c>
    </row>
    <row r="102" spans="1:19" hidden="1">
      <c r="A102" s="23" t="s">
        <v>218</v>
      </c>
      <c r="B102" s="23" t="s">
        <v>219</v>
      </c>
      <c r="C102" s="23">
        <v>3491</v>
      </c>
      <c r="E102">
        <v>1</v>
      </c>
      <c r="H102" s="3" t="s">
        <v>8461</v>
      </c>
      <c r="I102" s="3">
        <f>+IFERROR(VLOOKUP(C102,'Mov 2023 hasta ahora '!$C$2:$D$314,2,FALSE),"NO")</f>
        <v>6</v>
      </c>
      <c r="J102" t="s">
        <v>21</v>
      </c>
      <c r="K102">
        <v>5</v>
      </c>
      <c r="L102" t="s">
        <v>19</v>
      </c>
      <c r="M102">
        <v>18</v>
      </c>
      <c r="O102" s="26" t="s">
        <v>8462</v>
      </c>
      <c r="P102" s="25" t="s">
        <v>8466</v>
      </c>
      <c r="Q102" s="25">
        <v>1822</v>
      </c>
    </row>
    <row r="103" spans="1:19" hidden="1">
      <c r="A103" s="23" t="s">
        <v>220</v>
      </c>
      <c r="B103" s="23" t="s">
        <v>221</v>
      </c>
      <c r="C103" s="23">
        <v>3591</v>
      </c>
      <c r="D103" t="s">
        <v>17</v>
      </c>
      <c r="E103">
        <v>1</v>
      </c>
      <c r="H103" s="3" t="s">
        <v>8461</v>
      </c>
      <c r="I103" s="3">
        <f>+IFERROR(VLOOKUP(C103,'Mov 2023 hasta ahora '!$C$2:$D$314,2,FALSE),"NO")</f>
        <v>28</v>
      </c>
      <c r="J103" t="s">
        <v>21</v>
      </c>
      <c r="K103">
        <v>5</v>
      </c>
      <c r="L103" t="s">
        <v>19</v>
      </c>
      <c r="M103">
        <v>18</v>
      </c>
      <c r="O103" s="26" t="s">
        <v>8462</v>
      </c>
      <c r="P103" s="25" t="s">
        <v>8466</v>
      </c>
      <c r="Q103" s="25">
        <v>1822</v>
      </c>
    </row>
    <row r="104" spans="1:19" hidden="1">
      <c r="A104" s="23" t="s">
        <v>222</v>
      </c>
      <c r="B104" s="23" t="s">
        <v>223</v>
      </c>
      <c r="C104" s="23">
        <v>3691</v>
      </c>
      <c r="D104" t="s">
        <v>17</v>
      </c>
      <c r="E104">
        <v>1</v>
      </c>
      <c r="H104" s="6">
        <v>-25106</v>
      </c>
      <c r="I104" s="3">
        <f>+IFERROR(VLOOKUP(C104,'Mov 2023 hasta ahora '!$C$2:$D$314,2,FALSE),"NO")</f>
        <v>131</v>
      </c>
      <c r="J104" t="s">
        <v>8467</v>
      </c>
      <c r="K104">
        <v>5</v>
      </c>
      <c r="L104" t="s">
        <v>19</v>
      </c>
      <c r="M104">
        <v>18</v>
      </c>
      <c r="O104" s="26" t="s">
        <v>8462</v>
      </c>
      <c r="P104" s="25" t="s">
        <v>8466</v>
      </c>
      <c r="Q104" s="25">
        <v>1822</v>
      </c>
    </row>
    <row r="105" spans="1:19" hidden="1">
      <c r="A105" s="23" t="s">
        <v>224</v>
      </c>
      <c r="B105" s="23" t="s">
        <v>225</v>
      </c>
      <c r="C105" s="23">
        <v>3791</v>
      </c>
      <c r="E105">
        <v>1</v>
      </c>
      <c r="H105" s="6">
        <v>88414</v>
      </c>
      <c r="I105" s="3">
        <f>+IFERROR(VLOOKUP(C105,'Mov 2023 hasta ahora '!$C$2:$D$314,2,FALSE),"NO")</f>
        <v>109</v>
      </c>
      <c r="J105" t="s">
        <v>8467</v>
      </c>
      <c r="K105">
        <v>5</v>
      </c>
      <c r="L105" t="s">
        <v>19</v>
      </c>
      <c r="M105">
        <v>18</v>
      </c>
      <c r="O105" s="26" t="s">
        <v>8462</v>
      </c>
      <c r="P105" s="25" t="s">
        <v>8466</v>
      </c>
      <c r="Q105" s="25">
        <v>1822</v>
      </c>
    </row>
    <row r="106" spans="1:19" hidden="1">
      <c r="A106" s="23" t="s">
        <v>226</v>
      </c>
      <c r="B106" s="23" t="s">
        <v>227</v>
      </c>
      <c r="C106" s="23">
        <v>3848</v>
      </c>
      <c r="D106" t="s">
        <v>17</v>
      </c>
      <c r="E106">
        <v>1</v>
      </c>
      <c r="H106" s="6">
        <v>686400</v>
      </c>
      <c r="I106" s="3">
        <f>+IFERROR(VLOOKUP(C106,'Mov 2023 hasta ahora '!$C$2:$D$314,2,FALSE),"NO")</f>
        <v>128</v>
      </c>
      <c r="J106" t="s">
        <v>8467</v>
      </c>
      <c r="K106">
        <v>5</v>
      </c>
      <c r="L106" t="s">
        <v>19</v>
      </c>
      <c r="M106">
        <v>18</v>
      </c>
      <c r="O106" s="26" t="s">
        <v>8462</v>
      </c>
      <c r="P106" s="25" t="s">
        <v>8466</v>
      </c>
      <c r="Q106" s="25">
        <v>1822</v>
      </c>
    </row>
    <row r="107" spans="1:19" hidden="1">
      <c r="A107" s="23" t="s">
        <v>228</v>
      </c>
      <c r="B107" s="23" t="s">
        <v>229</v>
      </c>
      <c r="C107" s="23">
        <v>3866</v>
      </c>
      <c r="D107" t="s">
        <v>17</v>
      </c>
      <c r="E107">
        <v>1</v>
      </c>
      <c r="H107" s="6">
        <v>67153780</v>
      </c>
      <c r="I107" s="3">
        <f>+IFERROR(VLOOKUP(C107,'Mov 2023 hasta ahora '!$C$2:$D$314,2,FALSE),"NO")</f>
        <v>272</v>
      </c>
      <c r="J107" t="s">
        <v>8468</v>
      </c>
      <c r="K107">
        <v>5</v>
      </c>
      <c r="L107" t="s">
        <v>19</v>
      </c>
      <c r="M107">
        <v>18</v>
      </c>
      <c r="O107" s="26" t="s">
        <v>8457</v>
      </c>
      <c r="P107" s="25" t="s">
        <v>177</v>
      </c>
      <c r="Q107" s="25">
        <v>3866</v>
      </c>
    </row>
    <row r="108" spans="1:19" hidden="1">
      <c r="A108" s="23" t="s">
        <v>230</v>
      </c>
      <c r="B108" s="23" t="s">
        <v>231</v>
      </c>
      <c r="C108" s="23">
        <v>3867</v>
      </c>
      <c r="D108" t="s">
        <v>17</v>
      </c>
      <c r="E108">
        <v>1</v>
      </c>
      <c r="H108" s="6">
        <v>55699000</v>
      </c>
      <c r="I108" s="3">
        <f>+IFERROR(VLOOKUP(C108,'Mov 2023 hasta ahora '!$C$2:$D$314,2,FALSE),"NO")</f>
        <v>212</v>
      </c>
      <c r="J108" t="s">
        <v>8469</v>
      </c>
      <c r="K108">
        <v>5</v>
      </c>
      <c r="L108" t="s">
        <v>19</v>
      </c>
      <c r="M108">
        <v>18</v>
      </c>
      <c r="O108" s="26" t="s">
        <v>8458</v>
      </c>
      <c r="P108" s="25" t="s">
        <v>181</v>
      </c>
      <c r="Q108" s="25">
        <v>3867</v>
      </c>
    </row>
    <row r="109" spans="1:19" hidden="1">
      <c r="A109" s="23" t="s">
        <v>232</v>
      </c>
      <c r="B109" s="23" t="s">
        <v>233</v>
      </c>
      <c r="C109" s="23">
        <v>3868</v>
      </c>
      <c r="D109" t="s">
        <v>17</v>
      </c>
      <c r="E109">
        <v>1</v>
      </c>
      <c r="H109" s="6">
        <v>0</v>
      </c>
      <c r="I109" s="3">
        <f>+IFERROR(VLOOKUP(C109,'Mov 2023 hasta ahora '!$C$2:$D$314,2,FALSE),"NO")</f>
        <v>68</v>
      </c>
      <c r="J109" t="s">
        <v>8470</v>
      </c>
      <c r="K109">
        <v>5</v>
      </c>
      <c r="L109" t="s">
        <v>19</v>
      </c>
      <c r="M109">
        <v>18</v>
      </c>
      <c r="O109" s="26" t="s">
        <v>8459</v>
      </c>
      <c r="P109" s="25" t="s">
        <v>183</v>
      </c>
      <c r="Q109" s="25">
        <v>3868</v>
      </c>
    </row>
    <row r="110" spans="1:19" hidden="1">
      <c r="A110" t="s">
        <v>234</v>
      </c>
      <c r="B110" t="s">
        <v>235</v>
      </c>
      <c r="D110" t="s">
        <v>17</v>
      </c>
      <c r="I110" s="3" t="str">
        <f>+IFERROR(VLOOKUP(C110,'Mov 2023 hasta ahora '!$C$2:$D$314,2,FALSE),"NO")</f>
        <v>NO</v>
      </c>
      <c r="J110" t="s">
        <v>21</v>
      </c>
      <c r="K110">
        <v>4</v>
      </c>
      <c r="L110" t="s">
        <v>19</v>
      </c>
      <c r="M110">
        <v>14</v>
      </c>
    </row>
    <row r="111" spans="1:19" hidden="1">
      <c r="A111" s="23" t="s">
        <v>236</v>
      </c>
      <c r="B111" s="23" t="s">
        <v>237</v>
      </c>
      <c r="C111" s="23">
        <v>16</v>
      </c>
      <c r="D111" t="s">
        <v>17</v>
      </c>
      <c r="E111">
        <v>1</v>
      </c>
      <c r="H111" s="6"/>
      <c r="I111" s="3" t="str">
        <f>+IFERROR(VLOOKUP(C111,'Mov 2023 hasta ahora '!$C$2:$D$314,2,FALSE),"NO")</f>
        <v>NO</v>
      </c>
      <c r="K111">
        <v>5</v>
      </c>
      <c r="L111" t="s">
        <v>19</v>
      </c>
      <c r="M111">
        <v>18</v>
      </c>
      <c r="O111" s="25" t="s">
        <v>8465</v>
      </c>
      <c r="P111" s="25" t="s">
        <v>8646</v>
      </c>
      <c r="Q111" s="25">
        <v>16</v>
      </c>
      <c r="R111" t="s">
        <v>17</v>
      </c>
      <c r="S111">
        <f>+E111</f>
        <v>1</v>
      </c>
    </row>
    <row r="112" spans="1:19" hidden="1">
      <c r="A112" s="23" t="s">
        <v>238</v>
      </c>
      <c r="B112" s="23" t="s">
        <v>239</v>
      </c>
      <c r="C112" s="23">
        <v>17</v>
      </c>
      <c r="D112" t="s">
        <v>17</v>
      </c>
      <c r="E112">
        <v>1</v>
      </c>
      <c r="I112" s="3">
        <f>+IFERROR(VLOOKUP(C112,'Mov 2023 hasta ahora '!$C$2:$D$314,2,FALSE),"NO")</f>
        <v>34</v>
      </c>
      <c r="K112">
        <v>5</v>
      </c>
      <c r="L112" t="s">
        <v>19</v>
      </c>
      <c r="M112">
        <v>18</v>
      </c>
      <c r="O112" s="25" t="s">
        <v>8472</v>
      </c>
      <c r="P112" s="25" t="s">
        <v>239</v>
      </c>
      <c r="Q112" s="25">
        <v>17</v>
      </c>
      <c r="R112" t="s">
        <v>17</v>
      </c>
      <c r="S112">
        <f>+E112</f>
        <v>1</v>
      </c>
    </row>
    <row r="113" spans="1:18" hidden="1">
      <c r="A113" t="s">
        <v>240</v>
      </c>
      <c r="B113" t="s">
        <v>241</v>
      </c>
      <c r="D113" t="s">
        <v>17</v>
      </c>
      <c r="I113" s="3" t="str">
        <f>+IFERROR(VLOOKUP(C113,'Mov 2023 hasta ahora '!$C$2:$D$314,2,FALSE),"NO")</f>
        <v>NO</v>
      </c>
      <c r="K113">
        <v>4</v>
      </c>
      <c r="L113" t="s">
        <v>19</v>
      </c>
      <c r="M113">
        <v>14</v>
      </c>
    </row>
    <row r="114" spans="1:18" hidden="1">
      <c r="A114" s="23" t="s">
        <v>242</v>
      </c>
      <c r="B114" s="23" t="s">
        <v>243</v>
      </c>
      <c r="C114" s="23">
        <v>18</v>
      </c>
      <c r="D114" t="s">
        <v>17</v>
      </c>
      <c r="I114" s="3" t="str">
        <f>+IFERROR(VLOOKUP(C114,'Mov 2023 hasta ahora '!$C$2:$D$314,2,FALSE),"NO")</f>
        <v>NO</v>
      </c>
      <c r="K114">
        <v>5</v>
      </c>
      <c r="L114" t="s">
        <v>19</v>
      </c>
      <c r="M114">
        <v>18</v>
      </c>
      <c r="O114" s="25" t="s">
        <v>8473</v>
      </c>
      <c r="P114" s="25" t="s">
        <v>8647</v>
      </c>
      <c r="Q114" s="25">
        <v>18</v>
      </c>
      <c r="R114" t="s">
        <v>17</v>
      </c>
    </row>
    <row r="115" spans="1:18" hidden="1">
      <c r="A115" t="s">
        <v>244</v>
      </c>
      <c r="B115" t="s">
        <v>245</v>
      </c>
      <c r="D115" t="s">
        <v>17</v>
      </c>
      <c r="I115" s="3" t="str">
        <f>+IFERROR(VLOOKUP(C115,'Mov 2023 hasta ahora '!$C$2:$D$314,2,FALSE),"NO")</f>
        <v>NO</v>
      </c>
      <c r="J115" t="s">
        <v>18</v>
      </c>
      <c r="K115">
        <v>3</v>
      </c>
      <c r="L115" t="s">
        <v>19</v>
      </c>
      <c r="M115">
        <v>10</v>
      </c>
    </row>
    <row r="116" spans="1:18" hidden="1">
      <c r="A116" t="s">
        <v>246</v>
      </c>
      <c r="B116" t="s">
        <v>247</v>
      </c>
      <c r="D116" t="s">
        <v>17</v>
      </c>
      <c r="I116" s="3" t="str">
        <f>+IFERROR(VLOOKUP(C116,'Mov 2023 hasta ahora '!$C$2:$D$314,2,FALSE),"NO")</f>
        <v>NO</v>
      </c>
      <c r="K116">
        <v>4</v>
      </c>
      <c r="L116" t="s">
        <v>19</v>
      </c>
      <c r="M116">
        <v>14</v>
      </c>
    </row>
    <row r="117" spans="1:18" hidden="1">
      <c r="A117" s="23" t="s">
        <v>248</v>
      </c>
      <c r="B117" s="23" t="s">
        <v>249</v>
      </c>
      <c r="C117" s="23">
        <v>19</v>
      </c>
      <c r="D117" t="s">
        <v>17</v>
      </c>
      <c r="I117" s="3">
        <f>+IFERROR(VLOOKUP(C117,'Mov 2023 hasta ahora '!$C$2:$D$314,2,FALSE),"NO")</f>
        <v>29</v>
      </c>
      <c r="K117">
        <v>5</v>
      </c>
      <c r="L117" t="s">
        <v>19</v>
      </c>
      <c r="M117">
        <v>18</v>
      </c>
      <c r="O117" s="25" t="s">
        <v>8476</v>
      </c>
      <c r="P117" s="25" t="s">
        <v>249</v>
      </c>
      <c r="Q117" s="25">
        <v>19</v>
      </c>
      <c r="R117" t="s">
        <v>17</v>
      </c>
    </row>
    <row r="118" spans="1:18" hidden="1">
      <c r="A118" s="23" t="s">
        <v>250</v>
      </c>
      <c r="B118" s="23" t="s">
        <v>251</v>
      </c>
      <c r="C118" s="23">
        <v>20</v>
      </c>
      <c r="D118" t="s">
        <v>17</v>
      </c>
      <c r="I118" s="3">
        <f>+IFERROR(VLOOKUP(C118,'Mov 2023 hasta ahora '!$C$2:$D$314,2,FALSE),"NO")</f>
        <v>150</v>
      </c>
      <c r="K118">
        <v>5</v>
      </c>
      <c r="L118" t="s">
        <v>19</v>
      </c>
      <c r="M118">
        <v>18</v>
      </c>
      <c r="O118" s="25" t="s">
        <v>8479</v>
      </c>
      <c r="P118" s="25" t="s">
        <v>251</v>
      </c>
      <c r="Q118" s="25">
        <v>20</v>
      </c>
      <c r="R118" t="s">
        <v>17</v>
      </c>
    </row>
    <row r="119" spans="1:18" hidden="1">
      <c r="A119" s="23" t="s">
        <v>252</v>
      </c>
      <c r="B119" s="23" t="s">
        <v>253</v>
      </c>
      <c r="C119" s="23">
        <v>21</v>
      </c>
      <c r="D119" t="s">
        <v>17</v>
      </c>
      <c r="I119" s="3">
        <f>+IFERROR(VLOOKUP(C119,'Mov 2023 hasta ahora '!$C$2:$D$314,2,FALSE),"NO")</f>
        <v>20</v>
      </c>
      <c r="K119">
        <v>5</v>
      </c>
      <c r="L119" t="s">
        <v>19</v>
      </c>
      <c r="M119">
        <v>18</v>
      </c>
      <c r="O119" s="25" t="s">
        <v>8480</v>
      </c>
      <c r="P119" s="25" t="s">
        <v>253</v>
      </c>
      <c r="Q119" s="25">
        <v>21</v>
      </c>
      <c r="R119" t="s">
        <v>17</v>
      </c>
    </row>
    <row r="120" spans="1:18" hidden="1">
      <c r="A120" s="23" t="s">
        <v>254</v>
      </c>
      <c r="B120" s="23" t="s">
        <v>255</v>
      </c>
      <c r="C120" s="23">
        <v>22</v>
      </c>
      <c r="D120" t="s">
        <v>17</v>
      </c>
      <c r="I120" s="3">
        <f>+IFERROR(VLOOKUP(C120,'Mov 2023 hasta ahora '!$C$2:$D$314,2,FALSE),"NO")</f>
        <v>4</v>
      </c>
      <c r="K120">
        <v>5</v>
      </c>
      <c r="L120" t="s">
        <v>19</v>
      </c>
      <c r="M120">
        <v>18</v>
      </c>
      <c r="O120" s="25" t="s">
        <v>8481</v>
      </c>
      <c r="P120" s="25" t="s">
        <v>255</v>
      </c>
      <c r="Q120" s="25">
        <v>22</v>
      </c>
      <c r="R120" t="s">
        <v>17</v>
      </c>
    </row>
    <row r="121" spans="1:18" hidden="1">
      <c r="A121" s="23" t="s">
        <v>256</v>
      </c>
      <c r="B121" s="23" t="s">
        <v>257</v>
      </c>
      <c r="C121" s="23">
        <v>23</v>
      </c>
      <c r="D121" t="s">
        <v>17</v>
      </c>
      <c r="I121" s="3">
        <f>+IFERROR(VLOOKUP(C121,'Mov 2023 hasta ahora '!$C$2:$D$314,2,FALSE),"NO")</f>
        <v>632</v>
      </c>
      <c r="K121">
        <v>5</v>
      </c>
      <c r="L121" t="s">
        <v>19</v>
      </c>
      <c r="M121">
        <v>18</v>
      </c>
      <c r="O121" s="25" t="s">
        <v>8482</v>
      </c>
      <c r="P121" s="25" t="s">
        <v>257</v>
      </c>
      <c r="Q121" s="25">
        <v>23</v>
      </c>
      <c r="R121" t="s">
        <v>17</v>
      </c>
    </row>
    <row r="122" spans="1:18" hidden="1">
      <c r="A122" s="23" t="s">
        <v>258</v>
      </c>
      <c r="B122" s="23" t="s">
        <v>259</v>
      </c>
      <c r="C122" s="23">
        <v>24</v>
      </c>
      <c r="D122" t="s">
        <v>17</v>
      </c>
      <c r="I122" s="3">
        <f>+IFERROR(VLOOKUP(C122,'Mov 2023 hasta ahora '!$C$2:$D$314,2,FALSE),"NO")</f>
        <v>2427</v>
      </c>
      <c r="K122">
        <v>5</v>
      </c>
      <c r="L122" t="s">
        <v>19</v>
      </c>
      <c r="M122">
        <v>18</v>
      </c>
      <c r="O122" s="25" t="s">
        <v>8483</v>
      </c>
      <c r="P122" s="25" t="s">
        <v>8648</v>
      </c>
      <c r="Q122" s="25">
        <v>24</v>
      </c>
      <c r="R122" t="s">
        <v>17</v>
      </c>
    </row>
    <row r="123" spans="1:18" hidden="1">
      <c r="A123" s="23" t="s">
        <v>260</v>
      </c>
      <c r="B123" s="23" t="s">
        <v>261</v>
      </c>
      <c r="C123" s="23">
        <v>25</v>
      </c>
      <c r="D123" t="s">
        <v>17</v>
      </c>
      <c r="I123" s="3">
        <f>+IFERROR(VLOOKUP(C123,'Mov 2023 hasta ahora '!$C$2:$D$314,2,FALSE),"NO")</f>
        <v>491</v>
      </c>
      <c r="K123">
        <v>5</v>
      </c>
      <c r="L123" t="s">
        <v>19</v>
      </c>
      <c r="M123">
        <v>18</v>
      </c>
      <c r="O123" s="25" t="s">
        <v>8484</v>
      </c>
      <c r="P123" s="25" t="s">
        <v>8649</v>
      </c>
      <c r="Q123" s="25">
        <v>25</v>
      </c>
      <c r="R123" t="s">
        <v>17</v>
      </c>
    </row>
    <row r="124" spans="1:18" hidden="1">
      <c r="A124" s="23" t="s">
        <v>262</v>
      </c>
      <c r="B124" s="23" t="s">
        <v>263</v>
      </c>
      <c r="C124" s="23">
        <v>26</v>
      </c>
      <c r="D124" t="s">
        <v>17</v>
      </c>
      <c r="I124" s="3">
        <f>+IFERROR(VLOOKUP(C124,'Mov 2023 hasta ahora '!$C$2:$D$314,2,FALSE),"NO")</f>
        <v>191</v>
      </c>
      <c r="K124">
        <v>5</v>
      </c>
      <c r="L124" t="s">
        <v>19</v>
      </c>
      <c r="M124">
        <v>18</v>
      </c>
      <c r="O124" s="25" t="s">
        <v>8485</v>
      </c>
      <c r="P124" s="25" t="s">
        <v>8650</v>
      </c>
      <c r="Q124" s="25">
        <v>26</v>
      </c>
      <c r="R124" t="s">
        <v>17</v>
      </c>
    </row>
    <row r="125" spans="1:18" hidden="1">
      <c r="A125" s="23" t="s">
        <v>264</v>
      </c>
      <c r="B125" s="23" t="s">
        <v>265</v>
      </c>
      <c r="C125" s="23">
        <v>27</v>
      </c>
      <c r="D125" t="s">
        <v>17</v>
      </c>
      <c r="I125" s="3">
        <f>+IFERROR(VLOOKUP(C125,'Mov 2023 hasta ahora '!$C$2:$D$314,2,FALSE),"NO")</f>
        <v>170</v>
      </c>
      <c r="K125">
        <v>5</v>
      </c>
      <c r="L125" t="s">
        <v>19</v>
      </c>
      <c r="M125">
        <v>18</v>
      </c>
      <c r="O125" s="25" t="s">
        <v>8486</v>
      </c>
      <c r="P125" s="25" t="s">
        <v>265</v>
      </c>
      <c r="Q125" s="25">
        <v>27</v>
      </c>
      <c r="R125" t="s">
        <v>17</v>
      </c>
    </row>
    <row r="126" spans="1:18" hidden="1">
      <c r="A126" s="23" t="s">
        <v>266</v>
      </c>
      <c r="B126" s="23" t="s">
        <v>267</v>
      </c>
      <c r="C126" s="23">
        <v>28</v>
      </c>
      <c r="D126" t="s">
        <v>17</v>
      </c>
      <c r="I126" s="3" t="str">
        <f>+IFERROR(VLOOKUP(C126,'Mov 2023 hasta ahora '!$C$2:$D$314,2,FALSE),"NO")</f>
        <v>NO</v>
      </c>
      <c r="K126">
        <v>5</v>
      </c>
      <c r="L126" t="s">
        <v>19</v>
      </c>
      <c r="M126">
        <v>18</v>
      </c>
      <c r="O126" s="25" t="s">
        <v>8487</v>
      </c>
      <c r="P126" s="25" t="s">
        <v>267</v>
      </c>
      <c r="Q126" s="25">
        <v>28</v>
      </c>
      <c r="R126" t="s">
        <v>17</v>
      </c>
    </row>
    <row r="127" spans="1:18" hidden="1">
      <c r="A127" s="23" t="s">
        <v>268</v>
      </c>
      <c r="B127" s="23" t="s">
        <v>269</v>
      </c>
      <c r="C127" s="23">
        <v>29</v>
      </c>
      <c r="D127" t="s">
        <v>17</v>
      </c>
      <c r="I127" s="3">
        <f>+IFERROR(VLOOKUP(C127,'Mov 2023 hasta ahora '!$C$2:$D$314,2,FALSE),"NO")</f>
        <v>374</v>
      </c>
      <c r="K127">
        <v>5</v>
      </c>
      <c r="L127" t="s">
        <v>19</v>
      </c>
      <c r="M127">
        <v>18</v>
      </c>
      <c r="O127" s="25" t="s">
        <v>8488</v>
      </c>
      <c r="P127" s="25" t="s">
        <v>269</v>
      </c>
      <c r="Q127" s="25">
        <v>29</v>
      </c>
      <c r="R127" t="s">
        <v>17</v>
      </c>
    </row>
    <row r="128" spans="1:18" hidden="1">
      <c r="A128" s="23" t="s">
        <v>270</v>
      </c>
      <c r="B128" s="23" t="s">
        <v>271</v>
      </c>
      <c r="C128" s="23">
        <v>30</v>
      </c>
      <c r="D128" t="s">
        <v>17</v>
      </c>
      <c r="I128" s="3">
        <f>+IFERROR(VLOOKUP(C128,'Mov 2023 hasta ahora '!$C$2:$D$314,2,FALSE),"NO")</f>
        <v>1548</v>
      </c>
      <c r="K128">
        <v>5</v>
      </c>
      <c r="L128" t="s">
        <v>19</v>
      </c>
      <c r="M128">
        <v>18</v>
      </c>
      <c r="O128" s="25" t="s">
        <v>8489</v>
      </c>
      <c r="P128" s="25" t="s">
        <v>271</v>
      </c>
      <c r="Q128" s="25">
        <v>30</v>
      </c>
      <c r="R128" t="s">
        <v>17</v>
      </c>
    </row>
    <row r="129" spans="1:18" hidden="1">
      <c r="A129" s="23" t="s">
        <v>272</v>
      </c>
      <c r="B129" s="23" t="s">
        <v>273</v>
      </c>
      <c r="C129" s="23">
        <v>31</v>
      </c>
      <c r="D129" t="s">
        <v>17</v>
      </c>
      <c r="H129" s="6">
        <v>6804.4</v>
      </c>
      <c r="I129" s="3" t="str">
        <f>+IFERROR(VLOOKUP(C129,'Mov 2023 hasta ahora '!$C$2:$D$314,2,FALSE),"NO")</f>
        <v>NO</v>
      </c>
      <c r="J129" t="s">
        <v>21</v>
      </c>
      <c r="K129">
        <v>5</v>
      </c>
      <c r="L129" t="s">
        <v>19</v>
      </c>
      <c r="M129">
        <v>18</v>
      </c>
      <c r="O129" s="26" t="s">
        <v>8492</v>
      </c>
      <c r="P129" s="25" t="s">
        <v>8652</v>
      </c>
      <c r="Q129" s="25">
        <v>1387</v>
      </c>
      <c r="R129" t="s">
        <v>17</v>
      </c>
    </row>
    <row r="130" spans="1:18" hidden="1">
      <c r="A130" s="23" t="s">
        <v>274</v>
      </c>
      <c r="B130" s="23" t="s">
        <v>275</v>
      </c>
      <c r="C130" s="23">
        <v>32</v>
      </c>
      <c r="D130" t="s">
        <v>17</v>
      </c>
      <c r="H130" s="6">
        <v>54325.05</v>
      </c>
      <c r="I130" s="3" t="str">
        <f>+IFERROR(VLOOKUP(C130,'Mov 2023 hasta ahora '!$C$2:$D$314,2,FALSE),"NO")</f>
        <v>NO</v>
      </c>
      <c r="J130" t="s">
        <v>21</v>
      </c>
      <c r="K130">
        <v>5</v>
      </c>
      <c r="L130" t="s">
        <v>19</v>
      </c>
      <c r="M130">
        <v>18</v>
      </c>
      <c r="O130" s="26" t="s">
        <v>8492</v>
      </c>
      <c r="P130" s="25" t="s">
        <v>8652</v>
      </c>
      <c r="Q130" s="25">
        <v>1387</v>
      </c>
      <c r="R130" t="s">
        <v>17</v>
      </c>
    </row>
    <row r="131" spans="1:18" hidden="1">
      <c r="A131" s="23" t="s">
        <v>276</v>
      </c>
      <c r="B131" s="23" t="s">
        <v>277</v>
      </c>
      <c r="C131" s="23">
        <v>33</v>
      </c>
      <c r="D131" t="s">
        <v>17</v>
      </c>
      <c r="I131" s="3">
        <f>+IFERROR(VLOOKUP(C131,'Mov 2023 hasta ahora '!$C$2:$D$314,2,FALSE),"NO")</f>
        <v>205</v>
      </c>
      <c r="K131">
        <v>5</v>
      </c>
      <c r="L131" t="s">
        <v>19</v>
      </c>
      <c r="M131">
        <v>18</v>
      </c>
      <c r="O131" s="25" t="s">
        <v>8490</v>
      </c>
      <c r="P131" s="25" t="s">
        <v>8651</v>
      </c>
      <c r="Q131" s="25">
        <v>33</v>
      </c>
      <c r="R131" t="s">
        <v>17</v>
      </c>
    </row>
    <row r="132" spans="1:18" hidden="1">
      <c r="A132" s="23" t="s">
        <v>278</v>
      </c>
      <c r="B132" s="23" t="s">
        <v>279</v>
      </c>
      <c r="C132" s="23">
        <v>34</v>
      </c>
      <c r="D132" t="s">
        <v>17</v>
      </c>
      <c r="H132" s="3" t="str">
        <f>+IFERROR(VLOOKUP(B132,'Mov 2023 hasta ahora '!$C$2:$D$314,2,FALSE),"NO")</f>
        <v>NO</v>
      </c>
      <c r="I132" s="3" t="str">
        <f>+IFERROR(VLOOKUP(C132,'Mov 2023 hasta ahora '!$C$2:$D$314,2,FALSE),"NO")</f>
        <v>NO</v>
      </c>
      <c r="J132" t="s">
        <v>21</v>
      </c>
      <c r="K132">
        <v>5</v>
      </c>
      <c r="L132" t="s">
        <v>19</v>
      </c>
      <c r="M132">
        <v>18</v>
      </c>
      <c r="O132" s="26" t="s">
        <v>8491</v>
      </c>
      <c r="P132" s="25" t="s">
        <v>283</v>
      </c>
      <c r="Q132" s="25">
        <v>37</v>
      </c>
    </row>
    <row r="133" spans="1:18" hidden="1">
      <c r="A133" s="23" t="s">
        <v>280</v>
      </c>
      <c r="B133" s="23" t="s">
        <v>281</v>
      </c>
      <c r="C133" s="23">
        <v>36</v>
      </c>
      <c r="D133" t="s">
        <v>17</v>
      </c>
      <c r="H133" s="3" t="str">
        <f>+IFERROR(VLOOKUP(B133,'Mov 2023 hasta ahora '!$C$2:$D$314,2,FALSE),"NO")</f>
        <v>NO</v>
      </c>
      <c r="I133" s="3" t="str">
        <f>+IFERROR(VLOOKUP(C133,'Mov 2023 hasta ahora '!$C$2:$D$314,2,FALSE),"NO")</f>
        <v>NO</v>
      </c>
      <c r="J133" t="s">
        <v>21</v>
      </c>
      <c r="K133">
        <v>5</v>
      </c>
      <c r="L133" t="s">
        <v>19</v>
      </c>
      <c r="M133">
        <v>18</v>
      </c>
      <c r="O133" s="26" t="s">
        <v>8491</v>
      </c>
      <c r="P133" s="25" t="s">
        <v>283</v>
      </c>
      <c r="Q133" s="25">
        <v>37</v>
      </c>
    </row>
    <row r="134" spans="1:18" hidden="1">
      <c r="A134" s="23" t="s">
        <v>282</v>
      </c>
      <c r="B134" s="23" t="s">
        <v>283</v>
      </c>
      <c r="C134" s="23">
        <v>37</v>
      </c>
      <c r="D134" t="s">
        <v>17</v>
      </c>
      <c r="I134" s="3">
        <f>+IFERROR(VLOOKUP(C134,'Mov 2023 hasta ahora '!$C$2:$D$314,2,FALSE),"NO")</f>
        <v>17</v>
      </c>
      <c r="K134">
        <v>5</v>
      </c>
      <c r="L134" t="s">
        <v>19</v>
      </c>
      <c r="M134">
        <v>18</v>
      </c>
      <c r="O134" s="25" t="s">
        <v>8491</v>
      </c>
      <c r="P134" s="25" t="s">
        <v>283</v>
      </c>
      <c r="Q134" s="25">
        <v>37</v>
      </c>
      <c r="R134" t="s">
        <v>17</v>
      </c>
    </row>
    <row r="135" spans="1:18" hidden="1">
      <c r="A135" s="23" t="s">
        <v>284</v>
      </c>
      <c r="B135" s="23" t="s">
        <v>285</v>
      </c>
      <c r="C135" s="23">
        <v>1387</v>
      </c>
      <c r="D135" t="s">
        <v>17</v>
      </c>
      <c r="I135" s="3">
        <f>+IFERROR(VLOOKUP(C135,'Mov 2023 hasta ahora '!$C$2:$D$314,2,FALSE),"NO")</f>
        <v>179</v>
      </c>
      <c r="K135">
        <v>5</v>
      </c>
      <c r="L135" t="s">
        <v>19</v>
      </c>
      <c r="M135">
        <v>18</v>
      </c>
      <c r="O135" s="25" t="s">
        <v>8492</v>
      </c>
      <c r="P135" s="25" t="s">
        <v>8652</v>
      </c>
      <c r="Q135" s="25">
        <v>1387</v>
      </c>
      <c r="R135" t="s">
        <v>17</v>
      </c>
    </row>
    <row r="136" spans="1:18" hidden="1">
      <c r="A136" s="23" t="s">
        <v>286</v>
      </c>
      <c r="B136" s="23" t="s">
        <v>287</v>
      </c>
      <c r="C136" s="23">
        <v>1821</v>
      </c>
      <c r="I136" s="3" t="str">
        <f>+IFERROR(VLOOKUP(C136,'Mov 2023 hasta ahora '!$C$2:$D$314,2,FALSE),"NO")</f>
        <v>NO</v>
      </c>
      <c r="K136">
        <v>5</v>
      </c>
      <c r="L136" t="s">
        <v>19</v>
      </c>
      <c r="M136">
        <v>18</v>
      </c>
      <c r="O136" s="25" t="s">
        <v>8493</v>
      </c>
      <c r="P136" s="25" t="s">
        <v>287</v>
      </c>
      <c r="Q136" s="25">
        <v>1821</v>
      </c>
      <c r="R136" t="s">
        <v>17</v>
      </c>
    </row>
    <row r="137" spans="1:18" hidden="1">
      <c r="A137" s="23" t="s">
        <v>288</v>
      </c>
      <c r="B137" s="23" t="s">
        <v>289</v>
      </c>
      <c r="C137" s="23">
        <v>1888</v>
      </c>
      <c r="D137" t="s">
        <v>17</v>
      </c>
      <c r="I137" s="3">
        <f>+IFERROR(VLOOKUP(C137,'Mov 2023 hasta ahora '!$C$2:$D$314,2,FALSE),"NO")</f>
        <v>266</v>
      </c>
      <c r="K137">
        <v>5</v>
      </c>
      <c r="L137" t="s">
        <v>19</v>
      </c>
      <c r="M137">
        <v>18</v>
      </c>
      <c r="O137" s="25" t="s">
        <v>8494</v>
      </c>
      <c r="P137" s="25" t="s">
        <v>289</v>
      </c>
      <c r="Q137" s="25">
        <v>1888</v>
      </c>
      <c r="R137" t="s">
        <v>17</v>
      </c>
    </row>
    <row r="138" spans="1:18" hidden="1">
      <c r="A138" s="23" t="s">
        <v>290</v>
      </c>
      <c r="B138" s="23" t="s">
        <v>291</v>
      </c>
      <c r="C138" s="23">
        <v>1971</v>
      </c>
      <c r="D138" t="s">
        <v>17</v>
      </c>
      <c r="H138" s="6">
        <v>-47118.400000000001</v>
      </c>
      <c r="I138" s="3" t="str">
        <f>+IFERROR(VLOOKUP(C138,'Mov 2023 hasta ahora '!$C$2:$D$314,2,FALSE),"NO")</f>
        <v>NO</v>
      </c>
      <c r="J138" t="s">
        <v>21</v>
      </c>
      <c r="K138">
        <v>5</v>
      </c>
      <c r="L138" t="s">
        <v>19</v>
      </c>
      <c r="M138">
        <v>18</v>
      </c>
      <c r="O138" s="26" t="s">
        <v>8492</v>
      </c>
      <c r="P138" s="25" t="s">
        <v>8652</v>
      </c>
      <c r="Q138" s="25">
        <v>1387</v>
      </c>
      <c r="R138" t="s">
        <v>17</v>
      </c>
    </row>
    <row r="139" spans="1:18" hidden="1">
      <c r="A139" s="23" t="s">
        <v>292</v>
      </c>
      <c r="B139" s="23" t="s">
        <v>293</v>
      </c>
      <c r="C139" s="23">
        <v>2026</v>
      </c>
      <c r="D139" t="s">
        <v>17</v>
      </c>
      <c r="I139" s="3" t="str">
        <f>+IFERROR(VLOOKUP(C139,'Mov 2023 hasta ahora '!$C$2:$D$314,2,FALSE),"NO")</f>
        <v>NO</v>
      </c>
      <c r="K139">
        <v>5</v>
      </c>
      <c r="L139" t="s">
        <v>19</v>
      </c>
      <c r="M139">
        <v>18</v>
      </c>
      <c r="O139" s="25" t="s">
        <v>8495</v>
      </c>
      <c r="P139" s="25" t="s">
        <v>8655</v>
      </c>
      <c r="Q139" s="25">
        <v>2026</v>
      </c>
      <c r="R139" t="s">
        <v>17</v>
      </c>
    </row>
    <row r="140" spans="1:18" hidden="1">
      <c r="A140" s="23" t="s">
        <v>294</v>
      </c>
      <c r="B140" s="23" t="s">
        <v>295</v>
      </c>
      <c r="C140" s="23">
        <v>2120</v>
      </c>
      <c r="D140" t="s">
        <v>17</v>
      </c>
      <c r="I140" s="3">
        <f>+IFERROR(VLOOKUP(C140,'Mov 2023 hasta ahora '!$C$2:$D$314,2,FALSE),"NO")</f>
        <v>207</v>
      </c>
      <c r="K140">
        <v>5</v>
      </c>
      <c r="L140" t="s">
        <v>19</v>
      </c>
      <c r="M140">
        <v>18</v>
      </c>
      <c r="O140" s="25" t="s">
        <v>8496</v>
      </c>
      <c r="P140" s="25" t="s">
        <v>8654</v>
      </c>
      <c r="Q140" s="25">
        <v>2120</v>
      </c>
      <c r="R140" t="s">
        <v>17</v>
      </c>
    </row>
    <row r="141" spans="1:18" hidden="1">
      <c r="A141" s="23" t="s">
        <v>296</v>
      </c>
      <c r="B141" s="23" t="s">
        <v>297</v>
      </c>
      <c r="C141" s="23">
        <v>2121</v>
      </c>
      <c r="D141" t="s">
        <v>17</v>
      </c>
      <c r="I141" s="3">
        <f>+IFERROR(VLOOKUP(C141,'Mov 2023 hasta ahora '!$C$2:$D$314,2,FALSE),"NO")</f>
        <v>40</v>
      </c>
      <c r="K141">
        <v>5</v>
      </c>
      <c r="L141" t="s">
        <v>19</v>
      </c>
      <c r="M141">
        <v>18</v>
      </c>
      <c r="O141" s="25" t="s">
        <v>8497</v>
      </c>
      <c r="P141" s="25" t="s">
        <v>8653</v>
      </c>
      <c r="Q141" s="25">
        <v>2121</v>
      </c>
      <c r="R141" t="s">
        <v>17</v>
      </c>
    </row>
    <row r="142" spans="1:18" hidden="1">
      <c r="A142" s="23" t="s">
        <v>298</v>
      </c>
      <c r="B142" s="23" t="s">
        <v>299</v>
      </c>
      <c r="C142" s="23">
        <v>2131</v>
      </c>
      <c r="D142" t="s">
        <v>17</v>
      </c>
      <c r="H142" s="3" t="s">
        <v>8461</v>
      </c>
      <c r="I142" s="3" t="str">
        <f>+IFERROR(VLOOKUP(C142,'Mov 2023 hasta ahora '!$C$2:$D$314,2,FALSE),"NO")</f>
        <v>NO</v>
      </c>
      <c r="J142" t="s">
        <v>21</v>
      </c>
      <c r="K142">
        <v>5</v>
      </c>
      <c r="L142" t="s">
        <v>19</v>
      </c>
      <c r="M142">
        <v>18</v>
      </c>
      <c r="O142" s="26" t="s">
        <v>8495</v>
      </c>
      <c r="P142" s="25" t="s">
        <v>8655</v>
      </c>
      <c r="Q142" s="25">
        <v>2026</v>
      </c>
    </row>
    <row r="143" spans="1:18" hidden="1">
      <c r="A143" s="23" t="s">
        <v>300</v>
      </c>
      <c r="B143" s="23" t="s">
        <v>301</v>
      </c>
      <c r="C143" s="23">
        <v>3872</v>
      </c>
      <c r="D143" t="s">
        <v>17</v>
      </c>
      <c r="I143" s="3">
        <f>+IFERROR(VLOOKUP(C143,'Mov 2023 hasta ahora '!$C$2:$D$314,2,FALSE),"NO")</f>
        <v>5</v>
      </c>
      <c r="K143">
        <v>5</v>
      </c>
      <c r="L143" t="s">
        <v>19</v>
      </c>
      <c r="M143">
        <v>18</v>
      </c>
      <c r="O143" s="25" t="s">
        <v>8498</v>
      </c>
      <c r="P143" s="25" t="s">
        <v>301</v>
      </c>
      <c r="Q143" s="25">
        <v>3872</v>
      </c>
      <c r="R143" t="s">
        <v>17</v>
      </c>
    </row>
    <row r="144" spans="1:18" hidden="1">
      <c r="A144" s="23" t="s">
        <v>302</v>
      </c>
      <c r="B144" s="23" t="s">
        <v>303</v>
      </c>
      <c r="C144" s="23">
        <v>3808</v>
      </c>
      <c r="D144" t="s">
        <v>17</v>
      </c>
      <c r="I144" s="3">
        <f>+IFERROR(VLOOKUP(C144,'Mov 2023 hasta ahora '!$C$2:$D$314,2,FALSE),"NO")</f>
        <v>37</v>
      </c>
      <c r="K144">
        <v>5</v>
      </c>
      <c r="L144" t="s">
        <v>19</v>
      </c>
      <c r="M144">
        <v>18</v>
      </c>
      <c r="O144" s="25" t="s">
        <v>8499</v>
      </c>
      <c r="P144" s="25" t="s">
        <v>303</v>
      </c>
      <c r="Q144" s="25">
        <v>3808</v>
      </c>
      <c r="R144" t="s">
        <v>17</v>
      </c>
    </row>
    <row r="145" spans="1:19" hidden="1">
      <c r="A145" t="s">
        <v>304</v>
      </c>
      <c r="B145" t="s">
        <v>305</v>
      </c>
      <c r="D145" t="s">
        <v>17</v>
      </c>
      <c r="I145" s="3" t="str">
        <f>+IFERROR(VLOOKUP(C145,'Mov 2023 hasta ahora '!$C$2:$D$314,2,FALSE),"NO")</f>
        <v>NO</v>
      </c>
      <c r="K145">
        <v>4</v>
      </c>
      <c r="L145" t="s">
        <v>19</v>
      </c>
      <c r="M145">
        <v>14</v>
      </c>
    </row>
    <row r="146" spans="1:19" hidden="1">
      <c r="A146" s="23" t="s">
        <v>306</v>
      </c>
      <c r="B146" s="23" t="s">
        <v>307</v>
      </c>
      <c r="C146" s="23">
        <v>74</v>
      </c>
      <c r="D146" t="s">
        <v>17</v>
      </c>
      <c r="E146">
        <v>4</v>
      </c>
      <c r="I146" s="3">
        <f>+IFERROR(VLOOKUP(C146,'Mov 2023 hasta ahora '!$C$2:$D$314,2,FALSE),"NO")</f>
        <v>1160</v>
      </c>
      <c r="K146">
        <v>5</v>
      </c>
      <c r="L146" t="s">
        <v>19</v>
      </c>
      <c r="M146">
        <v>18</v>
      </c>
      <c r="O146" s="25" t="s">
        <v>8477</v>
      </c>
      <c r="P146" s="25" t="s">
        <v>307</v>
      </c>
      <c r="Q146" s="25">
        <v>74</v>
      </c>
      <c r="R146" t="s">
        <v>17</v>
      </c>
      <c r="S146">
        <f>+E146</f>
        <v>4</v>
      </c>
    </row>
    <row r="147" spans="1:19" hidden="1">
      <c r="A147" s="23" t="s">
        <v>308</v>
      </c>
      <c r="B147" s="23" t="s">
        <v>309</v>
      </c>
      <c r="C147" s="23">
        <v>75</v>
      </c>
      <c r="D147" t="s">
        <v>17</v>
      </c>
      <c r="E147">
        <v>4</v>
      </c>
      <c r="H147" s="3" t="s">
        <v>8461</v>
      </c>
      <c r="I147" s="3" t="str">
        <f>+IFERROR(VLOOKUP(C147,'Mov 2023 hasta ahora '!$C$2:$D$314,2,FALSE),"NO")</f>
        <v>NO</v>
      </c>
      <c r="J147" t="s">
        <v>21</v>
      </c>
      <c r="K147">
        <v>5</v>
      </c>
      <c r="L147" t="s">
        <v>19</v>
      </c>
      <c r="M147">
        <v>18</v>
      </c>
      <c r="O147" s="26" t="s">
        <v>8477</v>
      </c>
      <c r="P147" s="25" t="s">
        <v>307</v>
      </c>
      <c r="Q147" s="25">
        <v>74</v>
      </c>
    </row>
    <row r="148" spans="1:19" hidden="1">
      <c r="A148" s="23" t="s">
        <v>310</v>
      </c>
      <c r="B148" s="23" t="s">
        <v>311</v>
      </c>
      <c r="C148" s="23">
        <v>76</v>
      </c>
      <c r="D148" t="s">
        <v>17</v>
      </c>
      <c r="I148" s="3" t="str">
        <f>+IFERROR(VLOOKUP(C148,'Mov 2023 hasta ahora '!$C$2:$D$314,2,FALSE),"NO")</f>
        <v>NO</v>
      </c>
      <c r="J148" t="s">
        <v>312</v>
      </c>
      <c r="K148">
        <v>5</v>
      </c>
      <c r="L148" t="s">
        <v>19</v>
      </c>
      <c r="M148">
        <v>18</v>
      </c>
      <c r="O148" s="25" t="s">
        <v>8500</v>
      </c>
      <c r="P148" s="25" t="s">
        <v>8657</v>
      </c>
      <c r="Q148" s="25">
        <v>76</v>
      </c>
      <c r="R148" t="s">
        <v>17</v>
      </c>
    </row>
    <row r="149" spans="1:19" hidden="1">
      <c r="A149" s="23" t="s">
        <v>313</v>
      </c>
      <c r="B149" s="23" t="s">
        <v>314</v>
      </c>
      <c r="C149" s="23">
        <v>77</v>
      </c>
      <c r="I149" s="3" t="str">
        <f>+IFERROR(VLOOKUP(C149,'Mov 2023 hasta ahora '!$C$2:$D$314,2,FALSE),"NO")</f>
        <v>NO</v>
      </c>
      <c r="K149">
        <v>5</v>
      </c>
      <c r="L149" t="s">
        <v>19</v>
      </c>
      <c r="M149">
        <v>18</v>
      </c>
      <c r="O149" s="25" t="s">
        <v>8501</v>
      </c>
      <c r="P149" s="25" t="s">
        <v>314</v>
      </c>
      <c r="Q149" s="25">
        <v>77</v>
      </c>
      <c r="R149" t="s">
        <v>17</v>
      </c>
    </row>
    <row r="150" spans="1:19" hidden="1">
      <c r="A150" s="23" t="s">
        <v>315</v>
      </c>
      <c r="B150" s="23" t="s">
        <v>316</v>
      </c>
      <c r="C150" s="23">
        <v>78</v>
      </c>
      <c r="D150" t="s">
        <v>17</v>
      </c>
      <c r="E150">
        <v>1</v>
      </c>
      <c r="I150" s="3">
        <f>+IFERROR(VLOOKUP(C150,'Mov 2023 hasta ahora '!$C$2:$D$314,2,FALSE),"NO")</f>
        <v>515</v>
      </c>
      <c r="K150">
        <v>5</v>
      </c>
      <c r="L150" t="s">
        <v>19</v>
      </c>
      <c r="M150">
        <v>18</v>
      </c>
      <c r="O150" s="25" t="s">
        <v>8502</v>
      </c>
      <c r="P150" s="25" t="s">
        <v>316</v>
      </c>
      <c r="Q150" s="25">
        <v>78</v>
      </c>
      <c r="R150" t="s">
        <v>17</v>
      </c>
      <c r="S150">
        <f t="shared" ref="S150:S155" si="1">+E150</f>
        <v>1</v>
      </c>
    </row>
    <row r="151" spans="1:19" hidden="1">
      <c r="A151" s="23" t="s">
        <v>317</v>
      </c>
      <c r="B151" s="23" t="s">
        <v>318</v>
      </c>
      <c r="C151" s="23">
        <v>80</v>
      </c>
      <c r="D151" t="s">
        <v>17</v>
      </c>
      <c r="E151">
        <v>4</v>
      </c>
      <c r="I151" s="3">
        <f>+IFERROR(VLOOKUP(C151,'Mov 2023 hasta ahora '!$C$2:$D$314,2,FALSE),"NO")</f>
        <v>4609</v>
      </c>
      <c r="K151">
        <v>5</v>
      </c>
      <c r="L151" t="s">
        <v>19</v>
      </c>
      <c r="M151">
        <v>18</v>
      </c>
      <c r="O151" s="25" t="s">
        <v>8503</v>
      </c>
      <c r="P151" s="25" t="s">
        <v>318</v>
      </c>
      <c r="Q151" s="25">
        <v>80</v>
      </c>
      <c r="R151" t="s">
        <v>17</v>
      </c>
      <c r="S151">
        <f t="shared" si="1"/>
        <v>4</v>
      </c>
    </row>
    <row r="152" spans="1:19" hidden="1">
      <c r="A152" s="23" t="s">
        <v>319</v>
      </c>
      <c r="B152" s="23" t="s">
        <v>320</v>
      </c>
      <c r="C152" s="23">
        <v>81</v>
      </c>
      <c r="D152" t="s">
        <v>17</v>
      </c>
      <c r="E152">
        <v>1</v>
      </c>
      <c r="H152" s="6">
        <v>191104.31</v>
      </c>
      <c r="I152" s="3" t="str">
        <f>+IFERROR(VLOOKUP(C152,'Mov 2023 hasta ahora '!$C$2:$D$314,2,FALSE),"NO")</f>
        <v>NO</v>
      </c>
      <c r="J152" t="s">
        <v>21</v>
      </c>
      <c r="K152">
        <v>5</v>
      </c>
      <c r="L152" t="s">
        <v>19</v>
      </c>
      <c r="M152">
        <v>18</v>
      </c>
      <c r="O152" s="25" t="s">
        <v>8504</v>
      </c>
      <c r="P152" s="25" t="s">
        <v>320</v>
      </c>
      <c r="Q152" s="25">
        <v>81</v>
      </c>
      <c r="R152" t="s">
        <v>17</v>
      </c>
      <c r="S152">
        <f t="shared" si="1"/>
        <v>1</v>
      </c>
    </row>
    <row r="153" spans="1:19" hidden="1">
      <c r="A153" s="23" t="s">
        <v>321</v>
      </c>
      <c r="B153" s="23" t="s">
        <v>322</v>
      </c>
      <c r="C153" s="23">
        <v>147</v>
      </c>
      <c r="E153">
        <v>4</v>
      </c>
      <c r="I153" s="3">
        <f>+IFERROR(VLOOKUP(C153,'Mov 2023 hasta ahora '!$C$2:$D$314,2,FALSE),"NO")</f>
        <v>1034</v>
      </c>
      <c r="J153" t="s">
        <v>323</v>
      </c>
      <c r="K153">
        <v>5</v>
      </c>
      <c r="L153" t="s">
        <v>19</v>
      </c>
      <c r="M153">
        <v>18</v>
      </c>
      <c r="O153" s="25" t="s">
        <v>8478</v>
      </c>
      <c r="P153" s="25" t="s">
        <v>322</v>
      </c>
      <c r="Q153" s="25">
        <v>147</v>
      </c>
      <c r="R153" t="s">
        <v>17</v>
      </c>
      <c r="S153">
        <f t="shared" si="1"/>
        <v>4</v>
      </c>
    </row>
    <row r="154" spans="1:19" hidden="1">
      <c r="A154" s="23" t="s">
        <v>324</v>
      </c>
      <c r="B154" s="23" t="s">
        <v>325</v>
      </c>
      <c r="C154" s="23">
        <v>148</v>
      </c>
      <c r="D154" t="s">
        <v>17</v>
      </c>
      <c r="E154">
        <v>4</v>
      </c>
      <c r="I154" s="3">
        <f>+IFERROR(VLOOKUP(C154,'Mov 2023 hasta ahora '!$C$2:$D$314,2,FALSE),"NO")</f>
        <v>3400</v>
      </c>
      <c r="J154" t="s">
        <v>323</v>
      </c>
      <c r="K154">
        <v>5</v>
      </c>
      <c r="L154" t="s">
        <v>19</v>
      </c>
      <c r="M154">
        <v>18</v>
      </c>
      <c r="O154" s="25" t="s">
        <v>8542</v>
      </c>
      <c r="P154" s="25" t="s">
        <v>325</v>
      </c>
      <c r="Q154" s="25">
        <v>148</v>
      </c>
      <c r="R154" t="s">
        <v>17</v>
      </c>
      <c r="S154">
        <f t="shared" si="1"/>
        <v>4</v>
      </c>
    </row>
    <row r="155" spans="1:19" hidden="1">
      <c r="A155" s="23" t="s">
        <v>326</v>
      </c>
      <c r="B155" s="23" t="s">
        <v>327</v>
      </c>
      <c r="C155" s="23">
        <v>149</v>
      </c>
      <c r="D155" t="s">
        <v>17</v>
      </c>
      <c r="E155">
        <v>4</v>
      </c>
      <c r="I155" s="3">
        <f>+IFERROR(VLOOKUP(C155,'Mov 2023 hasta ahora '!$C$2:$D$314,2,FALSE),"NO")</f>
        <v>5842</v>
      </c>
      <c r="J155" t="s">
        <v>323</v>
      </c>
      <c r="K155">
        <v>5</v>
      </c>
      <c r="L155" t="s">
        <v>19</v>
      </c>
      <c r="M155">
        <v>18</v>
      </c>
      <c r="O155" s="25" t="s">
        <v>8543</v>
      </c>
      <c r="P155" s="25" t="s">
        <v>327</v>
      </c>
      <c r="Q155" s="25">
        <v>149</v>
      </c>
      <c r="R155" t="s">
        <v>17</v>
      </c>
      <c r="S155">
        <f t="shared" si="1"/>
        <v>4</v>
      </c>
    </row>
    <row r="156" spans="1:19" hidden="1">
      <c r="A156" s="23" t="s">
        <v>328</v>
      </c>
      <c r="B156" s="23" t="s">
        <v>329</v>
      </c>
      <c r="C156" s="23">
        <v>156</v>
      </c>
      <c r="D156" t="s">
        <v>17</v>
      </c>
      <c r="E156">
        <v>1</v>
      </c>
      <c r="H156" s="3" t="s">
        <v>8461</v>
      </c>
      <c r="I156" s="3" t="str">
        <f>+IFERROR(VLOOKUP(C156,'Mov 2023 hasta ahora '!$C$2:$D$314,2,FALSE),"NO")</f>
        <v>NO</v>
      </c>
      <c r="J156" t="s">
        <v>21</v>
      </c>
      <c r="K156">
        <v>5</v>
      </c>
      <c r="L156" t="s">
        <v>19</v>
      </c>
      <c r="M156">
        <v>18</v>
      </c>
      <c r="O156" s="26" t="s">
        <v>8778</v>
      </c>
      <c r="P156" s="25" t="s">
        <v>8779</v>
      </c>
      <c r="Q156" s="25">
        <v>156</v>
      </c>
    </row>
    <row r="157" spans="1:19" hidden="1">
      <c r="A157" s="23" t="s">
        <v>330</v>
      </c>
      <c r="B157" s="23" t="s">
        <v>331</v>
      </c>
      <c r="C157" s="23">
        <v>157</v>
      </c>
      <c r="D157" t="s">
        <v>17</v>
      </c>
      <c r="E157">
        <v>1</v>
      </c>
      <c r="H157" s="3" t="s">
        <v>8461</v>
      </c>
      <c r="I157" s="3" t="str">
        <f>+IFERROR(VLOOKUP(C157,'Mov 2023 hasta ahora '!$C$2:$D$314,2,FALSE),"NO")</f>
        <v>NO</v>
      </c>
      <c r="J157" t="s">
        <v>21</v>
      </c>
      <c r="K157">
        <v>5</v>
      </c>
      <c r="L157" t="s">
        <v>19</v>
      </c>
      <c r="M157">
        <v>18</v>
      </c>
      <c r="O157" s="26" t="s">
        <v>8778</v>
      </c>
      <c r="P157" s="25" t="s">
        <v>8779</v>
      </c>
      <c r="Q157" s="25">
        <v>156</v>
      </c>
    </row>
    <row r="158" spans="1:19" hidden="1">
      <c r="A158" s="23" t="s">
        <v>332</v>
      </c>
      <c r="B158" s="23" t="s">
        <v>333</v>
      </c>
      <c r="C158" s="23">
        <v>342</v>
      </c>
      <c r="D158" t="s">
        <v>17</v>
      </c>
      <c r="E158">
        <v>1</v>
      </c>
      <c r="H158" s="3" t="s">
        <v>8461</v>
      </c>
      <c r="I158" s="3" t="str">
        <f>+IFERROR(VLOOKUP(C158,'Mov 2023 hasta ahora '!$C$2:$D$314,2,FALSE),"NO")</f>
        <v>NO</v>
      </c>
      <c r="J158" t="s">
        <v>21</v>
      </c>
      <c r="K158">
        <v>5</v>
      </c>
      <c r="L158" t="s">
        <v>19</v>
      </c>
      <c r="M158">
        <v>18</v>
      </c>
      <c r="O158" s="26" t="s">
        <v>8778</v>
      </c>
      <c r="P158" s="25" t="s">
        <v>8779</v>
      </c>
      <c r="Q158" s="25">
        <v>156</v>
      </c>
    </row>
    <row r="159" spans="1:19" hidden="1">
      <c r="A159" s="23" t="s">
        <v>334</v>
      </c>
      <c r="B159" s="23" t="s">
        <v>335</v>
      </c>
      <c r="C159" s="23">
        <v>343</v>
      </c>
      <c r="D159" t="s">
        <v>17</v>
      </c>
      <c r="E159">
        <v>1</v>
      </c>
      <c r="H159" s="8" t="s">
        <v>8461</v>
      </c>
      <c r="I159" s="3" t="str">
        <f>+IFERROR(VLOOKUP(C159,'Mov 2023 hasta ahora '!$C$2:$D$314,2,FALSE),"NO")</f>
        <v>NO</v>
      </c>
      <c r="J159" t="s">
        <v>21</v>
      </c>
      <c r="K159">
        <v>5</v>
      </c>
      <c r="L159" t="s">
        <v>19</v>
      </c>
      <c r="M159">
        <v>18</v>
      </c>
      <c r="O159" s="26" t="s">
        <v>8778</v>
      </c>
      <c r="P159" s="25" t="s">
        <v>8779</v>
      </c>
      <c r="Q159" s="25">
        <v>156</v>
      </c>
    </row>
    <row r="160" spans="1:19" hidden="1">
      <c r="A160" s="23" t="s">
        <v>336</v>
      </c>
      <c r="B160" s="23" t="s">
        <v>337</v>
      </c>
      <c r="C160" s="23">
        <v>344</v>
      </c>
      <c r="D160" t="s">
        <v>17</v>
      </c>
      <c r="E160">
        <v>1</v>
      </c>
      <c r="H160" s="6">
        <v>-455.07</v>
      </c>
      <c r="I160" s="3" t="str">
        <f>+IFERROR(VLOOKUP(C160,'Mov 2023 hasta ahora '!$C$2:$D$314,2,FALSE),"NO")</f>
        <v>NO</v>
      </c>
      <c r="J160" t="s">
        <v>21</v>
      </c>
      <c r="K160">
        <v>5</v>
      </c>
      <c r="L160" t="s">
        <v>19</v>
      </c>
      <c r="M160">
        <v>18</v>
      </c>
      <c r="O160" s="26" t="s">
        <v>8778</v>
      </c>
      <c r="P160" s="25" t="s">
        <v>8779</v>
      </c>
      <c r="Q160" s="25">
        <v>156</v>
      </c>
    </row>
    <row r="161" spans="1:20" hidden="1">
      <c r="A161" s="23" t="s">
        <v>338</v>
      </c>
      <c r="B161" s="23" t="s">
        <v>339</v>
      </c>
      <c r="C161" s="23">
        <v>345</v>
      </c>
      <c r="D161" t="s">
        <v>17</v>
      </c>
      <c r="E161">
        <v>1</v>
      </c>
      <c r="H161" s="6">
        <v>-897.08</v>
      </c>
      <c r="I161" s="3" t="str">
        <f>+IFERROR(VLOOKUP(C161,'Mov 2023 hasta ahora '!$C$2:$D$314,2,FALSE),"NO")</f>
        <v>NO</v>
      </c>
      <c r="J161" t="s">
        <v>21</v>
      </c>
      <c r="K161">
        <v>5</v>
      </c>
      <c r="L161" t="s">
        <v>19</v>
      </c>
      <c r="M161">
        <v>18</v>
      </c>
      <c r="O161" s="26" t="s">
        <v>8778</v>
      </c>
      <c r="P161" s="25" t="s">
        <v>8779</v>
      </c>
      <c r="Q161" s="25">
        <v>156</v>
      </c>
    </row>
    <row r="162" spans="1:20" hidden="1">
      <c r="A162" s="23" t="s">
        <v>340</v>
      </c>
      <c r="B162" s="23" t="s">
        <v>341</v>
      </c>
      <c r="C162" s="23">
        <v>346</v>
      </c>
      <c r="D162" t="s">
        <v>17</v>
      </c>
      <c r="E162">
        <v>1</v>
      </c>
      <c r="H162" s="6">
        <v>4147405.35</v>
      </c>
      <c r="I162" s="3" t="str">
        <f>+IFERROR(VLOOKUP(C162,'Mov 2023 hasta ahora '!$C$2:$D$314,2,FALSE),"NO")</f>
        <v>NO</v>
      </c>
      <c r="J162" t="s">
        <v>21</v>
      </c>
      <c r="K162">
        <v>5</v>
      </c>
      <c r="L162" t="s">
        <v>19</v>
      </c>
      <c r="M162">
        <v>18</v>
      </c>
      <c r="O162" s="26" t="s">
        <v>8778</v>
      </c>
      <c r="P162" s="25" t="s">
        <v>8779</v>
      </c>
      <c r="Q162" s="25">
        <v>156</v>
      </c>
    </row>
    <row r="163" spans="1:20" hidden="1">
      <c r="A163" s="23" t="s">
        <v>342</v>
      </c>
      <c r="B163" s="23" t="s">
        <v>343</v>
      </c>
      <c r="C163" s="23">
        <v>1360</v>
      </c>
      <c r="D163" t="s">
        <v>17</v>
      </c>
      <c r="E163">
        <v>1</v>
      </c>
      <c r="H163" s="8" t="s">
        <v>8461</v>
      </c>
      <c r="I163" s="3" t="str">
        <f>+IFERROR(VLOOKUP(C163,'Mov 2023 hasta ahora '!$C$2:$D$314,2,FALSE),"NO")</f>
        <v>NO</v>
      </c>
      <c r="J163" t="s">
        <v>21</v>
      </c>
      <c r="K163">
        <v>5</v>
      </c>
      <c r="L163" t="s">
        <v>19</v>
      </c>
      <c r="M163">
        <v>18</v>
      </c>
      <c r="O163" s="26" t="s">
        <v>8778</v>
      </c>
      <c r="P163" s="25" t="s">
        <v>8779</v>
      </c>
      <c r="Q163" s="25">
        <v>156</v>
      </c>
    </row>
    <row r="164" spans="1:20" hidden="1">
      <c r="A164" s="23" t="s">
        <v>344</v>
      </c>
      <c r="B164" s="23" t="s">
        <v>345</v>
      </c>
      <c r="C164" s="23">
        <v>1563</v>
      </c>
      <c r="E164">
        <v>1</v>
      </c>
      <c r="H164" s="6">
        <v>1817.45</v>
      </c>
      <c r="I164" s="3" t="str">
        <f>+IFERROR(VLOOKUP(C164,'Mov 2023 hasta ahora '!$C$2:$D$314,2,FALSE),"NO")</f>
        <v>NO</v>
      </c>
      <c r="J164" t="s">
        <v>21</v>
      </c>
      <c r="K164">
        <v>5</v>
      </c>
      <c r="L164" t="s">
        <v>19</v>
      </c>
      <c r="M164">
        <v>18</v>
      </c>
      <c r="O164" s="26" t="s">
        <v>8778</v>
      </c>
      <c r="P164" s="25" t="s">
        <v>8779</v>
      </c>
      <c r="Q164" s="25">
        <v>156</v>
      </c>
    </row>
    <row r="165" spans="1:20" hidden="1">
      <c r="A165" s="23" t="s">
        <v>346</v>
      </c>
      <c r="B165" s="23" t="s">
        <v>347</v>
      </c>
      <c r="C165" s="23">
        <v>996</v>
      </c>
      <c r="D165" t="s">
        <v>17</v>
      </c>
      <c r="E165">
        <v>1</v>
      </c>
      <c r="I165" s="3">
        <f>+IFERROR(VLOOKUP(C165,'Mov 2023 hasta ahora '!$C$2:$D$314,2,FALSE),"NO")</f>
        <v>1058</v>
      </c>
      <c r="J165" t="s">
        <v>323</v>
      </c>
      <c r="K165">
        <v>5</v>
      </c>
      <c r="L165" t="s">
        <v>19</v>
      </c>
      <c r="M165">
        <v>18</v>
      </c>
      <c r="O165" s="25" t="s">
        <v>8544</v>
      </c>
      <c r="P165" s="25" t="s">
        <v>347</v>
      </c>
      <c r="Q165" s="25">
        <v>996</v>
      </c>
      <c r="R165" t="s">
        <v>17</v>
      </c>
      <c r="S165">
        <f>+E165</f>
        <v>1</v>
      </c>
    </row>
    <row r="166" spans="1:20" hidden="1">
      <c r="A166" s="23" t="s">
        <v>348</v>
      </c>
      <c r="B166" s="23" t="s">
        <v>349</v>
      </c>
      <c r="C166" s="23">
        <v>1362</v>
      </c>
      <c r="D166" t="s">
        <v>17</v>
      </c>
      <c r="E166">
        <v>4</v>
      </c>
      <c r="I166" s="3" t="str">
        <f>+IFERROR(VLOOKUP(C166,'Mov 2023 hasta ahora '!$C$2:$D$314,2,FALSE),"NO")</f>
        <v>NO</v>
      </c>
      <c r="K166">
        <v>5</v>
      </c>
      <c r="L166" t="s">
        <v>19</v>
      </c>
      <c r="M166">
        <v>18</v>
      </c>
      <c r="O166" s="25" t="s">
        <v>8545</v>
      </c>
      <c r="P166" s="25" t="s">
        <v>349</v>
      </c>
      <c r="Q166" s="25">
        <v>1362</v>
      </c>
      <c r="R166" t="s">
        <v>17</v>
      </c>
      <c r="S166">
        <f>+E166</f>
        <v>4</v>
      </c>
    </row>
    <row r="167" spans="1:20" hidden="1">
      <c r="A167" s="23" t="s">
        <v>350</v>
      </c>
      <c r="B167" s="23" t="s">
        <v>351</v>
      </c>
      <c r="C167" s="23">
        <v>1543</v>
      </c>
      <c r="D167" t="s">
        <v>17</v>
      </c>
      <c r="E167">
        <v>1</v>
      </c>
      <c r="H167" s="8" t="s">
        <v>8461</v>
      </c>
      <c r="I167" s="3" t="str">
        <f>+IFERROR(VLOOKUP(C167,'Mov 2023 hasta ahora '!$C$2:$D$314,2,FALSE),"NO")</f>
        <v>NO</v>
      </c>
      <c r="J167" t="s">
        <v>21</v>
      </c>
      <c r="K167">
        <v>5</v>
      </c>
      <c r="L167" t="s">
        <v>19</v>
      </c>
      <c r="M167">
        <v>18</v>
      </c>
      <c r="O167" s="26" t="s">
        <v>8778</v>
      </c>
      <c r="P167" s="25" t="s">
        <v>8779</v>
      </c>
      <c r="Q167" s="25">
        <v>156</v>
      </c>
    </row>
    <row r="168" spans="1:20" hidden="1">
      <c r="A168" s="23" t="s">
        <v>353</v>
      </c>
      <c r="B168" s="23" t="s">
        <v>354</v>
      </c>
      <c r="C168" s="23">
        <v>1731</v>
      </c>
      <c r="D168" t="s">
        <v>17</v>
      </c>
      <c r="E168">
        <v>1</v>
      </c>
      <c r="H168" s="8" t="s">
        <v>8461</v>
      </c>
      <c r="I168" s="3" t="str">
        <f>+IFERROR(VLOOKUP(C168,'Mov 2023 hasta ahora '!$C$2:$D$314,2,FALSE),"NO")</f>
        <v>NO</v>
      </c>
      <c r="J168" t="s">
        <v>21</v>
      </c>
      <c r="K168">
        <v>5</v>
      </c>
      <c r="L168" t="s">
        <v>19</v>
      </c>
      <c r="M168">
        <v>18</v>
      </c>
      <c r="O168" s="26" t="s">
        <v>8778</v>
      </c>
      <c r="P168" s="25" t="s">
        <v>8779</v>
      </c>
      <c r="Q168" s="25">
        <v>156</v>
      </c>
    </row>
    <row r="169" spans="1:20" hidden="1">
      <c r="A169" s="23" t="s">
        <v>355</v>
      </c>
      <c r="B169" s="23" t="s">
        <v>356</v>
      </c>
      <c r="C169" s="23">
        <v>1744</v>
      </c>
      <c r="D169" t="s">
        <v>17</v>
      </c>
      <c r="E169">
        <v>1</v>
      </c>
      <c r="F169">
        <v>2</v>
      </c>
      <c r="I169" s="3" t="str">
        <f>+IFERROR(VLOOKUP(C169,'Mov 2023 hasta ahora '!$C$2:$D$314,2,FALSE),"NO")</f>
        <v>NO</v>
      </c>
      <c r="J169" t="s">
        <v>323</v>
      </c>
      <c r="K169">
        <v>5</v>
      </c>
      <c r="L169" t="s">
        <v>19</v>
      </c>
      <c r="M169">
        <v>18</v>
      </c>
      <c r="O169" s="25" t="s">
        <v>8546</v>
      </c>
      <c r="P169" s="25" t="s">
        <v>356</v>
      </c>
      <c r="Q169" s="25">
        <v>1744</v>
      </c>
      <c r="R169" t="s">
        <v>17</v>
      </c>
      <c r="S169">
        <f>+E169</f>
        <v>1</v>
      </c>
      <c r="T169">
        <f>+F169</f>
        <v>2</v>
      </c>
    </row>
    <row r="170" spans="1:20" hidden="1">
      <c r="A170" s="23" t="s">
        <v>357</v>
      </c>
      <c r="B170" s="23" t="s">
        <v>358</v>
      </c>
      <c r="C170" s="23">
        <v>1883</v>
      </c>
      <c r="E170">
        <v>1</v>
      </c>
      <c r="H170" s="6">
        <v>-3503.11</v>
      </c>
      <c r="I170" s="3" t="str">
        <f>+IFERROR(VLOOKUP(C170,'Mov 2023 hasta ahora '!$C$2:$D$314,2,FALSE),"NO")</f>
        <v>NO</v>
      </c>
      <c r="J170" t="s">
        <v>21</v>
      </c>
      <c r="K170">
        <v>5</v>
      </c>
      <c r="L170" t="s">
        <v>19</v>
      </c>
      <c r="M170">
        <v>18</v>
      </c>
      <c r="O170" s="26" t="s">
        <v>8778</v>
      </c>
      <c r="P170" s="25" t="s">
        <v>8779</v>
      </c>
      <c r="Q170" s="25">
        <v>156</v>
      </c>
    </row>
    <row r="171" spans="1:20" hidden="1">
      <c r="A171" s="23" t="s">
        <v>359</v>
      </c>
      <c r="B171" s="23" t="s">
        <v>360</v>
      </c>
      <c r="C171" s="23">
        <v>1962</v>
      </c>
      <c r="E171">
        <v>1</v>
      </c>
      <c r="H171" s="6">
        <v>3216.93</v>
      </c>
      <c r="I171" s="3" t="str">
        <f>+IFERROR(VLOOKUP(C171,'Mov 2023 hasta ahora '!$C$2:$D$314,2,FALSE),"NO")</f>
        <v>NO</v>
      </c>
      <c r="J171" t="s">
        <v>21</v>
      </c>
      <c r="K171">
        <v>5</v>
      </c>
      <c r="L171" t="s">
        <v>19</v>
      </c>
      <c r="M171">
        <v>18</v>
      </c>
      <c r="O171" s="26" t="s">
        <v>8778</v>
      </c>
      <c r="P171" s="25" t="s">
        <v>8779</v>
      </c>
      <c r="Q171" s="25">
        <v>156</v>
      </c>
    </row>
    <row r="172" spans="1:20" hidden="1">
      <c r="A172" s="23" t="s">
        <v>361</v>
      </c>
      <c r="B172" s="23" t="s">
        <v>362</v>
      </c>
      <c r="C172" s="23">
        <v>1963</v>
      </c>
      <c r="D172" t="s">
        <v>17</v>
      </c>
      <c r="E172">
        <v>1</v>
      </c>
      <c r="H172" t="s">
        <v>8461</v>
      </c>
      <c r="I172" s="3" t="str">
        <f>+IFERROR(VLOOKUP(C172,'Mov 2023 hasta ahora '!$C$2:$D$314,2,FALSE),"NO")</f>
        <v>NO</v>
      </c>
      <c r="J172" t="s">
        <v>21</v>
      </c>
      <c r="K172">
        <v>5</v>
      </c>
      <c r="L172" t="s">
        <v>19</v>
      </c>
      <c r="M172">
        <v>18</v>
      </c>
      <c r="O172" s="26" t="s">
        <v>8778</v>
      </c>
      <c r="P172" s="25" t="s">
        <v>8779</v>
      </c>
      <c r="Q172" s="25">
        <v>156</v>
      </c>
    </row>
    <row r="173" spans="1:20" hidden="1">
      <c r="A173" s="23" t="s">
        <v>363</v>
      </c>
      <c r="B173" s="23" t="s">
        <v>364</v>
      </c>
      <c r="C173" s="23">
        <v>1970</v>
      </c>
      <c r="E173">
        <v>1</v>
      </c>
      <c r="H173" s="6">
        <v>-1857.06</v>
      </c>
      <c r="I173" s="3" t="str">
        <f>+IFERROR(VLOOKUP(C173,'Mov 2023 hasta ahora '!$C$2:$D$314,2,FALSE),"NO")</f>
        <v>NO</v>
      </c>
      <c r="J173" t="s">
        <v>21</v>
      </c>
      <c r="K173">
        <v>5</v>
      </c>
      <c r="L173" t="s">
        <v>19</v>
      </c>
      <c r="M173">
        <v>18</v>
      </c>
      <c r="O173" s="26" t="s">
        <v>8778</v>
      </c>
      <c r="P173" s="25" t="s">
        <v>8779</v>
      </c>
      <c r="Q173" s="25">
        <v>156</v>
      </c>
    </row>
    <row r="174" spans="1:20" hidden="1">
      <c r="A174" s="23" t="s">
        <v>365</v>
      </c>
      <c r="B174" s="23" t="s">
        <v>366</v>
      </c>
      <c r="C174" s="23">
        <v>1980</v>
      </c>
      <c r="D174" t="s">
        <v>17</v>
      </c>
      <c r="E174">
        <v>1</v>
      </c>
      <c r="I174" s="3">
        <f>+IFERROR(VLOOKUP(C174,'Mov 2023 hasta ahora '!$C$2:$D$314,2,FALSE),"NO")</f>
        <v>138</v>
      </c>
      <c r="K174">
        <v>5</v>
      </c>
      <c r="L174" t="s">
        <v>19</v>
      </c>
      <c r="M174">
        <v>18</v>
      </c>
      <c r="O174" s="25" t="s">
        <v>8547</v>
      </c>
      <c r="P174" s="25" t="s">
        <v>366</v>
      </c>
      <c r="Q174" s="25">
        <v>1980</v>
      </c>
      <c r="R174" t="s">
        <v>17</v>
      </c>
      <c r="S174">
        <f>+E174</f>
        <v>1</v>
      </c>
    </row>
    <row r="175" spans="1:20" hidden="1">
      <c r="A175" s="23" t="s">
        <v>367</v>
      </c>
      <c r="B175" s="23" t="s">
        <v>368</v>
      </c>
      <c r="C175" s="23">
        <v>2098</v>
      </c>
      <c r="D175" t="s">
        <v>17</v>
      </c>
      <c r="E175">
        <v>1</v>
      </c>
      <c r="H175" s="6">
        <v>-810.41</v>
      </c>
      <c r="I175" s="3" t="str">
        <f>+IFERROR(VLOOKUP(C175,'Mov 2023 hasta ahora '!$C$2:$D$314,2,FALSE),"NO")</f>
        <v>NO</v>
      </c>
      <c r="J175" t="s">
        <v>21</v>
      </c>
      <c r="K175">
        <v>5</v>
      </c>
      <c r="L175" t="s">
        <v>19</v>
      </c>
      <c r="M175">
        <v>18</v>
      </c>
      <c r="O175" s="26" t="s">
        <v>8778</v>
      </c>
      <c r="P175" s="25" t="s">
        <v>8779</v>
      </c>
      <c r="Q175" s="25">
        <v>156</v>
      </c>
    </row>
    <row r="176" spans="1:20" hidden="1">
      <c r="A176" s="23" t="s">
        <v>369</v>
      </c>
      <c r="B176" s="23" t="s">
        <v>370</v>
      </c>
      <c r="C176" s="23">
        <v>2119</v>
      </c>
      <c r="D176" t="s">
        <v>17</v>
      </c>
      <c r="E176">
        <v>1</v>
      </c>
      <c r="H176" s="8" t="s">
        <v>8461</v>
      </c>
      <c r="I176" s="3" t="str">
        <f>+IFERROR(VLOOKUP(C176,'Mov 2023 hasta ahora '!$C$2:$D$314,2,FALSE),"NO")</f>
        <v>NO</v>
      </c>
      <c r="J176" t="s">
        <v>21</v>
      </c>
      <c r="K176">
        <v>5</v>
      </c>
      <c r="L176" t="s">
        <v>19</v>
      </c>
      <c r="M176">
        <v>18</v>
      </c>
      <c r="O176" s="26" t="s">
        <v>8778</v>
      </c>
      <c r="P176" s="25" t="s">
        <v>8779</v>
      </c>
      <c r="Q176" s="25">
        <v>156</v>
      </c>
    </row>
    <row r="177" spans="1:19" hidden="1">
      <c r="A177" s="23" t="s">
        <v>371</v>
      </c>
      <c r="B177" s="23" t="s">
        <v>372</v>
      </c>
      <c r="C177" s="23">
        <v>2134</v>
      </c>
      <c r="E177">
        <v>1</v>
      </c>
      <c r="H177" s="6">
        <v>-175</v>
      </c>
      <c r="I177" s="3" t="str">
        <f>+IFERROR(VLOOKUP(C177,'Mov 2023 hasta ahora '!$C$2:$D$314,2,FALSE),"NO")</f>
        <v>NO</v>
      </c>
      <c r="J177" t="s">
        <v>21</v>
      </c>
      <c r="K177">
        <v>5</v>
      </c>
      <c r="L177" t="s">
        <v>19</v>
      </c>
      <c r="M177">
        <v>18</v>
      </c>
      <c r="O177" s="26" t="s">
        <v>8778</v>
      </c>
      <c r="P177" s="25" t="s">
        <v>8779</v>
      </c>
      <c r="Q177" s="25">
        <v>156</v>
      </c>
    </row>
    <row r="178" spans="1:19" s="2" customFormat="1" hidden="1">
      <c r="A178" s="28" t="s">
        <v>373</v>
      </c>
      <c r="B178" s="28" t="s">
        <v>374</v>
      </c>
      <c r="C178" s="28">
        <v>2135</v>
      </c>
      <c r="D178" s="2" t="s">
        <v>17</v>
      </c>
      <c r="E178" s="2">
        <v>1</v>
      </c>
      <c r="H178" s="7">
        <v>-9472.49</v>
      </c>
      <c r="I178" s="3">
        <f>+IFERROR(VLOOKUP(C178,'Mov 2023 hasta ahora '!$C$2:$D$314,2,FALSE),"NO")</f>
        <v>12</v>
      </c>
      <c r="J178" s="2" t="s">
        <v>21</v>
      </c>
      <c r="K178" s="2">
        <v>5</v>
      </c>
      <c r="L178" s="2" t="s">
        <v>19</v>
      </c>
      <c r="M178" s="2">
        <v>18</v>
      </c>
      <c r="O178" s="26" t="s">
        <v>8778</v>
      </c>
      <c r="P178" s="25" t="s">
        <v>8779</v>
      </c>
      <c r="Q178" s="25">
        <v>156</v>
      </c>
      <c r="R178"/>
    </row>
    <row r="179" spans="1:19" hidden="1">
      <c r="A179" s="23" t="s">
        <v>375</v>
      </c>
      <c r="B179" s="23" t="s">
        <v>376</v>
      </c>
      <c r="C179" s="23">
        <v>2267</v>
      </c>
      <c r="D179" t="s">
        <v>17</v>
      </c>
      <c r="E179">
        <v>1</v>
      </c>
      <c r="H179" s="8" t="s">
        <v>8461</v>
      </c>
      <c r="I179" s="3" t="str">
        <f>+IFERROR(VLOOKUP(C179,'Mov 2023 hasta ahora '!$C$2:$D$314,2,FALSE),"NO")</f>
        <v>NO</v>
      </c>
      <c r="J179" t="s">
        <v>21</v>
      </c>
      <c r="K179">
        <v>5</v>
      </c>
      <c r="L179" t="s">
        <v>19</v>
      </c>
      <c r="M179">
        <v>18</v>
      </c>
      <c r="O179" s="26" t="s">
        <v>8778</v>
      </c>
      <c r="P179" s="25" t="s">
        <v>8779</v>
      </c>
      <c r="Q179" s="25">
        <v>156</v>
      </c>
    </row>
    <row r="180" spans="1:19" hidden="1">
      <c r="A180" s="23" t="s">
        <v>377</v>
      </c>
      <c r="B180" s="23" t="s">
        <v>378</v>
      </c>
      <c r="C180" s="23">
        <v>2319</v>
      </c>
      <c r="D180" t="s">
        <v>17</v>
      </c>
      <c r="E180">
        <v>4</v>
      </c>
      <c r="I180" s="3">
        <f>+IFERROR(VLOOKUP(C180,'Mov 2023 hasta ahora '!$C$2:$D$314,2,FALSE),"NO")</f>
        <v>14</v>
      </c>
      <c r="K180">
        <v>5</v>
      </c>
      <c r="L180" t="s">
        <v>19</v>
      </c>
      <c r="M180">
        <v>18</v>
      </c>
      <c r="O180" s="25" t="s">
        <v>8548</v>
      </c>
      <c r="P180" s="25" t="s">
        <v>378</v>
      </c>
      <c r="Q180" s="25">
        <v>2319</v>
      </c>
      <c r="R180" t="s">
        <v>17</v>
      </c>
      <c r="S180">
        <f>+E180</f>
        <v>4</v>
      </c>
    </row>
    <row r="181" spans="1:19" hidden="1">
      <c r="A181" s="23" t="s">
        <v>379</v>
      </c>
      <c r="B181" s="23" t="s">
        <v>380</v>
      </c>
      <c r="C181" s="23">
        <v>2322</v>
      </c>
      <c r="D181" t="s">
        <v>17</v>
      </c>
      <c r="E181">
        <v>1</v>
      </c>
      <c r="H181" s="6">
        <v>-33458.57</v>
      </c>
      <c r="I181" s="3" t="str">
        <f>+IFERROR(VLOOKUP(C181,'Mov 2023 hasta ahora '!$C$2:$D$314,2,FALSE),"NO")</f>
        <v>NO</v>
      </c>
      <c r="J181" t="s">
        <v>21</v>
      </c>
      <c r="K181">
        <v>5</v>
      </c>
      <c r="L181" t="s">
        <v>19</v>
      </c>
      <c r="M181">
        <v>18</v>
      </c>
      <c r="O181" s="26" t="s">
        <v>8778</v>
      </c>
      <c r="P181" s="25" t="s">
        <v>8779</v>
      </c>
      <c r="Q181" s="25">
        <v>156</v>
      </c>
    </row>
    <row r="182" spans="1:19" hidden="1">
      <c r="A182" s="23" t="s">
        <v>381</v>
      </c>
      <c r="B182" s="23" t="s">
        <v>382</v>
      </c>
      <c r="C182" s="23">
        <v>2329</v>
      </c>
      <c r="D182" t="s">
        <v>17</v>
      </c>
      <c r="I182" s="3">
        <f>+IFERROR(VLOOKUP(C182,'Mov 2023 hasta ahora '!$C$2:$D$314,2,FALSE),"NO")</f>
        <v>4</v>
      </c>
      <c r="J182" t="s">
        <v>352</v>
      </c>
      <c r="K182">
        <v>5</v>
      </c>
      <c r="L182" t="s">
        <v>19</v>
      </c>
      <c r="M182">
        <v>18</v>
      </c>
      <c r="O182" s="25" t="s">
        <v>8549</v>
      </c>
      <c r="P182" s="25" t="s">
        <v>382</v>
      </c>
      <c r="Q182" s="25">
        <v>2329</v>
      </c>
      <c r="R182" t="s">
        <v>17</v>
      </c>
    </row>
    <row r="183" spans="1:19" hidden="1">
      <c r="A183" s="23" t="s">
        <v>383</v>
      </c>
      <c r="B183" s="23" t="s">
        <v>384</v>
      </c>
      <c r="C183" s="23">
        <v>2455</v>
      </c>
      <c r="D183" t="s">
        <v>17</v>
      </c>
      <c r="E183">
        <v>1</v>
      </c>
      <c r="H183" s="8" t="s">
        <v>8461</v>
      </c>
      <c r="I183" s="3" t="str">
        <f>+IFERROR(VLOOKUP(C183,'Mov 2023 hasta ahora '!$C$2:$D$314,2,FALSE),"NO")</f>
        <v>NO</v>
      </c>
      <c r="J183" t="s">
        <v>21</v>
      </c>
      <c r="K183">
        <v>5</v>
      </c>
      <c r="L183" t="s">
        <v>19</v>
      </c>
      <c r="M183">
        <v>18</v>
      </c>
      <c r="O183" s="26" t="s">
        <v>8778</v>
      </c>
      <c r="P183" s="25" t="s">
        <v>8779</v>
      </c>
      <c r="Q183" s="25">
        <v>156</v>
      </c>
    </row>
    <row r="184" spans="1:19" s="2" customFormat="1" hidden="1">
      <c r="A184" s="28" t="s">
        <v>385</v>
      </c>
      <c r="B184" s="28" t="s">
        <v>386</v>
      </c>
      <c r="C184" s="28">
        <v>2589</v>
      </c>
      <c r="D184" s="2" t="s">
        <v>17</v>
      </c>
      <c r="E184" s="2">
        <v>1</v>
      </c>
      <c r="H184" s="7">
        <v>24053.54</v>
      </c>
      <c r="I184" s="3">
        <f>+IFERROR(VLOOKUP(C184,'Mov 2023 hasta ahora '!$C$2:$D$314,2,FALSE),"NO")</f>
        <v>1</v>
      </c>
      <c r="J184" s="2" t="s">
        <v>21</v>
      </c>
      <c r="K184" s="2">
        <v>5</v>
      </c>
      <c r="L184" s="2" t="s">
        <v>19</v>
      </c>
      <c r="M184" s="2">
        <v>18</v>
      </c>
      <c r="O184" s="26" t="s">
        <v>8778</v>
      </c>
      <c r="P184" s="25" t="s">
        <v>8779</v>
      </c>
      <c r="Q184" s="25">
        <v>156</v>
      </c>
      <c r="R184"/>
    </row>
    <row r="185" spans="1:19" hidden="1">
      <c r="A185" s="23" t="s">
        <v>387</v>
      </c>
      <c r="B185" s="23" t="s">
        <v>388</v>
      </c>
      <c r="C185" s="23">
        <v>2622</v>
      </c>
      <c r="I185" s="3" t="str">
        <f>+IFERROR(VLOOKUP(C185,'Mov 2023 hasta ahora '!$C$2:$D$314,2,FALSE),"NO")</f>
        <v>NO</v>
      </c>
      <c r="K185">
        <v>5</v>
      </c>
      <c r="L185" t="s">
        <v>19</v>
      </c>
      <c r="M185">
        <v>18</v>
      </c>
      <c r="O185" s="25" t="s">
        <v>8550</v>
      </c>
      <c r="P185" s="25" t="s">
        <v>388</v>
      </c>
      <c r="Q185" s="25">
        <v>2622</v>
      </c>
      <c r="R185" t="s">
        <v>17</v>
      </c>
    </row>
    <row r="186" spans="1:19" s="2" customFormat="1" hidden="1">
      <c r="A186" s="28" t="s">
        <v>389</v>
      </c>
      <c r="B186" s="28" t="s">
        <v>390</v>
      </c>
      <c r="C186" s="28">
        <v>2755</v>
      </c>
      <c r="D186" s="2" t="s">
        <v>17</v>
      </c>
      <c r="E186" s="2">
        <v>1</v>
      </c>
      <c r="H186" s="8" t="s">
        <v>8461</v>
      </c>
      <c r="I186" s="3">
        <f>+IFERROR(VLOOKUP(C186,'Mov 2023 hasta ahora '!$C$2:$D$314,2,FALSE),"NO")</f>
        <v>1</v>
      </c>
      <c r="J186" s="2" t="s">
        <v>21</v>
      </c>
      <c r="K186" s="2">
        <v>5</v>
      </c>
      <c r="L186" s="2" t="s">
        <v>19</v>
      </c>
      <c r="M186" s="2">
        <v>18</v>
      </c>
      <c r="O186" s="26" t="s">
        <v>8778</v>
      </c>
      <c r="P186" s="25" t="s">
        <v>8779</v>
      </c>
      <c r="Q186" s="25">
        <v>156</v>
      </c>
      <c r="R186"/>
    </row>
    <row r="187" spans="1:19" hidden="1">
      <c r="A187" s="23" t="s">
        <v>391</v>
      </c>
      <c r="B187" s="23" t="s">
        <v>392</v>
      </c>
      <c r="C187" s="23">
        <v>2879</v>
      </c>
      <c r="D187" t="s">
        <v>17</v>
      </c>
      <c r="I187" s="3">
        <f>+IFERROR(VLOOKUP(C187,'Mov 2023 hasta ahora '!$C$2:$D$314,2,FALSE),"NO")</f>
        <v>10</v>
      </c>
      <c r="K187">
        <v>5</v>
      </c>
      <c r="L187" t="s">
        <v>19</v>
      </c>
      <c r="M187">
        <v>18</v>
      </c>
      <c r="O187" s="25" t="s">
        <v>8551</v>
      </c>
      <c r="P187" s="25" t="s">
        <v>392</v>
      </c>
      <c r="Q187" s="25">
        <v>2879</v>
      </c>
      <c r="R187" t="s">
        <v>17</v>
      </c>
    </row>
    <row r="188" spans="1:19" hidden="1">
      <c r="A188" s="23" t="s">
        <v>393</v>
      </c>
      <c r="B188" s="23" t="s">
        <v>394</v>
      </c>
      <c r="C188" s="23">
        <v>2944</v>
      </c>
      <c r="E188">
        <v>1</v>
      </c>
      <c r="H188" s="8" t="s">
        <v>8461</v>
      </c>
      <c r="I188" s="3" t="str">
        <f>+IFERROR(VLOOKUP(C188,'Mov 2023 hasta ahora '!$C$2:$D$314,2,FALSE),"NO")</f>
        <v>NO</v>
      </c>
      <c r="J188" t="s">
        <v>21</v>
      </c>
      <c r="K188">
        <v>5</v>
      </c>
      <c r="L188" t="s">
        <v>19</v>
      </c>
      <c r="M188">
        <v>18</v>
      </c>
      <c r="O188" s="26" t="s">
        <v>8778</v>
      </c>
      <c r="P188" s="25" t="s">
        <v>8779</v>
      </c>
      <c r="Q188" s="25">
        <v>156</v>
      </c>
    </row>
    <row r="189" spans="1:19" hidden="1">
      <c r="A189" s="23" t="s">
        <v>395</v>
      </c>
      <c r="B189" s="23" t="s">
        <v>396</v>
      </c>
      <c r="C189" s="23">
        <v>3009</v>
      </c>
      <c r="D189" t="s">
        <v>17</v>
      </c>
      <c r="E189">
        <v>1</v>
      </c>
      <c r="H189" s="6">
        <v>128</v>
      </c>
      <c r="I189" s="3" t="str">
        <f>+IFERROR(VLOOKUP(C189,'Mov 2023 hasta ahora '!$C$2:$D$314,2,FALSE),"NO")</f>
        <v>NO</v>
      </c>
      <c r="J189" t="s">
        <v>21</v>
      </c>
      <c r="K189">
        <v>5</v>
      </c>
      <c r="L189" t="s">
        <v>19</v>
      </c>
      <c r="M189">
        <v>18</v>
      </c>
      <c r="O189" s="26" t="s">
        <v>8778</v>
      </c>
      <c r="P189" s="25" t="s">
        <v>8779</v>
      </c>
      <c r="Q189" s="25">
        <v>156</v>
      </c>
    </row>
    <row r="190" spans="1:19" hidden="1">
      <c r="A190" s="23" t="s">
        <v>397</v>
      </c>
      <c r="B190" s="23" t="s">
        <v>398</v>
      </c>
      <c r="C190" s="23">
        <v>3010</v>
      </c>
      <c r="D190" t="s">
        <v>17</v>
      </c>
      <c r="E190">
        <v>4</v>
      </c>
      <c r="H190" s="8" t="s">
        <v>8461</v>
      </c>
      <c r="I190" s="3" t="str">
        <f>+IFERROR(VLOOKUP(C190,'Mov 2023 hasta ahora '!$C$2:$D$314,2,FALSE),"NO")</f>
        <v>NO</v>
      </c>
      <c r="J190" t="s">
        <v>21</v>
      </c>
      <c r="K190">
        <v>5</v>
      </c>
      <c r="L190" t="s">
        <v>19</v>
      </c>
      <c r="M190">
        <v>18</v>
      </c>
      <c r="O190" s="26" t="s">
        <v>8545</v>
      </c>
      <c r="P190" s="25" t="s">
        <v>349</v>
      </c>
      <c r="Q190" s="25">
        <v>1362</v>
      </c>
    </row>
    <row r="191" spans="1:19" hidden="1">
      <c r="A191" s="23" t="s">
        <v>399</v>
      </c>
      <c r="B191" s="23" t="s">
        <v>400</v>
      </c>
      <c r="C191" s="23">
        <v>3114</v>
      </c>
      <c r="E191">
        <v>1</v>
      </c>
      <c r="H191" s="8" t="s">
        <v>8461</v>
      </c>
      <c r="I191" s="3" t="str">
        <f>+IFERROR(VLOOKUP(C191,'Mov 2023 hasta ahora '!$C$2:$D$314,2,FALSE),"NO")</f>
        <v>NO</v>
      </c>
      <c r="J191" t="s">
        <v>21</v>
      </c>
      <c r="K191">
        <v>5</v>
      </c>
      <c r="L191" t="s">
        <v>19</v>
      </c>
      <c r="M191">
        <v>18</v>
      </c>
      <c r="O191" s="26" t="s">
        <v>8778</v>
      </c>
      <c r="P191" s="25" t="s">
        <v>8779</v>
      </c>
      <c r="Q191" s="25">
        <v>156</v>
      </c>
    </row>
    <row r="192" spans="1:19" hidden="1">
      <c r="A192" s="23" t="s">
        <v>401</v>
      </c>
      <c r="B192" s="23" t="s">
        <v>402</v>
      </c>
      <c r="C192" s="23">
        <v>3448</v>
      </c>
      <c r="D192" t="s">
        <v>17</v>
      </c>
      <c r="E192">
        <v>1</v>
      </c>
      <c r="H192" s="8" t="s">
        <v>8461</v>
      </c>
      <c r="I192" s="3" t="str">
        <f>+IFERROR(VLOOKUP(C192,'Mov 2023 hasta ahora '!$C$2:$D$314,2,FALSE),"NO")</f>
        <v>NO</v>
      </c>
      <c r="J192" t="s">
        <v>21</v>
      </c>
      <c r="K192">
        <v>5</v>
      </c>
      <c r="L192" t="s">
        <v>19</v>
      </c>
      <c r="M192">
        <v>18</v>
      </c>
      <c r="O192" s="26" t="s">
        <v>8778</v>
      </c>
      <c r="P192" s="25" t="s">
        <v>8779</v>
      </c>
      <c r="Q192" s="25">
        <v>156</v>
      </c>
    </row>
    <row r="193" spans="1:20" hidden="1">
      <c r="A193" s="23" t="s">
        <v>403</v>
      </c>
      <c r="B193" s="23" t="s">
        <v>404</v>
      </c>
      <c r="C193" s="23">
        <v>3467</v>
      </c>
      <c r="E193">
        <v>1</v>
      </c>
      <c r="H193" s="8" t="s">
        <v>8461</v>
      </c>
      <c r="I193" s="3" t="str">
        <f>+IFERROR(VLOOKUP(C193,'Mov 2023 hasta ahora '!$C$2:$D$314,2,FALSE),"NO")</f>
        <v>NO</v>
      </c>
      <c r="J193" t="s">
        <v>21</v>
      </c>
      <c r="K193">
        <v>5</v>
      </c>
      <c r="L193" t="s">
        <v>19</v>
      </c>
      <c r="M193">
        <v>18</v>
      </c>
      <c r="O193" s="26" t="s">
        <v>8778</v>
      </c>
      <c r="P193" s="25" t="s">
        <v>8779</v>
      </c>
      <c r="Q193" s="25">
        <v>156</v>
      </c>
    </row>
    <row r="194" spans="1:20" hidden="1">
      <c r="A194" s="23" t="s">
        <v>405</v>
      </c>
      <c r="B194" s="23" t="s">
        <v>406</v>
      </c>
      <c r="C194" s="23">
        <v>3468</v>
      </c>
      <c r="E194">
        <v>1</v>
      </c>
      <c r="H194" s="8" t="s">
        <v>8461</v>
      </c>
      <c r="I194" s="3" t="str">
        <f>+IFERROR(VLOOKUP(C194,'Mov 2023 hasta ahora '!$C$2:$D$314,2,FALSE),"NO")</f>
        <v>NO</v>
      </c>
      <c r="J194" t="s">
        <v>21</v>
      </c>
      <c r="K194">
        <v>5</v>
      </c>
      <c r="L194" t="s">
        <v>19</v>
      </c>
      <c r="M194">
        <v>18</v>
      </c>
      <c r="O194" s="26" t="s">
        <v>8778</v>
      </c>
      <c r="P194" s="25" t="s">
        <v>8779</v>
      </c>
      <c r="Q194" s="25">
        <v>156</v>
      </c>
    </row>
    <row r="195" spans="1:20" hidden="1">
      <c r="A195" s="23" t="s">
        <v>407</v>
      </c>
      <c r="B195" s="23" t="s">
        <v>408</v>
      </c>
      <c r="C195" s="23">
        <v>3494</v>
      </c>
      <c r="I195" s="3">
        <f>+IFERROR(VLOOKUP(C195,'Mov 2023 hasta ahora '!$C$2:$D$314,2,FALSE),"NO")</f>
        <v>11</v>
      </c>
      <c r="K195">
        <v>5</v>
      </c>
      <c r="L195" t="s">
        <v>19</v>
      </c>
      <c r="M195">
        <v>18</v>
      </c>
      <c r="O195" s="25" t="s">
        <v>8552</v>
      </c>
      <c r="P195" s="25" t="s">
        <v>408</v>
      </c>
      <c r="Q195" s="25">
        <v>3494</v>
      </c>
      <c r="R195" t="s">
        <v>17</v>
      </c>
    </row>
    <row r="196" spans="1:20" hidden="1">
      <c r="A196" s="23" t="s">
        <v>409</v>
      </c>
      <c r="B196" s="23" t="s">
        <v>410</v>
      </c>
      <c r="C196" s="23">
        <v>3508</v>
      </c>
      <c r="D196" t="s">
        <v>17</v>
      </c>
      <c r="E196">
        <v>4</v>
      </c>
      <c r="I196" s="3">
        <f>+IFERROR(VLOOKUP(C196,'Mov 2023 hasta ahora '!$C$2:$D$314,2,FALSE),"NO")</f>
        <v>143</v>
      </c>
      <c r="J196" t="s">
        <v>323</v>
      </c>
      <c r="K196">
        <v>5</v>
      </c>
      <c r="L196" t="s">
        <v>19</v>
      </c>
      <c r="M196">
        <v>18</v>
      </c>
      <c r="O196" s="25" t="s">
        <v>8553</v>
      </c>
      <c r="P196" s="25" t="s">
        <v>410</v>
      </c>
      <c r="Q196" s="25">
        <v>3508</v>
      </c>
      <c r="R196" t="s">
        <v>17</v>
      </c>
      <c r="S196">
        <f>+E196</f>
        <v>4</v>
      </c>
    </row>
    <row r="197" spans="1:20" s="2" customFormat="1" hidden="1">
      <c r="A197" s="28" t="s">
        <v>411</v>
      </c>
      <c r="B197" s="28" t="s">
        <v>412</v>
      </c>
      <c r="C197" s="28">
        <v>3606</v>
      </c>
      <c r="D197" s="2" t="s">
        <v>17</v>
      </c>
      <c r="E197" s="2">
        <v>1</v>
      </c>
      <c r="H197" s="7">
        <v>4864.97</v>
      </c>
      <c r="I197" s="3">
        <f>+IFERROR(VLOOKUP(C197,'Mov 2023 hasta ahora '!$C$2:$D$314,2,FALSE),"NO")</f>
        <v>2</v>
      </c>
      <c r="J197" s="2" t="s">
        <v>21</v>
      </c>
      <c r="K197" s="2">
        <v>5</v>
      </c>
      <c r="L197" s="2" t="s">
        <v>19</v>
      </c>
      <c r="M197" s="2">
        <v>18</v>
      </c>
      <c r="O197" s="26" t="s">
        <v>8778</v>
      </c>
      <c r="P197" s="25" t="s">
        <v>8779</v>
      </c>
      <c r="Q197" s="25">
        <v>156</v>
      </c>
      <c r="R197"/>
    </row>
    <row r="198" spans="1:20" hidden="1">
      <c r="A198" s="23" t="s">
        <v>413</v>
      </c>
      <c r="B198" s="23" t="s">
        <v>414</v>
      </c>
      <c r="C198" s="23">
        <v>3828</v>
      </c>
      <c r="D198" t="s">
        <v>17</v>
      </c>
      <c r="H198" s="8" t="s">
        <v>8461</v>
      </c>
      <c r="I198" s="3" t="str">
        <f>+IFERROR(VLOOKUP(C198,'Mov 2023 hasta ahora '!$C$2:$D$314,2,FALSE),"NO")</f>
        <v>NO</v>
      </c>
      <c r="J198" t="s">
        <v>21</v>
      </c>
      <c r="K198">
        <v>5</v>
      </c>
      <c r="L198" t="s">
        <v>19</v>
      </c>
      <c r="M198">
        <v>18</v>
      </c>
      <c r="O198" s="26" t="s">
        <v>8463</v>
      </c>
      <c r="P198" s="25" t="s">
        <v>8645</v>
      </c>
      <c r="Q198" s="25">
        <v>3851</v>
      </c>
    </row>
    <row r="199" spans="1:20" s="2" customFormat="1" hidden="1">
      <c r="A199" s="28" t="s">
        <v>415</v>
      </c>
      <c r="B199" s="28" t="s">
        <v>416</v>
      </c>
      <c r="C199" s="28">
        <v>3834</v>
      </c>
      <c r="D199" s="2" t="s">
        <v>17</v>
      </c>
      <c r="E199" s="2">
        <v>1</v>
      </c>
      <c r="H199" s="7">
        <v>59266</v>
      </c>
      <c r="I199" s="3">
        <f>+IFERROR(VLOOKUP(C199,'Mov 2023 hasta ahora '!$C$2:$D$314,2,FALSE),"NO")</f>
        <v>4</v>
      </c>
      <c r="J199" s="2" t="s">
        <v>21</v>
      </c>
      <c r="K199" s="2">
        <v>5</v>
      </c>
      <c r="L199" s="2" t="s">
        <v>19</v>
      </c>
      <c r="M199" s="2">
        <v>18</v>
      </c>
      <c r="O199" s="26" t="s">
        <v>8778</v>
      </c>
      <c r="P199" s="25" t="s">
        <v>8779</v>
      </c>
      <c r="Q199" s="25">
        <v>156</v>
      </c>
      <c r="R199"/>
    </row>
    <row r="200" spans="1:20" hidden="1">
      <c r="A200" s="23" t="s">
        <v>417</v>
      </c>
      <c r="B200" s="23" t="s">
        <v>418</v>
      </c>
      <c r="C200" s="23">
        <v>3840</v>
      </c>
      <c r="D200" t="s">
        <v>17</v>
      </c>
      <c r="E200">
        <v>1</v>
      </c>
      <c r="H200" s="6">
        <v>-2622999.37</v>
      </c>
      <c r="I200" s="3">
        <f>+IFERROR(VLOOKUP(C200,'Mov 2023 hasta ahora '!$C$2:$D$314,2,FALSE),"NO")</f>
        <v>213</v>
      </c>
      <c r="J200" t="s">
        <v>21</v>
      </c>
      <c r="K200">
        <v>5</v>
      </c>
      <c r="L200" t="s">
        <v>19</v>
      </c>
      <c r="M200">
        <v>18</v>
      </c>
      <c r="O200" s="26" t="s">
        <v>8781</v>
      </c>
      <c r="P200" s="25" t="s">
        <v>418</v>
      </c>
      <c r="Q200" s="25">
        <v>3840</v>
      </c>
    </row>
    <row r="201" spans="1:20" hidden="1">
      <c r="A201" s="23" t="s">
        <v>419</v>
      </c>
      <c r="B201" s="23" t="s">
        <v>420</v>
      </c>
      <c r="C201" s="23">
        <v>3843</v>
      </c>
      <c r="D201" t="s">
        <v>17</v>
      </c>
      <c r="E201">
        <v>1</v>
      </c>
      <c r="I201" s="3">
        <f>+IFERROR(VLOOKUP(C201,'Mov 2023 hasta ahora '!$C$2:$D$314,2,FALSE),"NO")</f>
        <v>18</v>
      </c>
      <c r="K201">
        <v>5</v>
      </c>
      <c r="L201" t="s">
        <v>19</v>
      </c>
      <c r="M201">
        <v>18</v>
      </c>
      <c r="O201" s="25" t="s">
        <v>8554</v>
      </c>
      <c r="P201" s="25" t="s">
        <v>420</v>
      </c>
      <c r="Q201" s="25">
        <v>3843</v>
      </c>
      <c r="R201" t="s">
        <v>17</v>
      </c>
      <c r="S201">
        <f>+E201</f>
        <v>1</v>
      </c>
    </row>
    <row r="202" spans="1:20" hidden="1">
      <c r="A202" s="23" t="s">
        <v>421</v>
      </c>
      <c r="B202" s="23" t="s">
        <v>422</v>
      </c>
      <c r="C202" s="23">
        <v>3856</v>
      </c>
      <c r="D202" t="s">
        <v>17</v>
      </c>
      <c r="E202">
        <v>4</v>
      </c>
      <c r="I202" s="3">
        <f>+IFERROR(VLOOKUP(C202,'Mov 2023 hasta ahora '!$C$2:$D$314,2,FALSE),"NO")</f>
        <v>357</v>
      </c>
      <c r="J202" t="s">
        <v>323</v>
      </c>
      <c r="K202">
        <v>5</v>
      </c>
      <c r="L202" t="s">
        <v>19</v>
      </c>
      <c r="M202">
        <v>18</v>
      </c>
      <c r="O202" s="25" t="s">
        <v>8555</v>
      </c>
      <c r="P202" s="25" t="s">
        <v>422</v>
      </c>
      <c r="Q202" s="25">
        <v>3856</v>
      </c>
      <c r="R202" t="s">
        <v>17</v>
      </c>
      <c r="S202">
        <f>+E202</f>
        <v>4</v>
      </c>
    </row>
    <row r="203" spans="1:20" hidden="1">
      <c r="A203" s="23" t="s">
        <v>423</v>
      </c>
      <c r="B203" s="23" t="s">
        <v>424</v>
      </c>
      <c r="C203" s="23">
        <v>3875</v>
      </c>
      <c r="D203" t="s">
        <v>17</v>
      </c>
      <c r="I203" s="3" t="str">
        <f>+IFERROR(VLOOKUP(C203,'Mov 2023 hasta ahora '!$C$2:$D$314,2,FALSE),"NO")</f>
        <v>NO</v>
      </c>
      <c r="J203" t="s">
        <v>425</v>
      </c>
      <c r="K203">
        <v>5</v>
      </c>
      <c r="L203" t="s">
        <v>19</v>
      </c>
      <c r="M203">
        <v>18</v>
      </c>
      <c r="O203" s="26" t="s">
        <v>9166</v>
      </c>
      <c r="P203" s="25" t="s">
        <v>424</v>
      </c>
      <c r="Q203" s="25">
        <v>3875</v>
      </c>
      <c r="R203" t="s">
        <v>17</v>
      </c>
    </row>
    <row r="204" spans="1:20" hidden="1">
      <c r="A204" s="23" t="s">
        <v>426</v>
      </c>
      <c r="B204" s="23" t="s">
        <v>427</v>
      </c>
      <c r="C204" s="23">
        <v>3876</v>
      </c>
      <c r="D204" t="s">
        <v>17</v>
      </c>
      <c r="E204">
        <v>4</v>
      </c>
      <c r="I204" s="3">
        <f>+IFERROR(VLOOKUP(C204,'Mov 2023 hasta ahora '!$C$2:$D$314,2,FALSE),"NO")</f>
        <v>62</v>
      </c>
      <c r="J204" t="s">
        <v>425</v>
      </c>
      <c r="K204">
        <v>5</v>
      </c>
      <c r="L204" t="s">
        <v>19</v>
      </c>
      <c r="M204">
        <v>18</v>
      </c>
      <c r="O204" s="26" t="s">
        <v>9167</v>
      </c>
      <c r="P204" s="25" t="s">
        <v>427</v>
      </c>
      <c r="Q204" s="25">
        <v>3876</v>
      </c>
      <c r="R204" t="s">
        <v>17</v>
      </c>
      <c r="S204">
        <f>+E204</f>
        <v>4</v>
      </c>
    </row>
    <row r="205" spans="1:20" hidden="1">
      <c r="A205" s="23" t="s">
        <v>428</v>
      </c>
      <c r="B205" s="23" t="s">
        <v>429</v>
      </c>
      <c r="C205" s="23">
        <v>3877</v>
      </c>
      <c r="E205">
        <v>4</v>
      </c>
      <c r="I205" s="3">
        <f>+IFERROR(VLOOKUP(C205,'Mov 2023 hasta ahora '!$C$2:$D$314,2,FALSE),"NO")</f>
        <v>46</v>
      </c>
      <c r="J205" t="s">
        <v>425</v>
      </c>
      <c r="K205">
        <v>5</v>
      </c>
      <c r="L205" t="s">
        <v>19</v>
      </c>
      <c r="M205">
        <v>18</v>
      </c>
      <c r="O205" s="25" t="s">
        <v>8539</v>
      </c>
      <c r="P205" s="25" t="s">
        <v>429</v>
      </c>
      <c r="Q205" s="25">
        <v>3877</v>
      </c>
      <c r="R205" t="s">
        <v>17</v>
      </c>
      <c r="S205">
        <f>+E205</f>
        <v>4</v>
      </c>
    </row>
    <row r="206" spans="1:20" hidden="1">
      <c r="A206" s="23" t="s">
        <v>430</v>
      </c>
      <c r="B206" s="23" t="s">
        <v>431</v>
      </c>
      <c r="C206" s="23">
        <v>3878</v>
      </c>
      <c r="I206" s="3">
        <f>+IFERROR(VLOOKUP(C206,'Mov 2023 hasta ahora '!$C$2:$D$314,2,FALSE),"NO")</f>
        <v>9</v>
      </c>
      <c r="J206" t="s">
        <v>425</v>
      </c>
      <c r="K206">
        <v>5</v>
      </c>
      <c r="L206" t="s">
        <v>19</v>
      </c>
      <c r="M206">
        <v>18</v>
      </c>
      <c r="O206" s="25" t="s">
        <v>8540</v>
      </c>
      <c r="P206" s="25" t="s">
        <v>431</v>
      </c>
      <c r="Q206" s="25">
        <v>3878</v>
      </c>
      <c r="R206" t="s">
        <v>17</v>
      </c>
    </row>
    <row r="207" spans="1:20" hidden="1">
      <c r="A207" s="23" t="s">
        <v>432</v>
      </c>
      <c r="B207" s="23" t="s">
        <v>433</v>
      </c>
      <c r="C207" s="23">
        <v>3882</v>
      </c>
      <c r="E207">
        <v>4</v>
      </c>
      <c r="I207" s="3">
        <f>+IFERROR(VLOOKUP(C207,'Mov 2023 hasta ahora '!$C$2:$D$314,2,FALSE),"NO")</f>
        <v>18</v>
      </c>
      <c r="J207" t="s">
        <v>425</v>
      </c>
      <c r="K207">
        <v>5</v>
      </c>
      <c r="L207" t="s">
        <v>19</v>
      </c>
      <c r="M207">
        <v>18</v>
      </c>
      <c r="O207" s="25" t="s">
        <v>8541</v>
      </c>
      <c r="P207" s="25" t="s">
        <v>433</v>
      </c>
      <c r="Q207" s="25">
        <v>3882</v>
      </c>
      <c r="R207" t="s">
        <v>17</v>
      </c>
      <c r="S207">
        <f>+E207</f>
        <v>4</v>
      </c>
    </row>
    <row r="208" spans="1:20" hidden="1">
      <c r="A208" s="23" t="s">
        <v>434</v>
      </c>
      <c r="B208" s="23" t="s">
        <v>435</v>
      </c>
      <c r="C208" s="23">
        <v>3883</v>
      </c>
      <c r="D208" t="s">
        <v>436</v>
      </c>
      <c r="E208">
        <v>4</v>
      </c>
      <c r="I208" s="3">
        <f>+IFERROR(VLOOKUP(C208,'Mov 2023 hasta ahora '!$C$2:$D$314,2,FALSE),"NO")</f>
        <v>13</v>
      </c>
      <c r="K208">
        <v>5</v>
      </c>
      <c r="L208" t="s">
        <v>19</v>
      </c>
      <c r="M208">
        <v>18</v>
      </c>
      <c r="O208" s="26" t="s">
        <v>8780</v>
      </c>
      <c r="P208" s="25" t="s">
        <v>435</v>
      </c>
      <c r="Q208" s="25">
        <v>3883</v>
      </c>
      <c r="R208" t="s">
        <v>17</v>
      </c>
      <c r="S208">
        <v>4</v>
      </c>
      <c r="T208">
        <v>2</v>
      </c>
    </row>
    <row r="209" spans="1:18" hidden="1">
      <c r="A209" t="s">
        <v>437</v>
      </c>
      <c r="B209" t="s">
        <v>438</v>
      </c>
      <c r="D209" t="s">
        <v>17</v>
      </c>
      <c r="I209" s="3" t="str">
        <f>+IFERROR(VLOOKUP(C209,'Mov 2023 hasta ahora '!$C$2:$D$314,2,FALSE),"NO")</f>
        <v>NO</v>
      </c>
      <c r="J209" t="s">
        <v>18</v>
      </c>
      <c r="K209">
        <v>3</v>
      </c>
      <c r="L209" t="s">
        <v>19</v>
      </c>
      <c r="M209">
        <v>10</v>
      </c>
    </row>
    <row r="210" spans="1:18" hidden="1">
      <c r="A210" t="s">
        <v>439</v>
      </c>
      <c r="B210" t="s">
        <v>440</v>
      </c>
      <c r="D210" t="s">
        <v>17</v>
      </c>
      <c r="I210" s="3" t="str">
        <f>+IFERROR(VLOOKUP(C210,'Mov 2023 hasta ahora '!$C$2:$D$314,2,FALSE),"NO")</f>
        <v>NO</v>
      </c>
      <c r="K210">
        <v>4</v>
      </c>
      <c r="L210" t="s">
        <v>19</v>
      </c>
      <c r="M210">
        <v>14</v>
      </c>
    </row>
    <row r="211" spans="1:18" hidden="1">
      <c r="A211" s="23" t="s">
        <v>441</v>
      </c>
      <c r="B211" s="23" t="s">
        <v>442</v>
      </c>
      <c r="C211" s="23">
        <v>82</v>
      </c>
      <c r="D211" t="s">
        <v>17</v>
      </c>
      <c r="H211" t="s">
        <v>8461</v>
      </c>
      <c r="I211" s="3" t="str">
        <f>+IFERROR(VLOOKUP(C211,'Mov 2023 hasta ahora '!$C$2:$D$314,2,FALSE),"NO")</f>
        <v>NO</v>
      </c>
      <c r="J211" t="s">
        <v>21</v>
      </c>
      <c r="K211">
        <v>5</v>
      </c>
      <c r="L211" t="s">
        <v>19</v>
      </c>
      <c r="M211">
        <v>18</v>
      </c>
      <c r="O211" s="26" t="s">
        <v>8783</v>
      </c>
      <c r="P211" s="25" t="s">
        <v>8784</v>
      </c>
      <c r="Q211" s="25">
        <v>82</v>
      </c>
    </row>
    <row r="212" spans="1:18" hidden="1">
      <c r="A212" s="23" t="s">
        <v>443</v>
      </c>
      <c r="B212" s="23" t="s">
        <v>444</v>
      </c>
      <c r="C212" s="23">
        <v>83</v>
      </c>
      <c r="D212" t="s">
        <v>17</v>
      </c>
      <c r="H212" t="s">
        <v>8461</v>
      </c>
      <c r="I212" s="3" t="str">
        <f>+IFERROR(VLOOKUP(C212,'Mov 2023 hasta ahora '!$C$2:$D$314,2,FALSE),"NO")</f>
        <v>NO</v>
      </c>
      <c r="J212" t="s">
        <v>21</v>
      </c>
      <c r="K212">
        <v>5</v>
      </c>
      <c r="L212" t="s">
        <v>19</v>
      </c>
      <c r="M212">
        <v>18</v>
      </c>
      <c r="O212" s="26" t="s">
        <v>8783</v>
      </c>
      <c r="P212" s="25" t="s">
        <v>8784</v>
      </c>
      <c r="Q212" s="25">
        <v>82</v>
      </c>
    </row>
    <row r="213" spans="1:18" hidden="1">
      <c r="A213" s="23" t="s">
        <v>445</v>
      </c>
      <c r="B213" s="23" t="s">
        <v>446</v>
      </c>
      <c r="C213" s="23">
        <v>84</v>
      </c>
      <c r="D213" t="s">
        <v>17</v>
      </c>
      <c r="H213" t="s">
        <v>8461</v>
      </c>
      <c r="I213" s="3" t="str">
        <f>+IFERROR(VLOOKUP(C213,'Mov 2023 hasta ahora '!$C$2:$D$314,2,FALSE),"NO")</f>
        <v>NO</v>
      </c>
      <c r="J213" t="s">
        <v>21</v>
      </c>
      <c r="K213">
        <v>5</v>
      </c>
      <c r="L213" t="s">
        <v>19</v>
      </c>
      <c r="M213">
        <v>18</v>
      </c>
      <c r="O213" s="26" t="s">
        <v>8783</v>
      </c>
      <c r="P213" s="25" t="s">
        <v>8784</v>
      </c>
      <c r="Q213" s="25">
        <v>82</v>
      </c>
    </row>
    <row r="214" spans="1:18" hidden="1">
      <c r="A214" s="23" t="s">
        <v>447</v>
      </c>
      <c r="B214" s="23" t="s">
        <v>448</v>
      </c>
      <c r="C214" s="23">
        <v>85</v>
      </c>
      <c r="D214" t="s">
        <v>17</v>
      </c>
      <c r="I214" s="3">
        <f>+IFERROR(VLOOKUP(C214,'Mov 2023 hasta ahora '!$C$2:$D$314,2,FALSE),"NO")</f>
        <v>3</v>
      </c>
      <c r="J214" t="s">
        <v>449</v>
      </c>
      <c r="K214">
        <v>5</v>
      </c>
      <c r="L214" t="s">
        <v>19</v>
      </c>
      <c r="M214">
        <v>18</v>
      </c>
      <c r="O214" s="25" t="s">
        <v>8509</v>
      </c>
      <c r="P214" s="25" t="s">
        <v>448</v>
      </c>
      <c r="Q214" s="25">
        <v>85</v>
      </c>
      <c r="R214" t="s">
        <v>17</v>
      </c>
    </row>
    <row r="215" spans="1:18" hidden="1">
      <c r="A215" s="23" t="s">
        <v>450</v>
      </c>
      <c r="B215" s="23" t="s">
        <v>451</v>
      </c>
      <c r="C215" s="23">
        <v>86</v>
      </c>
      <c r="D215" t="s">
        <v>17</v>
      </c>
      <c r="I215" s="3" t="str">
        <f>+IFERROR(VLOOKUP(C215,'Mov 2023 hasta ahora '!$C$2:$D$314,2,FALSE),"NO")</f>
        <v>NO</v>
      </c>
      <c r="J215" t="s">
        <v>452</v>
      </c>
      <c r="K215">
        <v>5</v>
      </c>
      <c r="L215" t="s">
        <v>19</v>
      </c>
      <c r="M215">
        <v>18</v>
      </c>
      <c r="O215" s="25" t="s">
        <v>8512</v>
      </c>
      <c r="P215" s="25" t="s">
        <v>451</v>
      </c>
      <c r="Q215" s="25">
        <v>86</v>
      </c>
      <c r="R215" t="s">
        <v>17</v>
      </c>
    </row>
    <row r="216" spans="1:18" hidden="1">
      <c r="A216" s="23" t="s">
        <v>453</v>
      </c>
      <c r="B216" s="23" t="s">
        <v>454</v>
      </c>
      <c r="C216" s="23">
        <v>87</v>
      </c>
      <c r="D216" t="s">
        <v>17</v>
      </c>
      <c r="I216" s="3">
        <f>+IFERROR(VLOOKUP(C216,'Mov 2023 hasta ahora '!$C$2:$D$314,2,FALSE),"NO")</f>
        <v>1</v>
      </c>
      <c r="J216" t="s">
        <v>452</v>
      </c>
      <c r="K216">
        <v>5</v>
      </c>
      <c r="L216" t="s">
        <v>19</v>
      </c>
      <c r="M216">
        <v>18</v>
      </c>
      <c r="O216" s="25" t="s">
        <v>8513</v>
      </c>
      <c r="P216" s="25" t="s">
        <v>454</v>
      </c>
      <c r="Q216" s="25">
        <v>87</v>
      </c>
      <c r="R216" t="s">
        <v>17</v>
      </c>
    </row>
    <row r="217" spans="1:18" hidden="1">
      <c r="A217" s="23" t="s">
        <v>455</v>
      </c>
      <c r="B217" s="23" t="s">
        <v>456</v>
      </c>
      <c r="C217" s="23">
        <v>1917</v>
      </c>
      <c r="D217" t="s">
        <v>17</v>
      </c>
      <c r="I217" s="3" t="str">
        <f>+IFERROR(VLOOKUP(C217,'Mov 2023 hasta ahora '!$C$2:$D$314,2,FALSE),"NO")</f>
        <v>NO</v>
      </c>
      <c r="J217" t="s">
        <v>452</v>
      </c>
      <c r="K217">
        <v>5</v>
      </c>
      <c r="L217" t="s">
        <v>19</v>
      </c>
      <c r="M217">
        <v>18</v>
      </c>
      <c r="O217" s="25" t="s">
        <v>8514</v>
      </c>
      <c r="P217" s="25" t="s">
        <v>456</v>
      </c>
      <c r="Q217" s="25">
        <v>1917</v>
      </c>
      <c r="R217" t="s">
        <v>17</v>
      </c>
    </row>
    <row r="218" spans="1:18" hidden="1">
      <c r="A218" s="23" t="s">
        <v>457</v>
      </c>
      <c r="B218" s="23" t="s">
        <v>458</v>
      </c>
      <c r="C218" s="23">
        <v>1976</v>
      </c>
      <c r="D218" t="s">
        <v>17</v>
      </c>
      <c r="H218" t="s">
        <v>8461</v>
      </c>
      <c r="I218" s="3" t="str">
        <f>+IFERROR(VLOOKUP(C218,'Mov 2023 hasta ahora '!$C$2:$D$314,2,FALSE),"NO")</f>
        <v>NO</v>
      </c>
      <c r="J218" t="s">
        <v>21</v>
      </c>
      <c r="K218">
        <v>5</v>
      </c>
      <c r="L218" t="s">
        <v>19</v>
      </c>
      <c r="M218">
        <v>18</v>
      </c>
      <c r="O218" s="26" t="s">
        <v>8783</v>
      </c>
      <c r="P218" s="25" t="s">
        <v>8784</v>
      </c>
      <c r="Q218" s="25">
        <v>82</v>
      </c>
    </row>
    <row r="219" spans="1:18" hidden="1">
      <c r="A219" s="23" t="s">
        <v>459</v>
      </c>
      <c r="B219" s="23" t="s">
        <v>460</v>
      </c>
      <c r="C219" s="23">
        <v>3506</v>
      </c>
      <c r="E219">
        <v>1</v>
      </c>
      <c r="I219" s="3" t="str">
        <f>+IFERROR(VLOOKUP(C219,'Mov 2023 hasta ahora '!$C$2:$D$314,2,FALSE),"NO")</f>
        <v>NO</v>
      </c>
      <c r="J219" t="s">
        <v>452</v>
      </c>
      <c r="K219">
        <v>5</v>
      </c>
      <c r="L219" t="s">
        <v>19</v>
      </c>
      <c r="M219">
        <v>18</v>
      </c>
      <c r="O219" s="26" t="s">
        <v>8462</v>
      </c>
      <c r="P219" s="25" t="s">
        <v>8466</v>
      </c>
      <c r="Q219" s="25">
        <v>1822</v>
      </c>
    </row>
    <row r="220" spans="1:18" hidden="1">
      <c r="A220" t="s">
        <v>461</v>
      </c>
      <c r="B220" t="s">
        <v>462</v>
      </c>
      <c r="D220" t="s">
        <v>17</v>
      </c>
      <c r="I220" s="3" t="str">
        <f>+IFERROR(VLOOKUP(C220,'Mov 2023 hasta ahora '!$C$2:$D$314,2,FALSE),"NO")</f>
        <v>NO</v>
      </c>
      <c r="J220" t="s">
        <v>463</v>
      </c>
      <c r="K220">
        <v>4</v>
      </c>
      <c r="L220" t="s">
        <v>19</v>
      </c>
      <c r="M220">
        <v>14</v>
      </c>
    </row>
    <row r="221" spans="1:18" hidden="1">
      <c r="A221" s="23" t="s">
        <v>464</v>
      </c>
      <c r="B221" s="23" t="s">
        <v>465</v>
      </c>
      <c r="C221" s="23">
        <v>88</v>
      </c>
      <c r="D221" t="s">
        <v>17</v>
      </c>
      <c r="H221" t="s">
        <v>8461</v>
      </c>
      <c r="I221" s="3" t="str">
        <f>+IFERROR(VLOOKUP(C221,'Mov 2023 hasta ahora '!$C$2:$D$314,2,FALSE),"NO")</f>
        <v>NO</v>
      </c>
      <c r="J221" t="s">
        <v>21</v>
      </c>
      <c r="K221">
        <v>5</v>
      </c>
      <c r="L221" t="s">
        <v>19</v>
      </c>
      <c r="M221">
        <v>18</v>
      </c>
      <c r="O221" s="26" t="s">
        <v>8783</v>
      </c>
      <c r="P221" s="25" t="s">
        <v>8784</v>
      </c>
      <c r="Q221" s="25">
        <v>82</v>
      </c>
    </row>
    <row r="222" spans="1:18" hidden="1">
      <c r="A222" s="23" t="s">
        <v>466</v>
      </c>
      <c r="B222" s="23" t="s">
        <v>467</v>
      </c>
      <c r="C222" s="23">
        <v>89</v>
      </c>
      <c r="D222" t="s">
        <v>17</v>
      </c>
      <c r="H222" t="s">
        <v>8461</v>
      </c>
      <c r="I222" s="3" t="str">
        <f>+IFERROR(VLOOKUP(C222,'Mov 2023 hasta ahora '!$C$2:$D$314,2,FALSE),"NO")</f>
        <v>NO</v>
      </c>
      <c r="J222" t="s">
        <v>21</v>
      </c>
      <c r="K222">
        <v>5</v>
      </c>
      <c r="L222" t="s">
        <v>19</v>
      </c>
      <c r="M222">
        <v>18</v>
      </c>
      <c r="O222" s="26" t="s">
        <v>8783</v>
      </c>
      <c r="P222" s="25" t="s">
        <v>8784</v>
      </c>
      <c r="Q222" s="25">
        <v>82</v>
      </c>
    </row>
    <row r="223" spans="1:18" hidden="1">
      <c r="A223" s="23" t="s">
        <v>468</v>
      </c>
      <c r="B223" s="23" t="s">
        <v>469</v>
      </c>
      <c r="C223" s="23">
        <v>90</v>
      </c>
      <c r="D223" t="s">
        <v>17</v>
      </c>
      <c r="I223" s="3">
        <f>+IFERROR(VLOOKUP(C223,'Mov 2023 hasta ahora '!$C$2:$D$314,2,FALSE),"NO")</f>
        <v>10</v>
      </c>
      <c r="K223">
        <v>5</v>
      </c>
      <c r="L223" t="s">
        <v>19</v>
      </c>
      <c r="M223">
        <v>18</v>
      </c>
      <c r="O223" s="25" t="s">
        <v>8516</v>
      </c>
      <c r="P223" s="25" t="s">
        <v>469</v>
      </c>
      <c r="Q223" s="25">
        <v>90</v>
      </c>
      <c r="R223" t="s">
        <v>17</v>
      </c>
    </row>
    <row r="224" spans="1:18" hidden="1">
      <c r="A224" s="23" t="s">
        <v>470</v>
      </c>
      <c r="B224" s="23" t="s">
        <v>471</v>
      </c>
      <c r="C224" s="23">
        <v>91</v>
      </c>
      <c r="D224" t="s">
        <v>17</v>
      </c>
      <c r="I224" s="3" t="str">
        <f>+IFERROR(VLOOKUP(C224,'Mov 2023 hasta ahora '!$C$2:$D$314,2,FALSE),"NO")</f>
        <v>NO</v>
      </c>
      <c r="K224">
        <v>5</v>
      </c>
      <c r="L224" t="s">
        <v>19</v>
      </c>
      <c r="M224">
        <v>18</v>
      </c>
      <c r="O224" s="25" t="s">
        <v>8782</v>
      </c>
      <c r="P224" s="25" t="s">
        <v>471</v>
      </c>
      <c r="Q224" s="25">
        <v>91</v>
      </c>
      <c r="R224" t="s">
        <v>17</v>
      </c>
    </row>
    <row r="225" spans="1:18" hidden="1">
      <c r="A225" s="23" t="s">
        <v>472</v>
      </c>
      <c r="B225" s="23" t="s">
        <v>473</v>
      </c>
      <c r="C225" s="23">
        <v>92</v>
      </c>
      <c r="D225" t="s">
        <v>17</v>
      </c>
      <c r="I225" s="3">
        <f>+IFERROR(VLOOKUP(C225,'Mov 2023 hasta ahora '!$C$2:$D$314,2,FALSE),"NO")</f>
        <v>2</v>
      </c>
      <c r="K225">
        <v>5</v>
      </c>
      <c r="L225" t="s">
        <v>19</v>
      </c>
      <c r="M225">
        <v>18</v>
      </c>
      <c r="O225" s="25" t="s">
        <v>8521</v>
      </c>
      <c r="P225" s="25" t="s">
        <v>8520</v>
      </c>
      <c r="Q225" s="25">
        <v>92</v>
      </c>
      <c r="R225" t="s">
        <v>17</v>
      </c>
    </row>
    <row r="226" spans="1:18" hidden="1">
      <c r="A226" s="23" t="s">
        <v>474</v>
      </c>
      <c r="B226" s="23" t="s">
        <v>475</v>
      </c>
      <c r="C226" s="23">
        <v>93</v>
      </c>
      <c r="D226" t="s">
        <v>17</v>
      </c>
      <c r="I226" s="3" t="str">
        <f>+IFERROR(VLOOKUP(C226,'Mov 2023 hasta ahora '!$C$2:$D$314,2,FALSE),"NO")</f>
        <v>NO</v>
      </c>
      <c r="K226">
        <v>5</v>
      </c>
      <c r="L226" t="s">
        <v>19</v>
      </c>
      <c r="M226">
        <v>18</v>
      </c>
      <c r="O226" s="25" t="s">
        <v>8523</v>
      </c>
      <c r="P226" s="25" t="s">
        <v>475</v>
      </c>
      <c r="Q226" s="25">
        <v>93</v>
      </c>
      <c r="R226" t="s">
        <v>17</v>
      </c>
    </row>
    <row r="227" spans="1:18" hidden="1">
      <c r="A227" s="23" t="s">
        <v>476</v>
      </c>
      <c r="B227" s="23" t="s">
        <v>477</v>
      </c>
      <c r="C227" s="23">
        <v>2909</v>
      </c>
      <c r="D227" t="s">
        <v>17</v>
      </c>
      <c r="H227" s="6">
        <v>210000</v>
      </c>
      <c r="I227" s="3" t="str">
        <f>+IFERROR(VLOOKUP(C227,'Mov 2023 hasta ahora '!$C$2:$D$314,2,FALSE),"NO")</f>
        <v>NO</v>
      </c>
      <c r="J227" t="s">
        <v>21</v>
      </c>
      <c r="K227">
        <v>5</v>
      </c>
      <c r="L227" t="s">
        <v>19</v>
      </c>
      <c r="M227">
        <v>18</v>
      </c>
      <c r="O227" s="25" t="s">
        <v>8513</v>
      </c>
      <c r="P227" s="25" t="s">
        <v>454</v>
      </c>
      <c r="Q227" s="25">
        <v>87</v>
      </c>
    </row>
    <row r="228" spans="1:18" hidden="1">
      <c r="A228" s="23" t="s">
        <v>478</v>
      </c>
      <c r="B228" s="23" t="s">
        <v>479</v>
      </c>
      <c r="C228" s="23">
        <v>2910</v>
      </c>
      <c r="D228" t="s">
        <v>17</v>
      </c>
      <c r="H228" t="s">
        <v>8461</v>
      </c>
      <c r="I228" s="3" t="str">
        <f>+IFERROR(VLOOKUP(C228,'Mov 2023 hasta ahora '!$C$2:$D$314,2,FALSE),"NO")</f>
        <v>NO</v>
      </c>
      <c r="J228" t="s">
        <v>21</v>
      </c>
      <c r="K228">
        <v>5</v>
      </c>
      <c r="L228" t="s">
        <v>19</v>
      </c>
      <c r="M228">
        <v>18</v>
      </c>
      <c r="O228" s="26" t="s">
        <v>8783</v>
      </c>
      <c r="P228" s="25" t="s">
        <v>8784</v>
      </c>
      <c r="Q228" s="25">
        <v>82</v>
      </c>
    </row>
    <row r="229" spans="1:18" hidden="1">
      <c r="A229" s="23" t="s">
        <v>480</v>
      </c>
      <c r="B229" s="23" t="s">
        <v>481</v>
      </c>
      <c r="C229" s="23">
        <v>2911</v>
      </c>
      <c r="D229" t="s">
        <v>17</v>
      </c>
      <c r="H229" t="s">
        <v>8461</v>
      </c>
      <c r="I229" s="3" t="str">
        <f>+IFERROR(VLOOKUP(C229,'Mov 2023 hasta ahora '!$C$2:$D$314,2,FALSE),"NO")</f>
        <v>NO</v>
      </c>
      <c r="J229" t="s">
        <v>21</v>
      </c>
      <c r="K229">
        <v>5</v>
      </c>
      <c r="L229" t="s">
        <v>19</v>
      </c>
      <c r="M229">
        <v>18</v>
      </c>
      <c r="O229" s="26" t="s">
        <v>8783</v>
      </c>
      <c r="P229" s="25" t="s">
        <v>8784</v>
      </c>
      <c r="Q229" s="25">
        <v>82</v>
      </c>
    </row>
    <row r="230" spans="1:18" hidden="1">
      <c r="A230" s="23" t="s">
        <v>482</v>
      </c>
      <c r="B230" s="23" t="s">
        <v>483</v>
      </c>
      <c r="C230" s="23">
        <v>3424</v>
      </c>
      <c r="D230" t="s">
        <v>17</v>
      </c>
      <c r="H230" t="s">
        <v>8461</v>
      </c>
      <c r="I230" s="3" t="str">
        <f>+IFERROR(VLOOKUP(C230,'Mov 2023 hasta ahora '!$C$2:$D$314,2,FALSE),"NO")</f>
        <v>NO</v>
      </c>
      <c r="J230" t="s">
        <v>21</v>
      </c>
      <c r="K230">
        <v>5</v>
      </c>
      <c r="L230" t="s">
        <v>19</v>
      </c>
      <c r="M230">
        <v>18</v>
      </c>
      <c r="O230" s="26" t="s">
        <v>8783</v>
      </c>
      <c r="P230" s="25" t="s">
        <v>8784</v>
      </c>
      <c r="Q230" s="25">
        <v>82</v>
      </c>
    </row>
    <row r="231" spans="1:18" hidden="1">
      <c r="A231" s="23" t="s">
        <v>484</v>
      </c>
      <c r="B231" s="23" t="s">
        <v>485</v>
      </c>
      <c r="C231" s="23">
        <v>3819</v>
      </c>
      <c r="D231" t="s">
        <v>17</v>
      </c>
      <c r="H231" s="6">
        <v>37023085.420000002</v>
      </c>
      <c r="I231" s="3" t="str">
        <f>+IFERROR(VLOOKUP(C231,'Mov 2023 hasta ahora '!$C$2:$D$314,2,FALSE),"NO")</f>
        <v>NO</v>
      </c>
      <c r="J231" t="s">
        <v>452</v>
      </c>
      <c r="K231">
        <v>5</v>
      </c>
      <c r="L231" t="s">
        <v>19</v>
      </c>
      <c r="M231">
        <v>18</v>
      </c>
      <c r="O231" s="25" t="s">
        <v>8518</v>
      </c>
      <c r="P231" s="25" t="s">
        <v>485</v>
      </c>
      <c r="Q231" s="25">
        <v>3819</v>
      </c>
      <c r="R231" t="s">
        <v>17</v>
      </c>
    </row>
    <row r="232" spans="1:18" hidden="1">
      <c r="A232" t="s">
        <v>486</v>
      </c>
      <c r="B232" t="s">
        <v>487</v>
      </c>
      <c r="D232" t="s">
        <v>17</v>
      </c>
      <c r="I232" s="3" t="str">
        <f>+IFERROR(VLOOKUP(C232,'Mov 2023 hasta ahora '!$C$2:$D$314,2,FALSE),"NO")</f>
        <v>NO</v>
      </c>
      <c r="J232" t="s">
        <v>18</v>
      </c>
      <c r="K232">
        <v>3</v>
      </c>
      <c r="L232" t="s">
        <v>19</v>
      </c>
      <c r="M232">
        <v>10</v>
      </c>
    </row>
    <row r="233" spans="1:18" hidden="1">
      <c r="A233" t="s">
        <v>488</v>
      </c>
      <c r="B233" t="s">
        <v>489</v>
      </c>
      <c r="D233" t="s">
        <v>17</v>
      </c>
      <c r="I233" s="3" t="str">
        <f>+IFERROR(VLOOKUP(C233,'Mov 2023 hasta ahora '!$C$2:$D$314,2,FALSE),"NO")</f>
        <v>NO</v>
      </c>
      <c r="J233" t="s">
        <v>490</v>
      </c>
      <c r="K233">
        <v>4</v>
      </c>
      <c r="L233" t="s">
        <v>19</v>
      </c>
      <c r="M233">
        <v>14</v>
      </c>
    </row>
    <row r="234" spans="1:18" hidden="1">
      <c r="A234" s="23" t="s">
        <v>491</v>
      </c>
      <c r="B234" s="23" t="s">
        <v>492</v>
      </c>
      <c r="C234" s="23">
        <v>94</v>
      </c>
      <c r="D234" t="s">
        <v>17</v>
      </c>
      <c r="I234" s="3">
        <f>+IFERROR(VLOOKUP(C234,'Mov 2023 hasta ahora '!$C$2:$D$314,2,FALSE),"NO")</f>
        <v>2</v>
      </c>
      <c r="K234">
        <v>5</v>
      </c>
      <c r="L234" t="s">
        <v>19</v>
      </c>
      <c r="M234">
        <v>18</v>
      </c>
      <c r="O234" s="25" t="s">
        <v>8517</v>
      </c>
      <c r="P234" s="25" t="s">
        <v>492</v>
      </c>
      <c r="Q234" s="25">
        <v>94</v>
      </c>
      <c r="R234" t="s">
        <v>17</v>
      </c>
    </row>
    <row r="235" spans="1:18" hidden="1">
      <c r="A235" s="23" t="s">
        <v>493</v>
      </c>
      <c r="B235" s="23" t="s">
        <v>494</v>
      </c>
      <c r="C235" s="23">
        <v>95</v>
      </c>
      <c r="D235" t="s">
        <v>17</v>
      </c>
      <c r="H235" t="s">
        <v>8461</v>
      </c>
      <c r="I235" s="3" t="str">
        <f>+IFERROR(VLOOKUP(C235,'Mov 2023 hasta ahora '!$C$2:$D$314,2,FALSE),"NO")</f>
        <v>NO</v>
      </c>
      <c r="J235" t="s">
        <v>21</v>
      </c>
      <c r="K235">
        <v>5</v>
      </c>
      <c r="L235" t="s">
        <v>19</v>
      </c>
      <c r="M235">
        <v>18</v>
      </c>
      <c r="O235" s="26" t="s">
        <v>8517</v>
      </c>
      <c r="P235" s="25" t="s">
        <v>492</v>
      </c>
      <c r="Q235" s="25">
        <v>94</v>
      </c>
    </row>
    <row r="236" spans="1:18" hidden="1">
      <c r="A236" s="23" t="s">
        <v>495</v>
      </c>
      <c r="B236" s="23" t="s">
        <v>496</v>
      </c>
      <c r="C236" s="23">
        <v>96</v>
      </c>
      <c r="D236" t="s">
        <v>17</v>
      </c>
      <c r="H236" t="s">
        <v>8461</v>
      </c>
      <c r="I236" s="3" t="str">
        <f>+IFERROR(VLOOKUP(C236,'Mov 2023 hasta ahora '!$C$2:$D$314,2,FALSE),"NO")</f>
        <v>NO</v>
      </c>
      <c r="J236" t="s">
        <v>21</v>
      </c>
      <c r="K236">
        <v>5</v>
      </c>
      <c r="L236" t="s">
        <v>19</v>
      </c>
      <c r="M236">
        <v>18</v>
      </c>
      <c r="O236" s="26" t="s">
        <v>8517</v>
      </c>
      <c r="P236" s="25" t="s">
        <v>492</v>
      </c>
      <c r="Q236" s="25">
        <v>94</v>
      </c>
    </row>
    <row r="237" spans="1:18" hidden="1">
      <c r="A237" s="23" t="s">
        <v>497</v>
      </c>
      <c r="B237" s="23" t="s">
        <v>498</v>
      </c>
      <c r="C237" s="23">
        <v>97</v>
      </c>
      <c r="D237" t="s">
        <v>17</v>
      </c>
      <c r="H237" t="s">
        <v>8461</v>
      </c>
      <c r="I237" s="3" t="str">
        <f>+IFERROR(VLOOKUP(C237,'Mov 2023 hasta ahora '!$C$2:$D$314,2,FALSE),"NO")</f>
        <v>NO</v>
      </c>
      <c r="J237" t="s">
        <v>21</v>
      </c>
      <c r="K237">
        <v>5</v>
      </c>
      <c r="L237" t="s">
        <v>19</v>
      </c>
      <c r="M237">
        <v>18</v>
      </c>
      <c r="O237" s="26" t="s">
        <v>8517</v>
      </c>
      <c r="P237" s="25" t="s">
        <v>492</v>
      </c>
      <c r="Q237" s="25">
        <v>94</v>
      </c>
    </row>
    <row r="238" spans="1:18" hidden="1">
      <c r="A238" s="23" t="s">
        <v>499</v>
      </c>
      <c r="B238" s="23" t="s">
        <v>500</v>
      </c>
      <c r="C238" s="23">
        <v>98</v>
      </c>
      <c r="D238" t="s">
        <v>17</v>
      </c>
      <c r="I238" s="3" t="str">
        <f>+IFERROR(VLOOKUP(C238,'Mov 2023 hasta ahora '!$C$2:$D$314,2,FALSE),"NO")</f>
        <v>NO</v>
      </c>
      <c r="K238">
        <v>5</v>
      </c>
      <c r="L238" t="s">
        <v>19</v>
      </c>
      <c r="M238">
        <v>18</v>
      </c>
      <c r="O238" s="25" t="s">
        <v>8510</v>
      </c>
      <c r="P238" s="25" t="s">
        <v>8532</v>
      </c>
      <c r="Q238" s="25">
        <v>98</v>
      </c>
      <c r="R238" t="s">
        <v>17</v>
      </c>
    </row>
    <row r="239" spans="1:18" hidden="1">
      <c r="A239" s="23" t="s">
        <v>501</v>
      </c>
      <c r="B239" s="23" t="s">
        <v>502</v>
      </c>
      <c r="C239" s="23">
        <v>99</v>
      </c>
      <c r="D239" t="s">
        <v>17</v>
      </c>
      <c r="I239" s="3" t="str">
        <f>+IFERROR(VLOOKUP(C239,'Mov 2023 hasta ahora '!$C$2:$D$314,2,FALSE),"NO")</f>
        <v>NO</v>
      </c>
      <c r="J239" t="s">
        <v>503</v>
      </c>
      <c r="K239">
        <v>5</v>
      </c>
      <c r="L239" t="s">
        <v>19</v>
      </c>
      <c r="M239">
        <v>18</v>
      </c>
      <c r="O239" s="25" t="s">
        <v>8533</v>
      </c>
      <c r="P239" s="25" t="s">
        <v>8534</v>
      </c>
      <c r="Q239" s="25">
        <v>99</v>
      </c>
      <c r="R239" t="s">
        <v>17</v>
      </c>
    </row>
    <row r="240" spans="1:18" hidden="1">
      <c r="A240" t="s">
        <v>504</v>
      </c>
      <c r="B240" t="s">
        <v>505</v>
      </c>
      <c r="D240" t="s">
        <v>17</v>
      </c>
      <c r="I240" s="3" t="str">
        <f>+IFERROR(VLOOKUP(C240,'Mov 2023 hasta ahora '!$C$2:$D$314,2,FALSE),"NO")</f>
        <v>NO</v>
      </c>
      <c r="J240" t="s">
        <v>490</v>
      </c>
      <c r="K240">
        <v>4</v>
      </c>
      <c r="L240" t="s">
        <v>19</v>
      </c>
      <c r="M240">
        <v>14</v>
      </c>
    </row>
    <row r="241" spans="1:18" hidden="1">
      <c r="A241" s="23" t="s">
        <v>506</v>
      </c>
      <c r="B241" s="23" t="s">
        <v>507</v>
      </c>
      <c r="C241" s="23">
        <v>100</v>
      </c>
      <c r="D241" t="s">
        <v>17</v>
      </c>
      <c r="H241" t="s">
        <v>8461</v>
      </c>
      <c r="I241" s="3" t="str">
        <f>+IFERROR(VLOOKUP(C241,'Mov 2023 hasta ahora '!$C$2:$D$314,2,FALSE),"NO")</f>
        <v>NO</v>
      </c>
      <c r="J241" t="s">
        <v>21</v>
      </c>
      <c r="K241">
        <v>5</v>
      </c>
      <c r="L241" t="s">
        <v>19</v>
      </c>
      <c r="M241">
        <v>18</v>
      </c>
      <c r="O241" s="26" t="s">
        <v>8517</v>
      </c>
      <c r="P241" s="25" t="s">
        <v>492</v>
      </c>
      <c r="Q241" s="25">
        <v>94</v>
      </c>
    </row>
    <row r="242" spans="1:18" hidden="1">
      <c r="A242" s="23" t="s">
        <v>508</v>
      </c>
      <c r="B242" s="23" t="s">
        <v>509</v>
      </c>
      <c r="C242" s="23">
        <v>101</v>
      </c>
      <c r="D242" t="s">
        <v>17</v>
      </c>
      <c r="H242" t="s">
        <v>8461</v>
      </c>
      <c r="I242" s="3" t="str">
        <f>+IFERROR(VLOOKUP(C242,'Mov 2023 hasta ahora '!$C$2:$D$314,2,FALSE),"NO")</f>
        <v>NO</v>
      </c>
      <c r="J242" t="s">
        <v>21</v>
      </c>
      <c r="K242">
        <v>5</v>
      </c>
      <c r="L242" t="s">
        <v>19</v>
      </c>
      <c r="M242">
        <v>18</v>
      </c>
      <c r="O242" s="26" t="s">
        <v>8517</v>
      </c>
      <c r="P242" s="25" t="s">
        <v>492</v>
      </c>
      <c r="Q242" s="25">
        <v>94</v>
      </c>
    </row>
    <row r="243" spans="1:18" hidden="1">
      <c r="A243" s="23" t="s">
        <v>510</v>
      </c>
      <c r="B243" s="23" t="s">
        <v>511</v>
      </c>
      <c r="C243" s="23">
        <v>102</v>
      </c>
      <c r="D243" t="s">
        <v>17</v>
      </c>
      <c r="I243" s="3" t="str">
        <f>+IFERROR(VLOOKUP(C243,'Mov 2023 hasta ahora '!$C$2:$D$314,2,FALSE),"NO")</f>
        <v>NO</v>
      </c>
      <c r="K243">
        <v>5</v>
      </c>
      <c r="L243" t="s">
        <v>19</v>
      </c>
      <c r="M243">
        <v>18</v>
      </c>
      <c r="O243" s="25" t="s">
        <v>8524</v>
      </c>
      <c r="P243" s="25" t="s">
        <v>511</v>
      </c>
      <c r="Q243" s="25">
        <v>102</v>
      </c>
      <c r="R243" t="s">
        <v>17</v>
      </c>
    </row>
    <row r="244" spans="1:18" hidden="1">
      <c r="A244" s="23" t="s">
        <v>512</v>
      </c>
      <c r="B244" s="23" t="s">
        <v>513</v>
      </c>
      <c r="C244" s="23">
        <v>103</v>
      </c>
      <c r="D244" t="s">
        <v>17</v>
      </c>
      <c r="H244" t="s">
        <v>8461</v>
      </c>
      <c r="I244" s="3" t="str">
        <f>+IFERROR(VLOOKUP(C244,'Mov 2023 hasta ahora '!$C$2:$D$314,2,FALSE),"NO")</f>
        <v>NO</v>
      </c>
      <c r="J244" t="s">
        <v>21</v>
      </c>
      <c r="K244">
        <v>5</v>
      </c>
      <c r="L244" t="s">
        <v>19</v>
      </c>
      <c r="M244">
        <v>18</v>
      </c>
      <c r="O244" s="26" t="s">
        <v>8517</v>
      </c>
      <c r="P244" s="25" t="s">
        <v>492</v>
      </c>
      <c r="Q244" s="25">
        <v>94</v>
      </c>
    </row>
    <row r="245" spans="1:18" hidden="1">
      <c r="A245" s="23" t="s">
        <v>514</v>
      </c>
      <c r="B245" s="23" t="s">
        <v>515</v>
      </c>
      <c r="C245" s="23">
        <v>104</v>
      </c>
      <c r="D245" t="s">
        <v>17</v>
      </c>
      <c r="I245" s="3">
        <f>+IFERROR(VLOOKUP(C245,'Mov 2023 hasta ahora '!$C$2:$D$314,2,FALSE),"NO")</f>
        <v>1</v>
      </c>
      <c r="K245">
        <v>5</v>
      </c>
      <c r="L245" t="s">
        <v>19</v>
      </c>
      <c r="M245">
        <v>18</v>
      </c>
      <c r="O245" s="25" t="s">
        <v>8525</v>
      </c>
      <c r="P245" s="25" t="s">
        <v>515</v>
      </c>
      <c r="Q245" s="25">
        <v>104</v>
      </c>
      <c r="R245" t="s">
        <v>17</v>
      </c>
    </row>
    <row r="246" spans="1:18" hidden="1">
      <c r="A246" s="23" t="s">
        <v>516</v>
      </c>
      <c r="B246" s="23" t="s">
        <v>517</v>
      </c>
      <c r="C246" s="23">
        <v>105</v>
      </c>
      <c r="D246" t="s">
        <v>17</v>
      </c>
      <c r="H246" t="s">
        <v>8461</v>
      </c>
      <c r="I246" s="3" t="str">
        <f>+IFERROR(VLOOKUP(C246,'Mov 2023 hasta ahora '!$C$2:$D$314,2,FALSE),"NO")</f>
        <v>NO</v>
      </c>
      <c r="J246" t="s">
        <v>21</v>
      </c>
      <c r="K246">
        <v>5</v>
      </c>
      <c r="L246" t="s">
        <v>19</v>
      </c>
      <c r="M246">
        <v>18</v>
      </c>
      <c r="O246" s="26" t="s">
        <v>8517</v>
      </c>
      <c r="P246" s="25" t="s">
        <v>492</v>
      </c>
      <c r="Q246" s="25">
        <v>94</v>
      </c>
    </row>
    <row r="247" spans="1:18" hidden="1">
      <c r="A247" s="23" t="s">
        <v>518</v>
      </c>
      <c r="B247" s="23" t="s">
        <v>519</v>
      </c>
      <c r="C247" s="23">
        <v>107</v>
      </c>
      <c r="D247" t="s">
        <v>17</v>
      </c>
      <c r="H247" t="s">
        <v>8461</v>
      </c>
      <c r="I247" s="3" t="str">
        <f>+IFERROR(VLOOKUP(C247,'Mov 2023 hasta ahora '!$C$2:$D$314,2,FALSE),"NO")</f>
        <v>NO</v>
      </c>
      <c r="J247" t="s">
        <v>21</v>
      </c>
      <c r="K247">
        <v>5</v>
      </c>
      <c r="L247" t="s">
        <v>19</v>
      </c>
      <c r="M247">
        <v>18</v>
      </c>
      <c r="O247" s="26" t="s">
        <v>8517</v>
      </c>
      <c r="P247" s="25" t="s">
        <v>492</v>
      </c>
      <c r="Q247" s="25">
        <v>94</v>
      </c>
    </row>
    <row r="248" spans="1:18" hidden="1">
      <c r="A248" s="23" t="s">
        <v>520</v>
      </c>
      <c r="B248" s="23" t="s">
        <v>521</v>
      </c>
      <c r="C248" s="23">
        <v>106</v>
      </c>
      <c r="D248" t="s">
        <v>17</v>
      </c>
      <c r="H248" t="s">
        <v>8461</v>
      </c>
      <c r="I248" s="3" t="str">
        <f>+IFERROR(VLOOKUP(C248,'Mov 2023 hasta ahora '!$C$2:$D$314,2,FALSE),"NO")</f>
        <v>NO</v>
      </c>
      <c r="J248" t="s">
        <v>21</v>
      </c>
      <c r="K248">
        <v>5</v>
      </c>
      <c r="L248" t="s">
        <v>19</v>
      </c>
      <c r="M248">
        <v>18</v>
      </c>
      <c r="O248" s="26" t="s">
        <v>8517</v>
      </c>
      <c r="P248" s="25" t="s">
        <v>492</v>
      </c>
      <c r="Q248" s="25">
        <v>94</v>
      </c>
    </row>
    <row r="249" spans="1:18" hidden="1">
      <c r="A249" s="23" t="s">
        <v>522</v>
      </c>
      <c r="B249" s="23" t="s">
        <v>523</v>
      </c>
      <c r="C249" s="23">
        <v>108</v>
      </c>
      <c r="D249" t="s">
        <v>17</v>
      </c>
      <c r="H249" t="s">
        <v>8461</v>
      </c>
      <c r="I249" s="3" t="str">
        <f>+IFERROR(VLOOKUP(C249,'Mov 2023 hasta ahora '!$C$2:$D$314,2,FALSE),"NO")</f>
        <v>NO</v>
      </c>
      <c r="J249" t="s">
        <v>21</v>
      </c>
      <c r="K249">
        <v>5</v>
      </c>
      <c r="L249" t="s">
        <v>19</v>
      </c>
      <c r="M249">
        <v>18</v>
      </c>
      <c r="O249" s="26" t="s">
        <v>8517</v>
      </c>
      <c r="P249" s="25" t="s">
        <v>492</v>
      </c>
      <c r="Q249" s="25">
        <v>94</v>
      </c>
    </row>
    <row r="250" spans="1:18" hidden="1">
      <c r="A250" s="23" t="s">
        <v>524</v>
      </c>
      <c r="B250" s="23" t="s">
        <v>525</v>
      </c>
      <c r="C250" s="23">
        <v>109</v>
      </c>
      <c r="D250" t="s">
        <v>17</v>
      </c>
      <c r="I250" s="3" t="str">
        <f>+IFERROR(VLOOKUP(C250,'Mov 2023 hasta ahora '!$C$2:$D$314,2,FALSE),"NO")</f>
        <v>NO</v>
      </c>
      <c r="J250" t="s">
        <v>503</v>
      </c>
      <c r="K250">
        <v>5</v>
      </c>
      <c r="L250" t="s">
        <v>19</v>
      </c>
      <c r="M250">
        <v>18</v>
      </c>
      <c r="O250" s="25" t="s">
        <v>8535</v>
      </c>
      <c r="P250" s="25" t="s">
        <v>525</v>
      </c>
      <c r="Q250" s="25">
        <v>109</v>
      </c>
      <c r="R250" t="s">
        <v>17</v>
      </c>
    </row>
    <row r="251" spans="1:18" hidden="1">
      <c r="A251" s="23" t="s">
        <v>526</v>
      </c>
      <c r="B251" s="23" t="s">
        <v>527</v>
      </c>
      <c r="C251" s="23">
        <v>110</v>
      </c>
      <c r="D251" t="s">
        <v>17</v>
      </c>
      <c r="H251" t="s">
        <v>8461</v>
      </c>
      <c r="I251" s="3" t="str">
        <f>+IFERROR(VLOOKUP(C251,'Mov 2023 hasta ahora '!$C$2:$D$314,2,FALSE),"NO")</f>
        <v>NO</v>
      </c>
      <c r="J251" t="s">
        <v>21</v>
      </c>
      <c r="K251">
        <v>5</v>
      </c>
      <c r="L251" t="s">
        <v>19</v>
      </c>
      <c r="M251">
        <v>18</v>
      </c>
      <c r="O251" s="26" t="s">
        <v>8517</v>
      </c>
      <c r="P251" s="25" t="s">
        <v>492</v>
      </c>
      <c r="Q251" s="25">
        <v>94</v>
      </c>
    </row>
    <row r="252" spans="1:18" hidden="1">
      <c r="A252" s="23" t="s">
        <v>528</v>
      </c>
      <c r="B252" s="23" t="s">
        <v>529</v>
      </c>
      <c r="C252" s="23">
        <v>111</v>
      </c>
      <c r="D252" t="s">
        <v>17</v>
      </c>
      <c r="I252" s="3">
        <f>+IFERROR(VLOOKUP(C252,'Mov 2023 hasta ahora '!$C$2:$D$314,2,FALSE),"NO")</f>
        <v>2</v>
      </c>
      <c r="J252" t="s">
        <v>503</v>
      </c>
      <c r="K252">
        <v>5</v>
      </c>
      <c r="L252" t="s">
        <v>19</v>
      </c>
      <c r="M252">
        <v>18</v>
      </c>
      <c r="O252" s="25" t="s">
        <v>8536</v>
      </c>
      <c r="P252" s="25" t="s">
        <v>529</v>
      </c>
      <c r="Q252" s="25">
        <v>111</v>
      </c>
      <c r="R252" t="s">
        <v>17</v>
      </c>
    </row>
    <row r="253" spans="1:18" hidden="1">
      <c r="A253" s="23" t="s">
        <v>530</v>
      </c>
      <c r="B253" s="23" t="s">
        <v>531</v>
      </c>
      <c r="C253" s="23">
        <v>112</v>
      </c>
      <c r="D253" t="s">
        <v>17</v>
      </c>
      <c r="H253" t="s">
        <v>8461</v>
      </c>
      <c r="I253" s="3" t="str">
        <f>+IFERROR(VLOOKUP(C253,'Mov 2023 hasta ahora '!$C$2:$D$314,2,FALSE),"NO")</f>
        <v>NO</v>
      </c>
      <c r="J253" t="s">
        <v>21</v>
      </c>
      <c r="K253">
        <v>5</v>
      </c>
      <c r="L253" t="s">
        <v>19</v>
      </c>
      <c r="M253">
        <v>18</v>
      </c>
      <c r="O253" s="26" t="s">
        <v>8517</v>
      </c>
      <c r="P253" s="25" t="s">
        <v>492</v>
      </c>
      <c r="Q253" s="25">
        <v>94</v>
      </c>
    </row>
    <row r="254" spans="1:18" hidden="1">
      <c r="A254" s="23" t="s">
        <v>532</v>
      </c>
      <c r="B254" s="23" t="s">
        <v>533</v>
      </c>
      <c r="C254" s="23">
        <v>113</v>
      </c>
      <c r="D254" t="s">
        <v>17</v>
      </c>
      <c r="H254" t="s">
        <v>8461</v>
      </c>
      <c r="I254" s="3" t="str">
        <f>+IFERROR(VLOOKUP(C254,'Mov 2023 hasta ahora '!$C$2:$D$314,2,FALSE),"NO")</f>
        <v>NO</v>
      </c>
      <c r="J254" t="s">
        <v>21</v>
      </c>
      <c r="K254">
        <v>5</v>
      </c>
      <c r="L254" t="s">
        <v>19</v>
      </c>
      <c r="M254">
        <v>18</v>
      </c>
      <c r="O254" s="26" t="s">
        <v>8517</v>
      </c>
      <c r="P254" s="25" t="s">
        <v>492</v>
      </c>
      <c r="Q254" s="25">
        <v>94</v>
      </c>
    </row>
    <row r="255" spans="1:18" hidden="1">
      <c r="A255" t="s">
        <v>534</v>
      </c>
      <c r="B255" t="s">
        <v>535</v>
      </c>
      <c r="D255" t="s">
        <v>17</v>
      </c>
      <c r="I255" s="3" t="str">
        <f>+IFERROR(VLOOKUP(C255,'Mov 2023 hasta ahora '!$C$2:$D$314,2,FALSE),"NO")</f>
        <v>NO</v>
      </c>
      <c r="J255" t="s">
        <v>490</v>
      </c>
      <c r="K255">
        <v>4</v>
      </c>
      <c r="L255" t="s">
        <v>19</v>
      </c>
      <c r="M255">
        <v>14</v>
      </c>
    </row>
    <row r="256" spans="1:18" hidden="1">
      <c r="A256" s="23" t="s">
        <v>536</v>
      </c>
      <c r="B256" s="23" t="s">
        <v>473</v>
      </c>
      <c r="C256" s="23">
        <v>114</v>
      </c>
      <c r="D256" t="s">
        <v>17</v>
      </c>
      <c r="I256" s="3">
        <f>+IFERROR(VLOOKUP(C256,'Mov 2023 hasta ahora '!$C$2:$D$314,2,FALSE),"NO")</f>
        <v>2</v>
      </c>
      <c r="K256">
        <v>5</v>
      </c>
      <c r="L256" t="s">
        <v>19</v>
      </c>
      <c r="M256">
        <v>18</v>
      </c>
      <c r="O256" s="25" t="s">
        <v>8526</v>
      </c>
      <c r="P256" s="25" t="s">
        <v>473</v>
      </c>
      <c r="Q256" s="25">
        <v>114</v>
      </c>
      <c r="R256" t="s">
        <v>17</v>
      </c>
    </row>
    <row r="257" spans="1:18" hidden="1">
      <c r="A257" s="23" t="s">
        <v>537</v>
      </c>
      <c r="B257" s="23" t="s">
        <v>538</v>
      </c>
      <c r="C257" s="23">
        <v>115</v>
      </c>
      <c r="D257" t="s">
        <v>17</v>
      </c>
      <c r="I257" s="3" t="str">
        <f>+IFERROR(VLOOKUP(C257,'Mov 2023 hasta ahora '!$C$2:$D$314,2,FALSE),"NO")</f>
        <v>NO</v>
      </c>
      <c r="K257">
        <v>5</v>
      </c>
      <c r="L257" t="s">
        <v>19</v>
      </c>
      <c r="M257">
        <v>18</v>
      </c>
      <c r="O257" s="25" t="s">
        <v>8527</v>
      </c>
      <c r="P257" s="25" t="s">
        <v>538</v>
      </c>
      <c r="Q257" s="25">
        <v>115</v>
      </c>
      <c r="R257" t="s">
        <v>17</v>
      </c>
    </row>
    <row r="258" spans="1:18" hidden="1">
      <c r="A258" s="23" t="s">
        <v>539</v>
      </c>
      <c r="B258" s="23" t="s">
        <v>540</v>
      </c>
      <c r="C258" s="23">
        <v>116</v>
      </c>
      <c r="D258" t="s">
        <v>17</v>
      </c>
      <c r="I258" s="3" t="str">
        <f>+IFERROR(VLOOKUP(C258,'Mov 2023 hasta ahora '!$C$2:$D$314,2,FALSE),"NO")</f>
        <v>NO</v>
      </c>
      <c r="K258">
        <v>5</v>
      </c>
      <c r="L258" t="s">
        <v>19</v>
      </c>
      <c r="M258">
        <v>18</v>
      </c>
      <c r="O258" s="25" t="s">
        <v>8522</v>
      </c>
      <c r="P258" s="25" t="s">
        <v>540</v>
      </c>
      <c r="Q258" s="25">
        <v>116</v>
      </c>
      <c r="R258" t="s">
        <v>17</v>
      </c>
    </row>
    <row r="259" spans="1:18" hidden="1">
      <c r="A259" s="23" t="s">
        <v>541</v>
      </c>
      <c r="B259" s="23" t="s">
        <v>542</v>
      </c>
      <c r="C259" s="23">
        <v>117</v>
      </c>
      <c r="D259" t="s">
        <v>17</v>
      </c>
      <c r="I259" s="3">
        <f>+IFERROR(VLOOKUP(C259,'Mov 2023 hasta ahora '!$C$2:$D$314,2,FALSE),"NO")</f>
        <v>3</v>
      </c>
      <c r="K259">
        <v>5</v>
      </c>
      <c r="L259" t="s">
        <v>19</v>
      </c>
      <c r="M259">
        <v>18</v>
      </c>
      <c r="O259" s="25" t="s">
        <v>8519</v>
      </c>
      <c r="P259" s="25" t="s">
        <v>542</v>
      </c>
      <c r="Q259" s="25">
        <v>117</v>
      </c>
      <c r="R259" t="s">
        <v>17</v>
      </c>
    </row>
    <row r="260" spans="1:18" hidden="1">
      <c r="A260" s="23" t="s">
        <v>543</v>
      </c>
      <c r="B260" s="23" t="s">
        <v>544</v>
      </c>
      <c r="C260" s="23">
        <v>118</v>
      </c>
      <c r="D260" t="s">
        <v>17</v>
      </c>
      <c r="I260" s="3" t="str">
        <f>+IFERROR(VLOOKUP(C260,'Mov 2023 hasta ahora '!$C$2:$D$314,2,FALSE),"NO")</f>
        <v>NO</v>
      </c>
      <c r="K260">
        <v>5</v>
      </c>
      <c r="L260" t="s">
        <v>19</v>
      </c>
      <c r="M260">
        <v>18</v>
      </c>
      <c r="O260" s="25" t="s">
        <v>8537</v>
      </c>
      <c r="P260" s="25" t="s">
        <v>544</v>
      </c>
      <c r="Q260" s="25">
        <v>118</v>
      </c>
      <c r="R260" t="s">
        <v>17</v>
      </c>
    </row>
    <row r="261" spans="1:18" hidden="1">
      <c r="A261" s="23" t="s">
        <v>545</v>
      </c>
      <c r="B261" s="23" t="s">
        <v>546</v>
      </c>
      <c r="C261" s="23">
        <v>119</v>
      </c>
      <c r="D261" t="s">
        <v>17</v>
      </c>
      <c r="I261" s="3" t="str">
        <f>+IFERROR(VLOOKUP(C261,'Mov 2023 hasta ahora '!$C$2:$D$314,2,FALSE),"NO")</f>
        <v>NO</v>
      </c>
      <c r="K261">
        <v>5</v>
      </c>
      <c r="L261" t="s">
        <v>19</v>
      </c>
      <c r="M261">
        <v>18</v>
      </c>
      <c r="O261" s="25" t="s">
        <v>8538</v>
      </c>
      <c r="P261" s="25" t="s">
        <v>546</v>
      </c>
      <c r="Q261" s="25">
        <v>119</v>
      </c>
      <c r="R261" t="s">
        <v>17</v>
      </c>
    </row>
    <row r="262" spans="1:18" hidden="1">
      <c r="A262" s="23" t="s">
        <v>547</v>
      </c>
      <c r="B262" s="23" t="s">
        <v>548</v>
      </c>
      <c r="C262" s="23">
        <v>3425</v>
      </c>
      <c r="D262" t="s">
        <v>17</v>
      </c>
      <c r="H262">
        <v>5350</v>
      </c>
      <c r="I262" s="3" t="str">
        <f>+IFERROR(VLOOKUP(C262,'Mov 2023 hasta ahora '!$C$2:$D$314,2,FALSE),"NO")</f>
        <v>NO</v>
      </c>
      <c r="J262" t="s">
        <v>21</v>
      </c>
      <c r="K262">
        <v>5</v>
      </c>
      <c r="L262" t="s">
        <v>19</v>
      </c>
      <c r="M262">
        <v>18</v>
      </c>
      <c r="O262" s="26" t="s">
        <v>8517</v>
      </c>
      <c r="P262" s="25" t="s">
        <v>492</v>
      </c>
      <c r="Q262" s="25">
        <v>94</v>
      </c>
    </row>
    <row r="263" spans="1:18" hidden="1">
      <c r="A263" s="23" t="s">
        <v>549</v>
      </c>
      <c r="B263" s="23" t="s">
        <v>550</v>
      </c>
      <c r="C263" s="23">
        <v>3426</v>
      </c>
      <c r="D263" t="s">
        <v>17</v>
      </c>
      <c r="H263" t="s">
        <v>8461</v>
      </c>
      <c r="I263" s="3" t="str">
        <f>+IFERROR(VLOOKUP(C263,'Mov 2023 hasta ahora '!$C$2:$D$314,2,FALSE),"NO")</f>
        <v>NO</v>
      </c>
      <c r="J263" t="s">
        <v>21</v>
      </c>
      <c r="K263">
        <v>5</v>
      </c>
      <c r="L263" t="s">
        <v>19</v>
      </c>
      <c r="M263">
        <v>18</v>
      </c>
      <c r="O263" s="26" t="s">
        <v>8517</v>
      </c>
      <c r="P263" s="25" t="s">
        <v>492</v>
      </c>
      <c r="Q263" s="25">
        <v>94</v>
      </c>
    </row>
    <row r="264" spans="1:18" hidden="1">
      <c r="A264" s="23" t="s">
        <v>551</v>
      </c>
      <c r="B264" s="23" t="s">
        <v>552</v>
      </c>
      <c r="C264" s="23">
        <v>3427</v>
      </c>
      <c r="D264" t="s">
        <v>17</v>
      </c>
      <c r="H264" t="s">
        <v>8461</v>
      </c>
      <c r="I264" s="3" t="str">
        <f>+IFERROR(VLOOKUP(C264,'Mov 2023 hasta ahora '!$C$2:$D$314,2,FALSE),"NO")</f>
        <v>NO</v>
      </c>
      <c r="J264" t="s">
        <v>21</v>
      </c>
      <c r="K264">
        <v>5</v>
      </c>
      <c r="L264" t="s">
        <v>19</v>
      </c>
      <c r="M264">
        <v>18</v>
      </c>
      <c r="O264" s="26" t="s">
        <v>8517</v>
      </c>
      <c r="P264" s="25" t="s">
        <v>492</v>
      </c>
      <c r="Q264" s="25">
        <v>94</v>
      </c>
    </row>
    <row r="265" spans="1:18" hidden="1">
      <c r="A265" s="23" t="s">
        <v>553</v>
      </c>
      <c r="B265" s="23" t="s">
        <v>554</v>
      </c>
      <c r="C265" s="23">
        <v>3428</v>
      </c>
      <c r="D265" t="s">
        <v>17</v>
      </c>
      <c r="H265" t="s">
        <v>8461</v>
      </c>
      <c r="I265" s="3" t="str">
        <f>+IFERROR(VLOOKUP(C265,'Mov 2023 hasta ahora '!$C$2:$D$314,2,FALSE),"NO")</f>
        <v>NO</v>
      </c>
      <c r="J265" t="s">
        <v>21</v>
      </c>
      <c r="K265">
        <v>5</v>
      </c>
      <c r="L265" t="s">
        <v>19</v>
      </c>
      <c r="M265">
        <v>18</v>
      </c>
      <c r="O265" s="26" t="s">
        <v>8517</v>
      </c>
      <c r="P265" s="25" t="s">
        <v>492</v>
      </c>
      <c r="Q265" s="25">
        <v>94</v>
      </c>
    </row>
    <row r="266" spans="1:18" hidden="1">
      <c r="A266" t="s">
        <v>555</v>
      </c>
      <c r="B266" t="s">
        <v>119</v>
      </c>
      <c r="D266" t="s">
        <v>17</v>
      </c>
      <c r="I266" s="3" t="str">
        <f>+IFERROR(VLOOKUP(C266,'Mov 2023 hasta ahora '!$C$2:$D$314,2,FALSE),"NO")</f>
        <v>NO</v>
      </c>
      <c r="J266" t="s">
        <v>18</v>
      </c>
      <c r="K266">
        <v>3</v>
      </c>
      <c r="L266" t="s">
        <v>19</v>
      </c>
      <c r="M266">
        <v>10</v>
      </c>
    </row>
    <row r="267" spans="1:18" hidden="1">
      <c r="A267" t="s">
        <v>556</v>
      </c>
      <c r="B267" t="s">
        <v>557</v>
      </c>
      <c r="D267" t="s">
        <v>17</v>
      </c>
      <c r="I267" s="3" t="str">
        <f>+IFERROR(VLOOKUP(C267,'Mov 2023 hasta ahora '!$C$2:$D$314,2,FALSE),"NO")</f>
        <v>NO</v>
      </c>
      <c r="K267">
        <v>4</v>
      </c>
      <c r="L267" t="s">
        <v>19</v>
      </c>
      <c r="M267">
        <v>14</v>
      </c>
    </row>
    <row r="268" spans="1:18" hidden="1">
      <c r="A268" s="23" t="s">
        <v>558</v>
      </c>
      <c r="B268" s="23" t="s">
        <v>559</v>
      </c>
      <c r="C268" s="23">
        <v>122</v>
      </c>
      <c r="D268" t="s">
        <v>17</v>
      </c>
      <c r="I268" s="3" t="str">
        <f>+IFERROR(VLOOKUP(C268,'Mov 2023 hasta ahora '!$C$2:$D$314,2,FALSE),"NO")</f>
        <v>NO</v>
      </c>
      <c r="K268">
        <v>5</v>
      </c>
      <c r="L268" t="s">
        <v>19</v>
      </c>
      <c r="M268">
        <v>18</v>
      </c>
      <c r="O268" s="26" t="s">
        <v>8517</v>
      </c>
      <c r="P268" s="25" t="s">
        <v>492</v>
      </c>
      <c r="Q268" s="25">
        <v>94</v>
      </c>
    </row>
    <row r="269" spans="1:18" hidden="1">
      <c r="A269" s="23" t="s">
        <v>560</v>
      </c>
      <c r="B269" s="23" t="s">
        <v>561</v>
      </c>
      <c r="C269" s="23">
        <v>123</v>
      </c>
      <c r="D269" t="s">
        <v>17</v>
      </c>
      <c r="I269" s="3" t="str">
        <f>+IFERROR(VLOOKUP(C269,'Mov 2023 hasta ahora '!$C$2:$D$314,2,FALSE),"NO")</f>
        <v>NO</v>
      </c>
      <c r="K269">
        <v>5</v>
      </c>
      <c r="L269" t="s">
        <v>19</v>
      </c>
      <c r="M269">
        <v>18</v>
      </c>
      <c r="O269" s="26" t="s">
        <v>8517</v>
      </c>
      <c r="P269" s="25" t="s">
        <v>492</v>
      </c>
      <c r="Q269" s="25">
        <v>94</v>
      </c>
    </row>
    <row r="270" spans="1:18" hidden="1">
      <c r="A270" s="23" t="s">
        <v>562</v>
      </c>
      <c r="B270" s="23" t="s">
        <v>563</v>
      </c>
      <c r="C270" s="23">
        <v>1905</v>
      </c>
      <c r="I270" s="3">
        <f>+IFERROR(VLOOKUP(C270,'Mov 2023 hasta ahora '!$C$2:$D$314,2,FALSE),"NO")</f>
        <v>80</v>
      </c>
      <c r="K270">
        <v>5</v>
      </c>
      <c r="L270" t="s">
        <v>19</v>
      </c>
      <c r="M270">
        <v>18</v>
      </c>
      <c r="O270" s="25" t="s">
        <v>8424</v>
      </c>
      <c r="P270" s="25" t="s">
        <v>563</v>
      </c>
      <c r="Q270" s="25">
        <v>1905</v>
      </c>
      <c r="R270" t="s">
        <v>17</v>
      </c>
    </row>
    <row r="271" spans="1:18" hidden="1">
      <c r="A271">
        <v>2</v>
      </c>
      <c r="B271" t="s">
        <v>564</v>
      </c>
      <c r="D271" t="s">
        <v>17</v>
      </c>
      <c r="I271" s="3" t="str">
        <f>+IFERROR(VLOOKUP(C271,'Mov 2023 hasta ahora '!$C$2:$D$314,2,FALSE),"NO")</f>
        <v>NO</v>
      </c>
      <c r="J271" t="s">
        <v>18</v>
      </c>
      <c r="K271">
        <v>1</v>
      </c>
      <c r="L271" t="s">
        <v>19</v>
      </c>
      <c r="M271">
        <v>1</v>
      </c>
    </row>
    <row r="272" spans="1:18" hidden="1">
      <c r="A272">
        <v>2.0099999999999998</v>
      </c>
      <c r="B272" t="s">
        <v>20</v>
      </c>
      <c r="D272" t="s">
        <v>17</v>
      </c>
      <c r="I272" s="3" t="str">
        <f>+IFERROR(VLOOKUP(C272,'Mov 2023 hasta ahora '!$C$2:$D$314,2,FALSE),"NO")</f>
        <v>NO</v>
      </c>
      <c r="J272" t="s">
        <v>21</v>
      </c>
      <c r="K272">
        <v>2</v>
      </c>
      <c r="L272" t="s">
        <v>19</v>
      </c>
      <c r="M272">
        <v>4</v>
      </c>
    </row>
    <row r="273" spans="1:19" hidden="1">
      <c r="A273" t="s">
        <v>565</v>
      </c>
      <c r="B273" t="s">
        <v>566</v>
      </c>
      <c r="D273" t="s">
        <v>17</v>
      </c>
      <c r="I273" s="3" t="str">
        <f>+IFERROR(VLOOKUP(C273,'Mov 2023 hasta ahora '!$C$2:$D$314,2,FALSE),"NO")</f>
        <v>NO</v>
      </c>
      <c r="J273" t="s">
        <v>18</v>
      </c>
      <c r="K273">
        <v>3</v>
      </c>
      <c r="L273" t="s">
        <v>19</v>
      </c>
      <c r="M273">
        <v>10</v>
      </c>
    </row>
    <row r="274" spans="1:19" hidden="1">
      <c r="A274" t="s">
        <v>567</v>
      </c>
      <c r="B274" t="s">
        <v>568</v>
      </c>
      <c r="D274" t="s">
        <v>17</v>
      </c>
      <c r="I274" s="3" t="str">
        <f>+IFERROR(VLOOKUP(C274,'Mov 2023 hasta ahora '!$C$2:$D$314,2,FALSE),"NO")</f>
        <v>NO</v>
      </c>
      <c r="K274">
        <v>4</v>
      </c>
      <c r="L274" t="s">
        <v>19</v>
      </c>
      <c r="M274">
        <v>14</v>
      </c>
    </row>
    <row r="275" spans="1:19" hidden="1">
      <c r="A275" s="23" t="s">
        <v>569</v>
      </c>
      <c r="B275" s="23" t="s">
        <v>570</v>
      </c>
      <c r="C275" s="23">
        <v>38</v>
      </c>
      <c r="D275" t="s">
        <v>17</v>
      </c>
      <c r="E275">
        <v>2</v>
      </c>
      <c r="I275" s="3">
        <f>+IFERROR(VLOOKUP(C275,'Mov 2023 hasta ahora '!$C$2:$D$314,2,FALSE),"NO")</f>
        <v>9733</v>
      </c>
      <c r="K275">
        <v>5</v>
      </c>
      <c r="L275" t="s">
        <v>19</v>
      </c>
      <c r="M275">
        <v>18</v>
      </c>
      <c r="O275" s="25" t="s">
        <v>8557</v>
      </c>
      <c r="P275" s="25" t="s">
        <v>570</v>
      </c>
      <c r="Q275" s="25">
        <v>38</v>
      </c>
      <c r="R275" t="s">
        <v>17</v>
      </c>
      <c r="S275">
        <f>+E275</f>
        <v>2</v>
      </c>
    </row>
    <row r="276" spans="1:19" hidden="1">
      <c r="A276" s="23" t="s">
        <v>571</v>
      </c>
      <c r="B276" s="23" t="s">
        <v>572</v>
      </c>
      <c r="C276" s="23">
        <v>40</v>
      </c>
      <c r="D276" t="s">
        <v>17</v>
      </c>
      <c r="E276">
        <v>2</v>
      </c>
      <c r="H276">
        <v>-18700</v>
      </c>
      <c r="I276" s="3" t="str">
        <f>+IFERROR(VLOOKUP(C276,'Mov 2023 hasta ahora '!$C$2:$D$314,2,FALSE),"NO")</f>
        <v>NO</v>
      </c>
      <c r="J276" t="s">
        <v>21</v>
      </c>
      <c r="K276">
        <v>5</v>
      </c>
      <c r="L276" t="s">
        <v>19</v>
      </c>
      <c r="M276">
        <v>18</v>
      </c>
      <c r="O276" s="26" t="s">
        <v>8564</v>
      </c>
      <c r="P276" s="25" t="s">
        <v>615</v>
      </c>
      <c r="Q276" s="25">
        <v>1983</v>
      </c>
      <c r="R276" t="s">
        <v>17</v>
      </c>
    </row>
    <row r="277" spans="1:19" hidden="1">
      <c r="A277" s="23" t="s">
        <v>573</v>
      </c>
      <c r="B277" s="23" t="s">
        <v>574</v>
      </c>
      <c r="C277" s="23">
        <v>1343</v>
      </c>
      <c r="D277" t="s">
        <v>17</v>
      </c>
      <c r="E277">
        <v>2</v>
      </c>
      <c r="H277" t="s">
        <v>8461</v>
      </c>
      <c r="I277" s="3" t="str">
        <f>+IFERROR(VLOOKUP(C277,'Mov 2023 hasta ahora '!$C$2:$D$314,2,FALSE),"NO")</f>
        <v>NO</v>
      </c>
      <c r="J277" t="s">
        <v>21</v>
      </c>
      <c r="K277">
        <v>5</v>
      </c>
      <c r="L277" t="s">
        <v>19</v>
      </c>
      <c r="M277">
        <v>18</v>
      </c>
      <c r="O277" s="26" t="s">
        <v>8564</v>
      </c>
      <c r="P277" s="25" t="s">
        <v>615</v>
      </c>
      <c r="Q277" s="25">
        <v>1983</v>
      </c>
      <c r="R277" t="s">
        <v>17</v>
      </c>
    </row>
    <row r="278" spans="1:19" hidden="1">
      <c r="A278" s="23" t="s">
        <v>576</v>
      </c>
      <c r="B278" s="23" t="s">
        <v>577</v>
      </c>
      <c r="C278" s="23">
        <v>1342</v>
      </c>
      <c r="D278" t="s">
        <v>17</v>
      </c>
      <c r="E278">
        <v>2</v>
      </c>
      <c r="H278" t="s">
        <v>8461</v>
      </c>
      <c r="I278" s="3" t="str">
        <f>+IFERROR(VLOOKUP(C278,'Mov 2023 hasta ahora '!$C$2:$D$314,2,FALSE),"NO")</f>
        <v>NO</v>
      </c>
      <c r="J278" t="s">
        <v>21</v>
      </c>
      <c r="K278">
        <v>5</v>
      </c>
      <c r="L278" t="s">
        <v>19</v>
      </c>
      <c r="M278">
        <v>18</v>
      </c>
      <c r="O278" s="26" t="s">
        <v>8564</v>
      </c>
      <c r="P278" s="25" t="s">
        <v>615</v>
      </c>
      <c r="Q278" s="25">
        <v>1983</v>
      </c>
      <c r="R278" t="s">
        <v>17</v>
      </c>
    </row>
    <row r="279" spans="1:19" hidden="1">
      <c r="A279" s="23" t="s">
        <v>578</v>
      </c>
      <c r="B279" s="23" t="s">
        <v>579</v>
      </c>
      <c r="C279" s="23">
        <v>1341</v>
      </c>
      <c r="H279" t="s">
        <v>8461</v>
      </c>
      <c r="I279" s="3" t="str">
        <f>+IFERROR(VLOOKUP(C279,'Mov 2023 hasta ahora '!$C$2:$D$314,2,FALSE),"NO")</f>
        <v>NO</v>
      </c>
      <c r="J279" t="s">
        <v>21</v>
      </c>
      <c r="K279">
        <v>5</v>
      </c>
      <c r="L279" t="s">
        <v>19</v>
      </c>
      <c r="M279">
        <v>18</v>
      </c>
      <c r="O279" s="26" t="s">
        <v>8785</v>
      </c>
      <c r="P279" s="25" t="s">
        <v>8786</v>
      </c>
      <c r="Q279" s="25">
        <v>1341</v>
      </c>
      <c r="R279" t="s">
        <v>17</v>
      </c>
    </row>
    <row r="280" spans="1:19" hidden="1">
      <c r="A280" s="23" t="s">
        <v>580</v>
      </c>
      <c r="B280" s="23" t="s">
        <v>581</v>
      </c>
      <c r="C280" s="23">
        <v>1981</v>
      </c>
      <c r="D280" t="s">
        <v>17</v>
      </c>
      <c r="E280">
        <v>1</v>
      </c>
      <c r="I280" s="3">
        <f>+IFERROR(VLOOKUP(C280,'Mov 2023 hasta ahora '!$C$2:$D$314,2,FALSE),"NO")</f>
        <v>134</v>
      </c>
      <c r="K280">
        <v>5</v>
      </c>
      <c r="L280" t="s">
        <v>19</v>
      </c>
      <c r="M280">
        <v>18</v>
      </c>
      <c r="O280" s="25" t="s">
        <v>8407</v>
      </c>
      <c r="P280" s="25" t="s">
        <v>581</v>
      </c>
      <c r="Q280" s="25">
        <v>1981</v>
      </c>
      <c r="R280" t="s">
        <v>17</v>
      </c>
      <c r="S280">
        <f>+E280</f>
        <v>1</v>
      </c>
    </row>
    <row r="281" spans="1:19" hidden="1">
      <c r="A281" s="23" t="s">
        <v>582</v>
      </c>
      <c r="B281" s="23" t="s">
        <v>583</v>
      </c>
      <c r="C281" s="23">
        <v>2280</v>
      </c>
      <c r="D281" t="s">
        <v>17</v>
      </c>
      <c r="H281" t="s">
        <v>8461</v>
      </c>
      <c r="I281" s="3" t="str">
        <f>+IFERROR(VLOOKUP(C281,'Mov 2023 hasta ahora '!$C$2:$D$314,2,FALSE),"NO")</f>
        <v>NO</v>
      </c>
      <c r="J281" t="s">
        <v>21</v>
      </c>
      <c r="K281">
        <v>5</v>
      </c>
      <c r="L281" t="s">
        <v>19</v>
      </c>
      <c r="M281">
        <v>18</v>
      </c>
      <c r="O281" s="26" t="s">
        <v>8785</v>
      </c>
      <c r="P281" s="25" t="s">
        <v>8786</v>
      </c>
      <c r="Q281" s="25">
        <v>1341</v>
      </c>
      <c r="R281" t="s">
        <v>17</v>
      </c>
    </row>
    <row r="282" spans="1:19" hidden="1">
      <c r="A282" s="23" t="s">
        <v>584</v>
      </c>
      <c r="B282" s="23" t="s">
        <v>585</v>
      </c>
      <c r="C282" s="23">
        <v>39</v>
      </c>
      <c r="D282" t="s">
        <v>17</v>
      </c>
      <c r="E282">
        <v>1</v>
      </c>
      <c r="H282">
        <v>-71848.19</v>
      </c>
      <c r="I282" s="3" t="str">
        <f>+IFERROR(VLOOKUP(C282,'Mov 2023 hasta ahora '!$C$2:$D$314,2,FALSE),"NO")</f>
        <v>NO</v>
      </c>
      <c r="J282" t="s">
        <v>21</v>
      </c>
      <c r="K282">
        <v>5</v>
      </c>
      <c r="L282" t="s">
        <v>19</v>
      </c>
      <c r="M282">
        <v>18</v>
      </c>
      <c r="O282" s="26" t="s">
        <v>8789</v>
      </c>
      <c r="P282" s="25" t="s">
        <v>8790</v>
      </c>
      <c r="Q282" s="25">
        <v>39</v>
      </c>
      <c r="R282" t="s">
        <v>17</v>
      </c>
      <c r="S282">
        <v>1</v>
      </c>
    </row>
    <row r="283" spans="1:19" hidden="1">
      <c r="A283" t="s">
        <v>586</v>
      </c>
      <c r="B283" t="s">
        <v>587</v>
      </c>
      <c r="D283" t="s">
        <v>17</v>
      </c>
      <c r="I283" s="3" t="str">
        <f>+IFERROR(VLOOKUP(C283,'Mov 2023 hasta ahora '!$C$2:$D$314,2,FALSE),"NO")</f>
        <v>NO</v>
      </c>
      <c r="J283" t="s">
        <v>21</v>
      </c>
      <c r="K283">
        <v>4</v>
      </c>
      <c r="L283" t="s">
        <v>19</v>
      </c>
      <c r="M283">
        <v>14</v>
      </c>
    </row>
    <row r="284" spans="1:19" hidden="1">
      <c r="A284" s="23" t="s">
        <v>588</v>
      </c>
      <c r="B284" s="23" t="s">
        <v>589</v>
      </c>
      <c r="C284" s="23">
        <v>1742</v>
      </c>
      <c r="D284" t="s">
        <v>17</v>
      </c>
      <c r="E284">
        <v>2</v>
      </c>
      <c r="H284" t="s">
        <v>8461</v>
      </c>
      <c r="I284" s="3" t="str">
        <f>+IFERROR(VLOOKUP(C284,'Mov 2023 hasta ahora '!$C$2:$D$314,2,FALSE),"NO")</f>
        <v>NO</v>
      </c>
      <c r="J284" t="s">
        <v>21</v>
      </c>
      <c r="K284">
        <v>5</v>
      </c>
      <c r="L284" t="s">
        <v>19</v>
      </c>
      <c r="M284">
        <v>18</v>
      </c>
      <c r="O284" s="26" t="s">
        <v>8564</v>
      </c>
      <c r="P284" s="25" t="s">
        <v>615</v>
      </c>
      <c r="Q284" s="25">
        <v>1983</v>
      </c>
      <c r="R284" t="s">
        <v>17</v>
      </c>
    </row>
    <row r="285" spans="1:19" hidden="1">
      <c r="A285" s="23" t="s">
        <v>590</v>
      </c>
      <c r="B285" s="23" t="s">
        <v>591</v>
      </c>
      <c r="C285" s="23">
        <v>41</v>
      </c>
      <c r="D285" t="s">
        <v>17</v>
      </c>
      <c r="E285">
        <v>2</v>
      </c>
      <c r="H285" t="s">
        <v>8461</v>
      </c>
      <c r="I285" s="3" t="str">
        <f>+IFERROR(VLOOKUP(C285,'Mov 2023 hasta ahora '!$C$2:$D$314,2,FALSE),"NO")</f>
        <v>NO</v>
      </c>
      <c r="J285" t="s">
        <v>21</v>
      </c>
      <c r="K285">
        <v>5</v>
      </c>
      <c r="L285" t="s">
        <v>19</v>
      </c>
      <c r="M285">
        <v>18</v>
      </c>
      <c r="O285" s="26" t="s">
        <v>8564</v>
      </c>
      <c r="P285" s="25" t="s">
        <v>615</v>
      </c>
      <c r="Q285" s="25">
        <v>1983</v>
      </c>
      <c r="R285" t="s">
        <v>17</v>
      </c>
    </row>
    <row r="286" spans="1:19" hidden="1">
      <c r="A286" t="s">
        <v>592</v>
      </c>
      <c r="B286" t="s">
        <v>593</v>
      </c>
      <c r="D286" t="s">
        <v>17</v>
      </c>
      <c r="I286" s="3" t="str">
        <f>+IFERROR(VLOOKUP(C286,'Mov 2023 hasta ahora '!$C$2:$D$314,2,FALSE),"NO")</f>
        <v>NO</v>
      </c>
      <c r="J286" t="s">
        <v>21</v>
      </c>
      <c r="K286">
        <v>4</v>
      </c>
      <c r="L286" t="s">
        <v>19</v>
      </c>
      <c r="M286">
        <v>14</v>
      </c>
    </row>
    <row r="287" spans="1:19" hidden="1">
      <c r="A287" s="23" t="s">
        <v>594</v>
      </c>
      <c r="B287" s="23" t="s">
        <v>595</v>
      </c>
      <c r="C287" s="23">
        <v>42</v>
      </c>
      <c r="D287" t="s">
        <v>17</v>
      </c>
      <c r="E287">
        <v>1</v>
      </c>
      <c r="H287" s="6">
        <v>-11033149.810000001</v>
      </c>
      <c r="I287" s="3" t="str">
        <f>+IFERROR(VLOOKUP(C287,'Mov 2023 hasta ahora '!$C$2:$D$314,2,FALSE),"NO")</f>
        <v>NO</v>
      </c>
      <c r="J287" t="s">
        <v>21</v>
      </c>
      <c r="K287">
        <v>5</v>
      </c>
      <c r="L287" t="s">
        <v>19</v>
      </c>
      <c r="M287">
        <v>18</v>
      </c>
      <c r="O287" s="26" t="s">
        <v>8443</v>
      </c>
      <c r="P287" s="25" t="s">
        <v>145</v>
      </c>
      <c r="Q287" s="25">
        <v>14</v>
      </c>
    </row>
    <row r="288" spans="1:19" hidden="1">
      <c r="A288" s="23" t="s">
        <v>596</v>
      </c>
      <c r="B288" s="23" t="s">
        <v>597</v>
      </c>
      <c r="C288" s="23">
        <v>35</v>
      </c>
      <c r="D288" t="s">
        <v>17</v>
      </c>
      <c r="E288">
        <v>1</v>
      </c>
      <c r="H288" t="s">
        <v>8461</v>
      </c>
      <c r="I288" s="3" t="str">
        <f>+IFERROR(VLOOKUP(C288,'Mov 2023 hasta ahora '!$C$2:$D$314,2,FALSE),"NO")</f>
        <v>NO</v>
      </c>
      <c r="J288" t="s">
        <v>21</v>
      </c>
      <c r="K288">
        <v>5</v>
      </c>
      <c r="L288" t="s">
        <v>19</v>
      </c>
      <c r="M288">
        <v>18</v>
      </c>
      <c r="O288" s="26" t="s">
        <v>8443</v>
      </c>
      <c r="P288" s="25" t="s">
        <v>145</v>
      </c>
      <c r="Q288" s="25">
        <v>14</v>
      </c>
    </row>
    <row r="289" spans="1:19" hidden="1">
      <c r="A289" s="23" t="s">
        <v>598</v>
      </c>
      <c r="B289" s="23" t="s">
        <v>599</v>
      </c>
      <c r="C289" s="23">
        <v>145</v>
      </c>
      <c r="D289" t="s">
        <v>17</v>
      </c>
      <c r="E289">
        <v>1</v>
      </c>
      <c r="I289" s="3">
        <f>+IFERROR(VLOOKUP(C289,'Mov 2023 hasta ahora '!$C$2:$D$314,2,FALSE),"NO")</f>
        <v>1</v>
      </c>
      <c r="J289" t="s">
        <v>600</v>
      </c>
      <c r="K289">
        <v>5</v>
      </c>
      <c r="L289" t="s">
        <v>19</v>
      </c>
      <c r="M289">
        <v>18</v>
      </c>
      <c r="O289" s="25" t="s">
        <v>8558</v>
      </c>
      <c r="P289" s="25" t="s">
        <v>8658</v>
      </c>
      <c r="Q289" s="25">
        <v>145</v>
      </c>
      <c r="R289" t="s">
        <v>17</v>
      </c>
      <c r="S289">
        <f>+E289</f>
        <v>1</v>
      </c>
    </row>
    <row r="290" spans="1:19" hidden="1">
      <c r="A290" s="23" t="s">
        <v>601</v>
      </c>
      <c r="B290" s="23" t="s">
        <v>602</v>
      </c>
      <c r="C290" s="23">
        <v>1344</v>
      </c>
      <c r="D290" t="s">
        <v>17</v>
      </c>
      <c r="E290">
        <v>1</v>
      </c>
      <c r="I290" s="3">
        <f>+IFERROR(VLOOKUP(C290,'Mov 2023 hasta ahora '!$C$2:$D$314,2,FALSE),"NO")</f>
        <v>412</v>
      </c>
      <c r="J290" t="s">
        <v>600</v>
      </c>
      <c r="K290">
        <v>5</v>
      </c>
      <c r="L290" t="s">
        <v>19</v>
      </c>
      <c r="M290">
        <v>18</v>
      </c>
      <c r="O290" s="25" t="s">
        <v>8559</v>
      </c>
      <c r="P290" s="25" t="s">
        <v>602</v>
      </c>
      <c r="Q290" s="25">
        <v>1344</v>
      </c>
      <c r="R290" t="s">
        <v>17</v>
      </c>
      <c r="S290">
        <f>+E290</f>
        <v>1</v>
      </c>
    </row>
    <row r="291" spans="1:19" hidden="1">
      <c r="A291" s="23" t="s">
        <v>603</v>
      </c>
      <c r="B291" s="23" t="s">
        <v>604</v>
      </c>
      <c r="C291" s="23">
        <v>1393</v>
      </c>
      <c r="D291" t="s">
        <v>17</v>
      </c>
      <c r="E291">
        <v>1</v>
      </c>
      <c r="I291" s="3">
        <f>+IFERROR(VLOOKUP(C291,'Mov 2023 hasta ahora '!$C$2:$D$314,2,FALSE),"NO")</f>
        <v>41664</v>
      </c>
      <c r="J291" t="s">
        <v>600</v>
      </c>
      <c r="K291">
        <v>5</v>
      </c>
      <c r="L291" t="s">
        <v>19</v>
      </c>
      <c r="M291">
        <v>18</v>
      </c>
      <c r="O291" s="25" t="s">
        <v>8560</v>
      </c>
      <c r="P291" s="25" t="s">
        <v>604</v>
      </c>
      <c r="Q291" s="25">
        <v>1393</v>
      </c>
      <c r="R291" t="s">
        <v>17</v>
      </c>
      <c r="S291">
        <f>+E291</f>
        <v>1</v>
      </c>
    </row>
    <row r="292" spans="1:19" hidden="1">
      <c r="A292" s="23" t="s">
        <v>605</v>
      </c>
      <c r="B292" s="23" t="s">
        <v>606</v>
      </c>
      <c r="C292" s="23">
        <v>1733</v>
      </c>
      <c r="D292" t="s">
        <v>17</v>
      </c>
      <c r="E292">
        <v>4</v>
      </c>
      <c r="H292" t="s">
        <v>8461</v>
      </c>
      <c r="I292" s="3" t="str">
        <f>+IFERROR(VLOOKUP(C292,'Mov 2023 hasta ahora '!$C$2:$D$314,2,FALSE),"NO")</f>
        <v>NO</v>
      </c>
      <c r="J292" t="s">
        <v>21</v>
      </c>
      <c r="K292">
        <v>5</v>
      </c>
      <c r="L292" t="s">
        <v>19</v>
      </c>
      <c r="M292">
        <v>18</v>
      </c>
      <c r="O292" s="26" t="s">
        <v>8545</v>
      </c>
      <c r="P292" s="25" t="s">
        <v>349</v>
      </c>
      <c r="Q292" s="25">
        <v>1362</v>
      </c>
    </row>
    <row r="293" spans="1:19" hidden="1">
      <c r="A293" s="23" t="s">
        <v>608</v>
      </c>
      <c r="B293" s="23" t="s">
        <v>609</v>
      </c>
      <c r="C293" s="23">
        <v>3831</v>
      </c>
      <c r="D293" t="s">
        <v>17</v>
      </c>
      <c r="E293">
        <v>3</v>
      </c>
      <c r="I293" s="3">
        <f>+IFERROR(VLOOKUP(C293,'Mov 2023 hasta ahora '!$C$2:$D$314,2,FALSE),"NO")</f>
        <v>959</v>
      </c>
      <c r="K293">
        <v>5</v>
      </c>
      <c r="L293" t="s">
        <v>19</v>
      </c>
      <c r="M293">
        <v>18</v>
      </c>
      <c r="O293" s="25" t="s">
        <v>8561</v>
      </c>
      <c r="P293" s="25" t="s">
        <v>8656</v>
      </c>
      <c r="Q293" s="25">
        <v>3831</v>
      </c>
      <c r="R293" t="s">
        <v>17</v>
      </c>
      <c r="S293">
        <f>+E293</f>
        <v>3</v>
      </c>
    </row>
    <row r="294" spans="1:19" hidden="1">
      <c r="A294" s="23" t="s">
        <v>610</v>
      </c>
      <c r="B294" s="23" t="s">
        <v>611</v>
      </c>
      <c r="C294" s="23">
        <v>1885</v>
      </c>
      <c r="D294" t="s">
        <v>17</v>
      </c>
      <c r="E294">
        <v>1</v>
      </c>
      <c r="I294" s="3">
        <f>+IFERROR(VLOOKUP(C294,'Mov 2023 hasta ahora '!$C$2:$D$314,2,FALSE),"NO")</f>
        <v>17</v>
      </c>
      <c r="K294">
        <v>5</v>
      </c>
      <c r="L294" t="s">
        <v>19</v>
      </c>
      <c r="M294">
        <v>18</v>
      </c>
      <c r="O294" s="25" t="s">
        <v>8562</v>
      </c>
      <c r="P294" s="25" t="s">
        <v>611</v>
      </c>
      <c r="Q294" s="25">
        <v>1885</v>
      </c>
      <c r="R294" t="s">
        <v>17</v>
      </c>
      <c r="S294">
        <f>+E294</f>
        <v>1</v>
      </c>
    </row>
    <row r="295" spans="1:19" hidden="1">
      <c r="A295" s="23" t="s">
        <v>612</v>
      </c>
      <c r="B295" s="23" t="s">
        <v>613</v>
      </c>
      <c r="C295" s="23">
        <v>55</v>
      </c>
      <c r="D295" t="s">
        <v>17</v>
      </c>
      <c r="E295">
        <v>1</v>
      </c>
      <c r="I295" s="3">
        <f>+IFERROR(VLOOKUP(C295,'Mov 2023 hasta ahora '!$C$2:$D$314,2,FALSE),"NO")</f>
        <v>39</v>
      </c>
      <c r="K295">
        <v>5</v>
      </c>
      <c r="L295" t="s">
        <v>19</v>
      </c>
      <c r="M295">
        <v>18</v>
      </c>
      <c r="O295" s="25" t="s">
        <v>8563</v>
      </c>
      <c r="P295" s="25" t="s">
        <v>613</v>
      </c>
      <c r="Q295" s="25">
        <v>55</v>
      </c>
      <c r="R295" t="s">
        <v>17</v>
      </c>
      <c r="S295">
        <f>+E295</f>
        <v>1</v>
      </c>
    </row>
    <row r="296" spans="1:19" hidden="1">
      <c r="A296" s="23" t="s">
        <v>614</v>
      </c>
      <c r="B296" s="23" t="s">
        <v>615</v>
      </c>
      <c r="C296" s="23">
        <v>1983</v>
      </c>
      <c r="D296" t="s">
        <v>17</v>
      </c>
      <c r="E296">
        <v>2</v>
      </c>
      <c r="I296" s="3">
        <f>+IFERROR(VLOOKUP(C296,'Mov 2023 hasta ahora '!$C$2:$D$314,2,FALSE),"NO")</f>
        <v>14</v>
      </c>
      <c r="K296">
        <v>5</v>
      </c>
      <c r="L296" t="s">
        <v>19</v>
      </c>
      <c r="M296">
        <v>18</v>
      </c>
      <c r="O296" s="25" t="s">
        <v>8564</v>
      </c>
      <c r="P296" s="25" t="s">
        <v>615</v>
      </c>
      <c r="Q296" s="25">
        <v>1983</v>
      </c>
      <c r="R296" t="s">
        <v>17</v>
      </c>
      <c r="S296">
        <f>+E296</f>
        <v>2</v>
      </c>
    </row>
    <row r="297" spans="1:19" hidden="1">
      <c r="A297" s="23" t="s">
        <v>616</v>
      </c>
      <c r="B297" s="23" t="s">
        <v>617</v>
      </c>
      <c r="C297" s="23">
        <v>2312</v>
      </c>
      <c r="D297" t="s">
        <v>17</v>
      </c>
      <c r="E297">
        <v>1</v>
      </c>
      <c r="I297" s="3">
        <f>+IFERROR(VLOOKUP(C297,'Mov 2023 hasta ahora '!$C$2:$D$314,2,FALSE),"NO")</f>
        <v>12</v>
      </c>
      <c r="J297" t="s">
        <v>600</v>
      </c>
      <c r="K297">
        <v>5</v>
      </c>
      <c r="L297" t="s">
        <v>19</v>
      </c>
      <c r="M297">
        <v>18</v>
      </c>
      <c r="O297" s="25" t="s">
        <v>8565</v>
      </c>
      <c r="P297" s="25" t="s">
        <v>617</v>
      </c>
      <c r="Q297" s="25">
        <v>2312</v>
      </c>
      <c r="R297" t="s">
        <v>17</v>
      </c>
      <c r="S297">
        <f>+E297</f>
        <v>1</v>
      </c>
    </row>
    <row r="298" spans="1:19" hidden="1">
      <c r="A298" s="23" t="s">
        <v>618</v>
      </c>
      <c r="B298" s="23" t="s">
        <v>619</v>
      </c>
      <c r="C298" s="23">
        <v>2583</v>
      </c>
      <c r="D298" t="s">
        <v>17</v>
      </c>
      <c r="E298">
        <v>1</v>
      </c>
      <c r="H298" t="s">
        <v>8461</v>
      </c>
      <c r="I298" s="3" t="str">
        <f>+IFERROR(VLOOKUP(C298,'Mov 2023 hasta ahora '!$C$2:$D$314,2,FALSE),"NO")</f>
        <v>NO</v>
      </c>
      <c r="J298" t="s">
        <v>21</v>
      </c>
      <c r="K298">
        <v>5</v>
      </c>
      <c r="L298" t="s">
        <v>19</v>
      </c>
      <c r="M298">
        <v>18</v>
      </c>
      <c r="O298" s="26" t="s">
        <v>8443</v>
      </c>
      <c r="P298" s="25" t="s">
        <v>145</v>
      </c>
      <c r="Q298" s="25">
        <v>14</v>
      </c>
    </row>
    <row r="299" spans="1:19" hidden="1">
      <c r="A299" s="23" t="s">
        <v>620</v>
      </c>
      <c r="B299" s="23" t="s">
        <v>621</v>
      </c>
      <c r="C299" s="23">
        <v>3430</v>
      </c>
      <c r="D299" t="s">
        <v>17</v>
      </c>
      <c r="E299">
        <v>1</v>
      </c>
      <c r="H299" t="s">
        <v>8461</v>
      </c>
      <c r="I299" s="3" t="str">
        <f>+IFERROR(VLOOKUP(C299,'Mov 2023 hasta ahora '!$C$2:$D$314,2,FALSE),"NO")</f>
        <v>NO</v>
      </c>
      <c r="J299" t="s">
        <v>21</v>
      </c>
      <c r="K299">
        <v>5</v>
      </c>
      <c r="L299" t="s">
        <v>19</v>
      </c>
      <c r="M299">
        <v>18</v>
      </c>
      <c r="O299" s="26" t="s">
        <v>8613</v>
      </c>
      <c r="P299" s="25" t="s">
        <v>8566</v>
      </c>
      <c r="Q299" s="25">
        <v>3452</v>
      </c>
      <c r="R299" t="s">
        <v>17</v>
      </c>
      <c r="S299">
        <v>1</v>
      </c>
    </row>
    <row r="300" spans="1:19" hidden="1">
      <c r="A300" s="23" t="s">
        <v>622</v>
      </c>
      <c r="B300" s="23" t="s">
        <v>623</v>
      </c>
      <c r="C300" s="23">
        <v>3451</v>
      </c>
      <c r="D300" t="s">
        <v>17</v>
      </c>
      <c r="E300">
        <v>1</v>
      </c>
      <c r="H300" t="s">
        <v>8461</v>
      </c>
      <c r="I300" s="3" t="str">
        <f>+IFERROR(VLOOKUP(C300,'Mov 2023 hasta ahora '!$C$2:$D$314,2,FALSE),"NO")</f>
        <v>NO</v>
      </c>
      <c r="J300" t="s">
        <v>21</v>
      </c>
      <c r="K300">
        <v>5</v>
      </c>
      <c r="L300" t="s">
        <v>19</v>
      </c>
      <c r="M300">
        <v>18</v>
      </c>
      <c r="O300" s="26" t="s">
        <v>8613</v>
      </c>
      <c r="P300" s="25" t="s">
        <v>8566</v>
      </c>
      <c r="Q300" s="25">
        <v>3452</v>
      </c>
      <c r="R300" t="s">
        <v>17</v>
      </c>
      <c r="S300">
        <v>1</v>
      </c>
    </row>
    <row r="301" spans="1:19" hidden="1">
      <c r="A301" s="23" t="s">
        <v>624</v>
      </c>
      <c r="B301" s="23" t="s">
        <v>625</v>
      </c>
      <c r="C301" s="23">
        <v>3452</v>
      </c>
      <c r="D301" t="s">
        <v>17</v>
      </c>
      <c r="E301">
        <v>1</v>
      </c>
      <c r="H301" s="6">
        <v>-18427362.5</v>
      </c>
      <c r="I301" s="3">
        <f>+IFERROR(VLOOKUP(C301,'Mov 2023 hasta ahora '!$C$2:$D$314,2,FALSE),"NO")</f>
        <v>2</v>
      </c>
      <c r="J301" t="s">
        <v>607</v>
      </c>
      <c r="K301">
        <v>5</v>
      </c>
      <c r="L301" t="s">
        <v>19</v>
      </c>
      <c r="M301">
        <v>18</v>
      </c>
      <c r="O301" s="25" t="s">
        <v>8613</v>
      </c>
      <c r="P301" s="25" t="s">
        <v>8566</v>
      </c>
      <c r="Q301" s="25">
        <v>3452</v>
      </c>
      <c r="R301" t="s">
        <v>17</v>
      </c>
      <c r="S301">
        <f>+E301</f>
        <v>1</v>
      </c>
    </row>
    <row r="302" spans="1:19" hidden="1">
      <c r="A302" s="23" t="s">
        <v>626</v>
      </c>
      <c r="B302" s="23" t="s">
        <v>627</v>
      </c>
      <c r="C302" s="23">
        <v>3458</v>
      </c>
      <c r="D302" t="s">
        <v>17</v>
      </c>
      <c r="E302">
        <v>1</v>
      </c>
      <c r="H302" t="s">
        <v>8461</v>
      </c>
      <c r="I302" s="3" t="str">
        <f>+IFERROR(VLOOKUP(C302,'Mov 2023 hasta ahora '!$C$2:$D$314,2,FALSE),"NO")</f>
        <v>NO</v>
      </c>
      <c r="J302" t="s">
        <v>21</v>
      </c>
      <c r="K302">
        <v>5</v>
      </c>
      <c r="L302" t="s">
        <v>19</v>
      </c>
      <c r="M302">
        <v>18</v>
      </c>
      <c r="O302" s="26" t="s">
        <v>8613</v>
      </c>
      <c r="P302" s="25" t="s">
        <v>8566</v>
      </c>
      <c r="Q302" s="25">
        <v>3452</v>
      </c>
      <c r="R302" t="s">
        <v>17</v>
      </c>
      <c r="S302">
        <v>1</v>
      </c>
    </row>
    <row r="303" spans="1:19" hidden="1">
      <c r="A303" s="23" t="s">
        <v>628</v>
      </c>
      <c r="B303" s="23" t="s">
        <v>629</v>
      </c>
      <c r="C303" s="23">
        <v>3472</v>
      </c>
      <c r="H303" t="s">
        <v>8461</v>
      </c>
      <c r="I303" s="3" t="str">
        <f>+IFERROR(VLOOKUP(C303,'Mov 2023 hasta ahora '!$C$2:$D$314,2,FALSE),"NO")</f>
        <v>NO</v>
      </c>
      <c r="J303" t="s">
        <v>21</v>
      </c>
      <c r="K303">
        <v>5</v>
      </c>
      <c r="L303" t="s">
        <v>19</v>
      </c>
      <c r="M303">
        <v>18</v>
      </c>
      <c r="O303" s="26" t="s">
        <v>8785</v>
      </c>
      <c r="P303" s="25" t="s">
        <v>8786</v>
      </c>
      <c r="Q303" s="25">
        <v>1341</v>
      </c>
      <c r="R303" t="s">
        <v>17</v>
      </c>
      <c r="S303">
        <v>1</v>
      </c>
    </row>
    <row r="304" spans="1:19" hidden="1">
      <c r="A304" s="23" t="s">
        <v>630</v>
      </c>
      <c r="B304" s="23" t="s">
        <v>631</v>
      </c>
      <c r="C304" s="23">
        <v>3474</v>
      </c>
      <c r="E304">
        <v>1</v>
      </c>
      <c r="H304" t="s">
        <v>8461</v>
      </c>
      <c r="I304" s="3" t="str">
        <f>+IFERROR(VLOOKUP(C304,'Mov 2023 hasta ahora '!$C$2:$D$314,2,FALSE),"NO")</f>
        <v>NO</v>
      </c>
      <c r="J304" t="s">
        <v>21</v>
      </c>
      <c r="K304">
        <v>5</v>
      </c>
      <c r="L304" t="s">
        <v>19</v>
      </c>
      <c r="M304">
        <v>18</v>
      </c>
      <c r="O304" s="26" t="s">
        <v>8613</v>
      </c>
      <c r="P304" s="25" t="s">
        <v>8566</v>
      </c>
      <c r="Q304" s="25">
        <v>3452</v>
      </c>
      <c r="R304" t="s">
        <v>17</v>
      </c>
      <c r="S304">
        <v>1</v>
      </c>
    </row>
    <row r="305" spans="1:19" hidden="1">
      <c r="A305" s="23" t="s">
        <v>632</v>
      </c>
      <c r="B305" s="23" t="s">
        <v>633</v>
      </c>
      <c r="C305" s="23">
        <v>3475</v>
      </c>
      <c r="E305">
        <v>1</v>
      </c>
      <c r="H305" t="s">
        <v>8461</v>
      </c>
      <c r="I305" s="3" t="str">
        <f>+IFERROR(VLOOKUP(C305,'Mov 2023 hasta ahora '!$C$2:$D$314,2,FALSE),"NO")</f>
        <v>NO</v>
      </c>
      <c r="J305" t="s">
        <v>21</v>
      </c>
      <c r="K305">
        <v>5</v>
      </c>
      <c r="L305" t="s">
        <v>19</v>
      </c>
      <c r="M305">
        <v>18</v>
      </c>
      <c r="O305" s="26" t="s">
        <v>8613</v>
      </c>
      <c r="P305" s="25" t="s">
        <v>8566</v>
      </c>
      <c r="Q305" s="25">
        <v>3452</v>
      </c>
      <c r="R305" t="s">
        <v>17</v>
      </c>
      <c r="S305">
        <v>1</v>
      </c>
    </row>
    <row r="306" spans="1:19" hidden="1">
      <c r="A306" s="23" t="s">
        <v>634</v>
      </c>
      <c r="B306" s="23" t="s">
        <v>635</v>
      </c>
      <c r="C306" s="23">
        <v>3490</v>
      </c>
      <c r="I306" s="3">
        <f>+IFERROR(VLOOKUP(C306,'Mov 2023 hasta ahora '!$C$2:$D$314,2,FALSE),"NO")</f>
        <v>1</v>
      </c>
      <c r="J306" t="s">
        <v>575</v>
      </c>
      <c r="K306">
        <v>5</v>
      </c>
      <c r="L306" t="s">
        <v>19</v>
      </c>
      <c r="M306">
        <v>18</v>
      </c>
      <c r="O306" s="25" t="s">
        <v>8614</v>
      </c>
      <c r="P306" s="25" t="s">
        <v>635</v>
      </c>
      <c r="Q306" s="25">
        <v>3490</v>
      </c>
      <c r="R306" t="s">
        <v>17</v>
      </c>
    </row>
    <row r="307" spans="1:19" hidden="1">
      <c r="A307" t="s">
        <v>636</v>
      </c>
      <c r="B307" t="s">
        <v>637</v>
      </c>
      <c r="D307" t="s">
        <v>17</v>
      </c>
      <c r="I307" s="3" t="str">
        <f>+IFERROR(VLOOKUP(C307,'Mov 2023 hasta ahora '!$C$2:$D$314,2,FALSE),"NO")</f>
        <v>NO</v>
      </c>
      <c r="J307" t="s">
        <v>18</v>
      </c>
      <c r="K307">
        <v>3</v>
      </c>
      <c r="L307" t="s">
        <v>19</v>
      </c>
      <c r="M307">
        <v>10</v>
      </c>
    </row>
    <row r="308" spans="1:19" hidden="1">
      <c r="A308" t="s">
        <v>638</v>
      </c>
      <c r="B308" t="s">
        <v>639</v>
      </c>
      <c r="D308" t="s">
        <v>17</v>
      </c>
      <c r="I308" s="3" t="str">
        <f>+IFERROR(VLOOKUP(C308,'Mov 2023 hasta ahora '!$C$2:$D$314,2,FALSE),"NO")</f>
        <v>NO</v>
      </c>
      <c r="K308">
        <v>4</v>
      </c>
      <c r="L308" t="s">
        <v>19</v>
      </c>
      <c r="M308">
        <v>14</v>
      </c>
    </row>
    <row r="309" spans="1:19" hidden="1">
      <c r="A309" s="23" t="s">
        <v>640</v>
      </c>
      <c r="B309" s="23" t="s">
        <v>641</v>
      </c>
      <c r="C309" s="23">
        <v>43</v>
      </c>
      <c r="D309" t="s">
        <v>17</v>
      </c>
      <c r="I309" s="3">
        <f>+IFERROR(VLOOKUP(C309,'Mov 2023 hasta ahora '!$C$2:$D$314,2,FALSE),"NO")</f>
        <v>1045</v>
      </c>
      <c r="K309">
        <v>5</v>
      </c>
      <c r="L309" t="s">
        <v>19</v>
      </c>
      <c r="M309">
        <v>18</v>
      </c>
      <c r="O309" s="25" t="s">
        <v>8569</v>
      </c>
      <c r="P309" s="25" t="s">
        <v>641</v>
      </c>
      <c r="Q309" s="25">
        <v>43</v>
      </c>
      <c r="R309" t="s">
        <v>17</v>
      </c>
    </row>
    <row r="310" spans="1:19" hidden="1">
      <c r="A310" s="23" t="s">
        <v>642</v>
      </c>
      <c r="B310" s="23" t="s">
        <v>643</v>
      </c>
      <c r="C310" s="23">
        <v>44</v>
      </c>
      <c r="D310" t="s">
        <v>17</v>
      </c>
      <c r="I310" s="3">
        <f>+IFERROR(VLOOKUP(C310,'Mov 2023 hasta ahora '!$C$2:$D$314,2,FALSE),"NO")</f>
        <v>134</v>
      </c>
      <c r="K310">
        <v>5</v>
      </c>
      <c r="L310" t="s">
        <v>19</v>
      </c>
      <c r="M310">
        <v>18</v>
      </c>
      <c r="O310" s="25" t="s">
        <v>8571</v>
      </c>
      <c r="P310" s="25" t="s">
        <v>643</v>
      </c>
      <c r="Q310" s="25">
        <v>44</v>
      </c>
      <c r="R310" t="s">
        <v>17</v>
      </c>
    </row>
    <row r="311" spans="1:19" hidden="1">
      <c r="A311" s="23" t="s">
        <v>644</v>
      </c>
      <c r="B311" s="23" t="s">
        <v>645</v>
      </c>
      <c r="C311" s="23">
        <v>45</v>
      </c>
      <c r="D311" t="s">
        <v>17</v>
      </c>
      <c r="I311" s="3">
        <f>+IFERROR(VLOOKUP(C311,'Mov 2023 hasta ahora '!$C$2:$D$314,2,FALSE),"NO")</f>
        <v>52</v>
      </c>
      <c r="K311">
        <v>5</v>
      </c>
      <c r="L311" t="s">
        <v>19</v>
      </c>
      <c r="M311">
        <v>18</v>
      </c>
      <c r="O311" s="25" t="s">
        <v>8572</v>
      </c>
      <c r="P311" s="25" t="s">
        <v>645</v>
      </c>
      <c r="Q311" s="25">
        <v>45</v>
      </c>
      <c r="R311" t="s">
        <v>17</v>
      </c>
    </row>
    <row r="312" spans="1:19" hidden="1">
      <c r="A312" s="23" t="s">
        <v>646</v>
      </c>
      <c r="B312" s="23" t="s">
        <v>647</v>
      </c>
      <c r="C312" s="23">
        <v>46</v>
      </c>
      <c r="D312" t="s">
        <v>17</v>
      </c>
      <c r="I312" s="3">
        <f>+IFERROR(VLOOKUP(C312,'Mov 2023 hasta ahora '!$C$2:$D$314,2,FALSE),"NO")</f>
        <v>56</v>
      </c>
      <c r="K312">
        <v>5</v>
      </c>
      <c r="L312" t="s">
        <v>19</v>
      </c>
      <c r="M312">
        <v>18</v>
      </c>
      <c r="O312" s="25" t="s">
        <v>8573</v>
      </c>
      <c r="P312" s="25" t="s">
        <v>647</v>
      </c>
      <c r="Q312" s="25">
        <v>46</v>
      </c>
      <c r="R312" t="s">
        <v>17</v>
      </c>
    </row>
    <row r="313" spans="1:19" hidden="1">
      <c r="A313" s="23" t="s">
        <v>648</v>
      </c>
      <c r="B313" s="23" t="s">
        <v>649</v>
      </c>
      <c r="C313" s="23">
        <v>47</v>
      </c>
      <c r="D313" t="s">
        <v>17</v>
      </c>
      <c r="I313" s="3">
        <f>+IFERROR(VLOOKUP(C313,'Mov 2023 hasta ahora '!$C$2:$D$314,2,FALSE),"NO")</f>
        <v>54</v>
      </c>
      <c r="K313">
        <v>5</v>
      </c>
      <c r="L313" t="s">
        <v>19</v>
      </c>
      <c r="M313">
        <v>18</v>
      </c>
      <c r="O313" s="25" t="s">
        <v>8574</v>
      </c>
      <c r="P313" s="25" t="s">
        <v>649</v>
      </c>
      <c r="Q313" s="25">
        <v>47</v>
      </c>
      <c r="R313" t="s">
        <v>17</v>
      </c>
    </row>
    <row r="314" spans="1:19" hidden="1">
      <c r="A314" s="23" t="s">
        <v>650</v>
      </c>
      <c r="B314" s="23" t="s">
        <v>651</v>
      </c>
      <c r="C314" s="23">
        <v>48</v>
      </c>
      <c r="D314" t="s">
        <v>17</v>
      </c>
      <c r="H314" t="s">
        <v>8461</v>
      </c>
      <c r="I314" s="3">
        <f>+IFERROR(VLOOKUP(C314,'Mov 2023 hasta ahora '!$C$2:$D$314,2,FALSE),"NO")</f>
        <v>1</v>
      </c>
      <c r="J314" t="s">
        <v>21</v>
      </c>
      <c r="K314">
        <v>5</v>
      </c>
      <c r="L314" t="s">
        <v>19</v>
      </c>
      <c r="M314">
        <v>18</v>
      </c>
      <c r="O314" s="26" t="s">
        <v>8787</v>
      </c>
      <c r="P314" s="25" t="s">
        <v>8788</v>
      </c>
      <c r="Q314" s="25">
        <v>48</v>
      </c>
      <c r="R314" t="s">
        <v>17</v>
      </c>
    </row>
    <row r="315" spans="1:19" hidden="1">
      <c r="A315" s="23" t="s">
        <v>652</v>
      </c>
      <c r="B315" s="23" t="s">
        <v>653</v>
      </c>
      <c r="C315" s="23">
        <v>49</v>
      </c>
      <c r="D315" t="s">
        <v>17</v>
      </c>
      <c r="H315">
        <v>7979.89</v>
      </c>
      <c r="I315" s="3" t="str">
        <f>+IFERROR(VLOOKUP(C315,'Mov 2023 hasta ahora '!$C$2:$D$314,2,FALSE),"NO")</f>
        <v>NO</v>
      </c>
      <c r="J315" t="s">
        <v>21</v>
      </c>
      <c r="K315">
        <v>5</v>
      </c>
      <c r="L315" t="s">
        <v>19</v>
      </c>
      <c r="M315">
        <v>18</v>
      </c>
      <c r="O315" s="26" t="s">
        <v>8787</v>
      </c>
      <c r="P315" s="25" t="s">
        <v>8788</v>
      </c>
      <c r="Q315" s="25">
        <v>48</v>
      </c>
      <c r="R315" t="s">
        <v>17</v>
      </c>
    </row>
    <row r="316" spans="1:19" hidden="1">
      <c r="A316" s="23" t="s">
        <v>654</v>
      </c>
      <c r="B316" s="23" t="s">
        <v>655</v>
      </c>
      <c r="C316" s="23">
        <v>50</v>
      </c>
      <c r="D316" t="s">
        <v>17</v>
      </c>
      <c r="H316">
        <v>14662.52</v>
      </c>
      <c r="I316" s="3" t="str">
        <f>+IFERROR(VLOOKUP(C316,'Mov 2023 hasta ahora '!$C$2:$D$314,2,FALSE),"NO")</f>
        <v>NO</v>
      </c>
      <c r="J316" t="s">
        <v>21</v>
      </c>
      <c r="K316">
        <v>5</v>
      </c>
      <c r="L316" t="s">
        <v>19</v>
      </c>
      <c r="M316">
        <v>18</v>
      </c>
      <c r="O316" s="26" t="s">
        <v>8787</v>
      </c>
      <c r="P316" s="25" t="s">
        <v>8788</v>
      </c>
      <c r="Q316" s="25">
        <v>48</v>
      </c>
      <c r="R316" t="s">
        <v>17</v>
      </c>
    </row>
    <row r="317" spans="1:19" hidden="1">
      <c r="A317" s="23" t="s">
        <v>656</v>
      </c>
      <c r="B317" s="23" t="s">
        <v>657</v>
      </c>
      <c r="C317" s="23">
        <v>51</v>
      </c>
      <c r="D317" t="s">
        <v>17</v>
      </c>
      <c r="H317" t="s">
        <v>8461</v>
      </c>
      <c r="I317" s="3">
        <f>+IFERROR(VLOOKUP(C317,'Mov 2023 hasta ahora '!$C$2:$D$314,2,FALSE),"NO")</f>
        <v>1</v>
      </c>
      <c r="J317" t="s">
        <v>21</v>
      </c>
      <c r="K317">
        <v>5</v>
      </c>
      <c r="L317" t="s">
        <v>19</v>
      </c>
      <c r="M317">
        <v>18</v>
      </c>
      <c r="O317" s="26" t="s">
        <v>8787</v>
      </c>
      <c r="P317" s="25" t="s">
        <v>8788</v>
      </c>
      <c r="Q317" s="25">
        <v>48</v>
      </c>
      <c r="R317" t="s">
        <v>17</v>
      </c>
    </row>
    <row r="318" spans="1:19" hidden="1">
      <c r="A318" s="23" t="s">
        <v>658</v>
      </c>
      <c r="B318" s="23" t="s">
        <v>659</v>
      </c>
      <c r="C318" s="23">
        <v>52</v>
      </c>
      <c r="D318" t="s">
        <v>17</v>
      </c>
      <c r="I318" s="3">
        <f>+IFERROR(VLOOKUP(C318,'Mov 2023 hasta ahora '!$C$2:$D$314,2,FALSE),"NO")</f>
        <v>67</v>
      </c>
      <c r="K318">
        <v>5</v>
      </c>
      <c r="L318" t="s">
        <v>19</v>
      </c>
      <c r="M318">
        <v>18</v>
      </c>
      <c r="O318" s="25" t="s">
        <v>8575</v>
      </c>
      <c r="P318" s="25" t="s">
        <v>659</v>
      </c>
      <c r="Q318" s="25">
        <v>52</v>
      </c>
      <c r="R318" t="s">
        <v>17</v>
      </c>
    </row>
    <row r="319" spans="1:19" hidden="1">
      <c r="A319" s="23" t="s">
        <v>660</v>
      </c>
      <c r="B319" s="23" t="s">
        <v>661</v>
      </c>
      <c r="C319" s="23">
        <v>71</v>
      </c>
      <c r="D319" t="s">
        <v>17</v>
      </c>
      <c r="I319" s="3">
        <f>+IFERROR(VLOOKUP(C319,'Mov 2023 hasta ahora '!$C$2:$D$314,2,FALSE),"NO")</f>
        <v>51</v>
      </c>
      <c r="K319">
        <v>5</v>
      </c>
      <c r="L319" t="s">
        <v>19</v>
      </c>
      <c r="M319">
        <v>18</v>
      </c>
      <c r="O319" s="25" t="s">
        <v>8576</v>
      </c>
      <c r="P319" s="25" t="s">
        <v>8667</v>
      </c>
      <c r="Q319" s="25">
        <v>71</v>
      </c>
      <c r="R319" t="s">
        <v>17</v>
      </c>
    </row>
    <row r="320" spans="1:19" hidden="1">
      <c r="A320" s="23" t="s">
        <v>662</v>
      </c>
      <c r="B320" s="23" t="s">
        <v>663</v>
      </c>
      <c r="C320" s="23">
        <v>72</v>
      </c>
      <c r="D320" t="s">
        <v>17</v>
      </c>
      <c r="I320" s="3">
        <f>+IFERROR(VLOOKUP(C320,'Mov 2023 hasta ahora '!$C$2:$D$314,2,FALSE),"NO")</f>
        <v>49</v>
      </c>
      <c r="K320">
        <v>5</v>
      </c>
      <c r="L320" t="s">
        <v>19</v>
      </c>
      <c r="M320">
        <v>18</v>
      </c>
      <c r="O320" s="25" t="s">
        <v>8577</v>
      </c>
      <c r="P320" s="25" t="s">
        <v>8668</v>
      </c>
      <c r="Q320" s="25">
        <v>72</v>
      </c>
      <c r="R320" t="s">
        <v>17</v>
      </c>
    </row>
    <row r="321" spans="1:19" hidden="1">
      <c r="A321" s="23" t="s">
        <v>664</v>
      </c>
      <c r="B321" s="23" t="s">
        <v>665</v>
      </c>
      <c r="C321" s="23">
        <v>73</v>
      </c>
      <c r="D321" t="s">
        <v>17</v>
      </c>
      <c r="E321">
        <v>4</v>
      </c>
      <c r="I321" s="3">
        <f>+IFERROR(VLOOKUP(C321,'Mov 2023 hasta ahora '!$C$2:$D$314,2,FALSE),"NO")</f>
        <v>2</v>
      </c>
      <c r="K321">
        <v>5</v>
      </c>
      <c r="L321" t="s">
        <v>19</v>
      </c>
      <c r="M321">
        <v>18</v>
      </c>
      <c r="O321" s="25" t="s">
        <v>8578</v>
      </c>
      <c r="P321" s="25" t="s">
        <v>665</v>
      </c>
      <c r="Q321" s="25">
        <v>73</v>
      </c>
      <c r="R321" t="s">
        <v>17</v>
      </c>
      <c r="S321">
        <f>+E321</f>
        <v>4</v>
      </c>
    </row>
    <row r="322" spans="1:19" hidden="1">
      <c r="A322" s="23" t="s">
        <v>666</v>
      </c>
      <c r="B322" s="23" t="s">
        <v>667</v>
      </c>
      <c r="C322" s="23">
        <v>1804</v>
      </c>
      <c r="I322" s="3">
        <f>+IFERROR(VLOOKUP(C322,'Mov 2023 hasta ahora '!$C$2:$D$314,2,FALSE),"NO")</f>
        <v>148</v>
      </c>
      <c r="K322">
        <v>5</v>
      </c>
      <c r="L322" t="s">
        <v>19</v>
      </c>
      <c r="M322">
        <v>18</v>
      </c>
      <c r="O322" s="25" t="s">
        <v>8579</v>
      </c>
      <c r="P322" s="25" t="s">
        <v>667</v>
      </c>
      <c r="Q322" s="25">
        <v>1804</v>
      </c>
      <c r="R322" t="s">
        <v>17</v>
      </c>
    </row>
    <row r="323" spans="1:19" hidden="1">
      <c r="A323" s="23" t="s">
        <v>668</v>
      </c>
      <c r="B323" s="23" t="s">
        <v>669</v>
      </c>
      <c r="C323" s="23">
        <v>2265</v>
      </c>
      <c r="D323" t="s">
        <v>17</v>
      </c>
      <c r="H323" t="s">
        <v>8461</v>
      </c>
      <c r="I323" s="3" t="str">
        <f>+IFERROR(VLOOKUP(C323,'Mov 2023 hasta ahora '!$C$2:$D$314,2,FALSE),"NO")</f>
        <v>NO</v>
      </c>
      <c r="J323" t="s">
        <v>21</v>
      </c>
      <c r="K323">
        <v>5</v>
      </c>
      <c r="L323" t="s">
        <v>19</v>
      </c>
      <c r="M323">
        <v>18</v>
      </c>
      <c r="O323" s="26" t="s">
        <v>8787</v>
      </c>
      <c r="P323" s="25" t="s">
        <v>8788</v>
      </c>
      <c r="Q323" s="25">
        <v>48</v>
      </c>
      <c r="R323" t="s">
        <v>17</v>
      </c>
    </row>
    <row r="324" spans="1:19" hidden="1">
      <c r="A324" s="23" t="s">
        <v>670</v>
      </c>
      <c r="B324" s="23" t="s">
        <v>671</v>
      </c>
      <c r="C324" s="23">
        <v>2822</v>
      </c>
      <c r="D324" t="s">
        <v>17</v>
      </c>
      <c r="I324" s="3">
        <f>+IFERROR(VLOOKUP(C324,'Mov 2023 hasta ahora '!$C$2:$D$314,2,FALSE),"NO")</f>
        <v>51</v>
      </c>
      <c r="K324">
        <v>5</v>
      </c>
      <c r="L324" t="s">
        <v>19</v>
      </c>
      <c r="M324">
        <v>18</v>
      </c>
      <c r="O324" s="25" t="s">
        <v>8580</v>
      </c>
      <c r="P324" s="25" t="s">
        <v>671</v>
      </c>
      <c r="Q324" s="25">
        <v>2822</v>
      </c>
      <c r="R324" t="s">
        <v>17</v>
      </c>
    </row>
    <row r="325" spans="1:19" hidden="1">
      <c r="A325" s="23" t="s">
        <v>672</v>
      </c>
      <c r="B325" s="23" t="s">
        <v>673</v>
      </c>
      <c r="C325" s="23">
        <v>2970</v>
      </c>
      <c r="E325">
        <v>4</v>
      </c>
      <c r="H325" t="s">
        <v>8461</v>
      </c>
      <c r="I325" s="3" t="str">
        <f>+IFERROR(VLOOKUP(C325,'Mov 2023 hasta ahora '!$C$2:$D$314,2,FALSE),"NO")</f>
        <v>NO</v>
      </c>
      <c r="J325" t="s">
        <v>21</v>
      </c>
      <c r="K325">
        <v>5</v>
      </c>
      <c r="L325" t="s">
        <v>19</v>
      </c>
      <c r="M325">
        <v>18</v>
      </c>
      <c r="O325" s="26" t="s">
        <v>8477</v>
      </c>
      <c r="P325" s="25" t="s">
        <v>307</v>
      </c>
      <c r="Q325" s="25">
        <v>74</v>
      </c>
      <c r="R325" t="s">
        <v>17</v>
      </c>
    </row>
    <row r="326" spans="1:19" hidden="1">
      <c r="A326" s="23" t="s">
        <v>674</v>
      </c>
      <c r="B326" s="23" t="s">
        <v>675</v>
      </c>
      <c r="C326" s="23">
        <v>3434</v>
      </c>
      <c r="H326" t="s">
        <v>8461</v>
      </c>
      <c r="I326" s="3" t="str">
        <f>+IFERROR(VLOOKUP(C326,'Mov 2023 hasta ahora '!$C$2:$D$314,2,FALSE),"NO")</f>
        <v>NO</v>
      </c>
      <c r="J326" t="s">
        <v>21</v>
      </c>
      <c r="K326">
        <v>5</v>
      </c>
      <c r="L326" t="s">
        <v>19</v>
      </c>
      <c r="M326">
        <v>18</v>
      </c>
      <c r="O326" s="26" t="s">
        <v>8787</v>
      </c>
      <c r="P326" s="25" t="s">
        <v>8788</v>
      </c>
      <c r="Q326" s="25">
        <v>48</v>
      </c>
      <c r="R326" t="s">
        <v>17</v>
      </c>
    </row>
    <row r="327" spans="1:19" hidden="1">
      <c r="A327" t="s">
        <v>676</v>
      </c>
      <c r="B327" t="s">
        <v>677</v>
      </c>
      <c r="D327" t="s">
        <v>17</v>
      </c>
      <c r="I327" s="3" t="str">
        <f>+IFERROR(VLOOKUP(C327,'Mov 2023 hasta ahora '!$C$2:$D$314,2,FALSE),"NO")</f>
        <v>NO</v>
      </c>
      <c r="K327">
        <v>4</v>
      </c>
      <c r="L327" t="s">
        <v>19</v>
      </c>
      <c r="M327">
        <v>14</v>
      </c>
    </row>
    <row r="328" spans="1:19" hidden="1">
      <c r="A328" s="23" t="s">
        <v>678</v>
      </c>
      <c r="B328" s="23" t="s">
        <v>679</v>
      </c>
      <c r="C328" s="23">
        <v>53</v>
      </c>
      <c r="D328" t="s">
        <v>17</v>
      </c>
      <c r="I328" s="3">
        <f>+IFERROR(VLOOKUP(C328,'Mov 2023 hasta ahora '!$C$2:$D$314,2,FALSE),"NO")</f>
        <v>1595</v>
      </c>
      <c r="K328">
        <v>5</v>
      </c>
      <c r="L328" t="s">
        <v>19</v>
      </c>
      <c r="M328">
        <v>18</v>
      </c>
      <c r="O328" s="25" t="s">
        <v>8570</v>
      </c>
      <c r="P328" s="25" t="s">
        <v>8665</v>
      </c>
      <c r="Q328" s="25">
        <v>53</v>
      </c>
      <c r="R328" t="s">
        <v>17</v>
      </c>
    </row>
    <row r="329" spans="1:19" hidden="1">
      <c r="A329" s="23" t="s">
        <v>680</v>
      </c>
      <c r="B329" s="23" t="s">
        <v>681</v>
      </c>
      <c r="C329" s="23">
        <v>54</v>
      </c>
      <c r="D329" t="s">
        <v>17</v>
      </c>
      <c r="I329" s="3">
        <f>+IFERROR(VLOOKUP(C329,'Mov 2023 hasta ahora '!$C$2:$D$314,2,FALSE),"NO")</f>
        <v>231</v>
      </c>
      <c r="K329">
        <v>5</v>
      </c>
      <c r="L329" t="s">
        <v>19</v>
      </c>
      <c r="M329">
        <v>18</v>
      </c>
      <c r="O329" s="25" t="s">
        <v>8582</v>
      </c>
      <c r="P329" s="25" t="s">
        <v>8664</v>
      </c>
      <c r="Q329" s="25">
        <v>54</v>
      </c>
      <c r="R329" t="s">
        <v>17</v>
      </c>
    </row>
    <row r="330" spans="1:19" hidden="1">
      <c r="A330" s="23" t="s">
        <v>682</v>
      </c>
      <c r="B330" s="23" t="s">
        <v>683</v>
      </c>
      <c r="C330" s="23">
        <v>58</v>
      </c>
      <c r="D330" t="s">
        <v>17</v>
      </c>
      <c r="I330" s="3">
        <f>+IFERROR(VLOOKUP(C330,'Mov 2023 hasta ahora '!$C$2:$D$314,2,FALSE),"NO")</f>
        <v>51</v>
      </c>
      <c r="K330">
        <v>5</v>
      </c>
      <c r="L330" t="s">
        <v>19</v>
      </c>
      <c r="M330">
        <v>18</v>
      </c>
      <c r="O330" s="25" t="s">
        <v>8583</v>
      </c>
      <c r="P330" s="25" t="s">
        <v>683</v>
      </c>
      <c r="Q330" s="25">
        <v>58</v>
      </c>
      <c r="R330" t="s">
        <v>17</v>
      </c>
    </row>
    <row r="331" spans="1:19" hidden="1">
      <c r="A331" s="23" t="s">
        <v>684</v>
      </c>
      <c r="B331" s="23" t="s">
        <v>685</v>
      </c>
      <c r="C331" s="23">
        <v>59</v>
      </c>
      <c r="D331" t="s">
        <v>17</v>
      </c>
      <c r="I331" s="3" t="str">
        <f>+IFERROR(VLOOKUP(C331,'Mov 2023 hasta ahora '!$C$2:$D$314,2,FALSE),"NO")</f>
        <v>NO</v>
      </c>
      <c r="K331">
        <v>5</v>
      </c>
      <c r="L331" t="s">
        <v>19</v>
      </c>
      <c r="M331">
        <v>18</v>
      </c>
      <c r="O331" s="25" t="s">
        <v>8584</v>
      </c>
      <c r="P331" s="25" t="s">
        <v>685</v>
      </c>
      <c r="Q331" s="25">
        <v>59</v>
      </c>
      <c r="R331" t="s">
        <v>17</v>
      </c>
    </row>
    <row r="332" spans="1:19" hidden="1">
      <c r="A332" s="23" t="s">
        <v>686</v>
      </c>
      <c r="B332" s="23" t="s">
        <v>687</v>
      </c>
      <c r="C332" s="23">
        <v>60</v>
      </c>
      <c r="D332" t="s">
        <v>17</v>
      </c>
      <c r="I332" s="3">
        <f>+IFERROR(VLOOKUP(C332,'Mov 2023 hasta ahora '!$C$2:$D$314,2,FALSE),"NO")</f>
        <v>437</v>
      </c>
      <c r="K332">
        <v>5</v>
      </c>
      <c r="L332" t="s">
        <v>19</v>
      </c>
      <c r="M332">
        <v>18</v>
      </c>
      <c r="O332" s="25" t="s">
        <v>8585</v>
      </c>
      <c r="P332" s="25" t="s">
        <v>687</v>
      </c>
      <c r="Q332" s="25">
        <v>60</v>
      </c>
      <c r="R332" t="s">
        <v>17</v>
      </c>
    </row>
    <row r="333" spans="1:19" hidden="1">
      <c r="A333" s="23" t="s">
        <v>688</v>
      </c>
      <c r="B333" s="23" t="s">
        <v>689</v>
      </c>
      <c r="C333" s="23">
        <v>61</v>
      </c>
      <c r="D333" t="s">
        <v>17</v>
      </c>
      <c r="I333" s="3">
        <f>+IFERROR(VLOOKUP(C333,'Mov 2023 hasta ahora '!$C$2:$D$314,2,FALSE),"NO")</f>
        <v>5</v>
      </c>
      <c r="K333">
        <v>5</v>
      </c>
      <c r="L333" t="s">
        <v>19</v>
      </c>
      <c r="M333">
        <v>18</v>
      </c>
      <c r="O333" s="25" t="s">
        <v>8586</v>
      </c>
      <c r="P333" s="25" t="s">
        <v>689</v>
      </c>
      <c r="Q333" s="25">
        <v>61</v>
      </c>
      <c r="R333" t="s">
        <v>17</v>
      </c>
    </row>
    <row r="334" spans="1:19" hidden="1">
      <c r="A334" s="23" t="s">
        <v>690</v>
      </c>
      <c r="B334" s="23" t="s">
        <v>691</v>
      </c>
      <c r="C334" s="23">
        <v>62</v>
      </c>
      <c r="D334" t="s">
        <v>17</v>
      </c>
      <c r="I334" s="3" t="str">
        <f>+IFERROR(VLOOKUP(C334,'Mov 2023 hasta ahora '!$C$2:$D$314,2,FALSE),"NO")</f>
        <v>NO</v>
      </c>
      <c r="K334">
        <v>5</v>
      </c>
      <c r="L334" t="s">
        <v>19</v>
      </c>
      <c r="M334">
        <v>18</v>
      </c>
      <c r="O334" s="25" t="s">
        <v>8587</v>
      </c>
      <c r="P334" s="25" t="s">
        <v>8666</v>
      </c>
      <c r="Q334" s="25">
        <v>62</v>
      </c>
      <c r="R334" t="s">
        <v>17</v>
      </c>
    </row>
    <row r="335" spans="1:19" hidden="1">
      <c r="A335" s="23" t="s">
        <v>692</v>
      </c>
      <c r="B335" s="23" t="s">
        <v>693</v>
      </c>
      <c r="C335" s="23">
        <v>63</v>
      </c>
      <c r="D335" t="s">
        <v>17</v>
      </c>
      <c r="I335" s="3">
        <f>+IFERROR(VLOOKUP(C335,'Mov 2023 hasta ahora '!$C$2:$D$314,2,FALSE),"NO")</f>
        <v>10</v>
      </c>
      <c r="K335">
        <v>5</v>
      </c>
      <c r="L335" t="s">
        <v>19</v>
      </c>
      <c r="M335">
        <v>18</v>
      </c>
      <c r="O335" s="25" t="s">
        <v>8588</v>
      </c>
      <c r="P335" s="25" t="s">
        <v>693</v>
      </c>
      <c r="Q335" s="25">
        <v>63</v>
      </c>
      <c r="R335" t="s">
        <v>17</v>
      </c>
    </row>
    <row r="336" spans="1:19" hidden="1">
      <c r="A336" s="23" t="s">
        <v>694</v>
      </c>
      <c r="B336" s="23" t="s">
        <v>695</v>
      </c>
      <c r="C336" s="23">
        <v>64</v>
      </c>
      <c r="D336" t="s">
        <v>17</v>
      </c>
      <c r="I336" s="3">
        <f>+IFERROR(VLOOKUP(C336,'Mov 2023 hasta ahora '!$C$2:$D$314,2,FALSE),"NO")</f>
        <v>23</v>
      </c>
      <c r="K336">
        <v>5</v>
      </c>
      <c r="L336" t="s">
        <v>19</v>
      </c>
      <c r="M336">
        <v>18</v>
      </c>
      <c r="O336" s="25" t="s">
        <v>8589</v>
      </c>
      <c r="P336" s="25" t="s">
        <v>695</v>
      </c>
      <c r="Q336" s="25">
        <v>64</v>
      </c>
      <c r="R336" t="s">
        <v>17</v>
      </c>
    </row>
    <row r="337" spans="1:18" hidden="1">
      <c r="A337" s="23" t="s">
        <v>696</v>
      </c>
      <c r="B337" s="23" t="s">
        <v>697</v>
      </c>
      <c r="C337" s="23">
        <v>65</v>
      </c>
      <c r="D337" t="s">
        <v>17</v>
      </c>
      <c r="I337" s="3">
        <f>+IFERROR(VLOOKUP(C337,'Mov 2023 hasta ahora '!$C$2:$D$314,2,FALSE),"NO")</f>
        <v>21</v>
      </c>
      <c r="K337">
        <v>5</v>
      </c>
      <c r="L337" t="s">
        <v>19</v>
      </c>
      <c r="M337">
        <v>18</v>
      </c>
      <c r="O337" s="25" t="s">
        <v>8590</v>
      </c>
      <c r="P337" s="25" t="s">
        <v>697</v>
      </c>
      <c r="Q337" s="25">
        <v>65</v>
      </c>
      <c r="R337" t="s">
        <v>17</v>
      </c>
    </row>
    <row r="338" spans="1:18" hidden="1">
      <c r="A338" s="23" t="s">
        <v>698</v>
      </c>
      <c r="B338" s="23" t="s">
        <v>699</v>
      </c>
      <c r="C338" s="23">
        <v>66</v>
      </c>
      <c r="D338" t="s">
        <v>17</v>
      </c>
      <c r="H338" t="s">
        <v>8461</v>
      </c>
      <c r="I338" s="3" t="str">
        <f>+IFERROR(VLOOKUP(C338,'Mov 2023 hasta ahora '!$C$2:$D$314,2,FALSE),"NO")</f>
        <v>NO</v>
      </c>
      <c r="J338" t="s">
        <v>21</v>
      </c>
      <c r="K338">
        <v>5</v>
      </c>
      <c r="L338" t="s">
        <v>19</v>
      </c>
      <c r="M338">
        <v>18</v>
      </c>
      <c r="O338" s="26" t="s">
        <v>8593</v>
      </c>
      <c r="P338" s="25" t="s">
        <v>707</v>
      </c>
      <c r="Q338" s="25">
        <v>70</v>
      </c>
      <c r="R338" t="s">
        <v>17</v>
      </c>
    </row>
    <row r="339" spans="1:18" hidden="1">
      <c r="A339" s="23" t="s">
        <v>700</v>
      </c>
      <c r="B339" s="23" t="s">
        <v>701</v>
      </c>
      <c r="C339" s="23">
        <v>67</v>
      </c>
      <c r="D339" t="s">
        <v>17</v>
      </c>
      <c r="E339">
        <v>1</v>
      </c>
      <c r="H339" t="s">
        <v>8461</v>
      </c>
      <c r="I339" s="3" t="str">
        <f>+IFERROR(VLOOKUP(C339,'Mov 2023 hasta ahora '!$C$2:$D$314,2,FALSE),"NO")</f>
        <v>NO</v>
      </c>
      <c r="J339" t="s">
        <v>21</v>
      </c>
      <c r="K339">
        <v>5</v>
      </c>
      <c r="L339" t="s">
        <v>19</v>
      </c>
      <c r="M339">
        <v>18</v>
      </c>
      <c r="O339" s="26" t="s">
        <v>8559</v>
      </c>
      <c r="P339" s="25" t="s">
        <v>602</v>
      </c>
      <c r="Q339" s="25">
        <v>1344</v>
      </c>
      <c r="R339" t="s">
        <v>17</v>
      </c>
    </row>
    <row r="340" spans="1:18" hidden="1">
      <c r="A340" s="23" t="s">
        <v>702</v>
      </c>
      <c r="B340" s="23" t="s">
        <v>703</v>
      </c>
      <c r="C340" s="23">
        <v>68</v>
      </c>
      <c r="D340" t="s">
        <v>17</v>
      </c>
      <c r="I340" s="3">
        <f>+IFERROR(VLOOKUP(C340,'Mov 2023 hasta ahora '!$C$2:$D$314,2,FALSE),"NO")</f>
        <v>64</v>
      </c>
      <c r="K340">
        <v>5</v>
      </c>
      <c r="L340" t="s">
        <v>19</v>
      </c>
      <c r="M340">
        <v>18</v>
      </c>
      <c r="O340" s="25" t="s">
        <v>8591</v>
      </c>
      <c r="P340" s="25" t="s">
        <v>8592</v>
      </c>
      <c r="Q340" s="25">
        <v>68</v>
      </c>
      <c r="R340" t="s">
        <v>17</v>
      </c>
    </row>
    <row r="341" spans="1:18" hidden="1">
      <c r="A341" s="23" t="s">
        <v>704</v>
      </c>
      <c r="B341" s="23" t="s">
        <v>705</v>
      </c>
      <c r="C341" s="23">
        <v>69</v>
      </c>
      <c r="D341" t="s">
        <v>17</v>
      </c>
      <c r="H341" t="s">
        <v>8461</v>
      </c>
      <c r="I341" s="3" t="str">
        <f>+IFERROR(VLOOKUP(C341,'Mov 2023 hasta ahora '!$C$2:$D$314,2,FALSE),"NO")</f>
        <v>NO</v>
      </c>
      <c r="J341" t="s">
        <v>21</v>
      </c>
      <c r="K341">
        <v>5</v>
      </c>
      <c r="L341" t="s">
        <v>19</v>
      </c>
      <c r="M341">
        <v>18</v>
      </c>
      <c r="O341" s="26" t="s">
        <v>8593</v>
      </c>
      <c r="P341" s="25" t="s">
        <v>707</v>
      </c>
      <c r="Q341" s="25">
        <v>70</v>
      </c>
      <c r="R341" t="s">
        <v>17</v>
      </c>
    </row>
    <row r="342" spans="1:18" hidden="1">
      <c r="A342" s="23" t="s">
        <v>706</v>
      </c>
      <c r="B342" s="23" t="s">
        <v>707</v>
      </c>
      <c r="C342" s="23">
        <v>70</v>
      </c>
      <c r="D342" t="s">
        <v>17</v>
      </c>
      <c r="I342" s="3">
        <f>+IFERROR(VLOOKUP(C342,'Mov 2023 hasta ahora '!$C$2:$D$314,2,FALSE),"NO")</f>
        <v>2</v>
      </c>
      <c r="K342">
        <v>5</v>
      </c>
      <c r="L342" t="s">
        <v>19</v>
      </c>
      <c r="M342">
        <v>18</v>
      </c>
      <c r="O342" s="25" t="s">
        <v>8593</v>
      </c>
      <c r="P342" s="25" t="s">
        <v>707</v>
      </c>
      <c r="Q342" s="25">
        <v>70</v>
      </c>
      <c r="R342" t="s">
        <v>17</v>
      </c>
    </row>
    <row r="343" spans="1:18" hidden="1">
      <c r="A343" s="23" t="s">
        <v>708</v>
      </c>
      <c r="B343" s="23" t="s">
        <v>709</v>
      </c>
      <c r="C343" s="23">
        <v>120</v>
      </c>
      <c r="D343" t="s">
        <v>17</v>
      </c>
      <c r="I343" s="3">
        <f>+IFERROR(VLOOKUP(C343,'Mov 2023 hasta ahora '!$C$2:$D$314,2,FALSE),"NO")</f>
        <v>257</v>
      </c>
      <c r="K343">
        <v>5</v>
      </c>
      <c r="L343" t="s">
        <v>19</v>
      </c>
      <c r="M343">
        <v>18</v>
      </c>
      <c r="O343" s="25" t="s">
        <v>8594</v>
      </c>
      <c r="P343" s="25" t="s">
        <v>709</v>
      </c>
      <c r="Q343" s="25">
        <v>120</v>
      </c>
      <c r="R343" t="s">
        <v>17</v>
      </c>
    </row>
    <row r="344" spans="1:18" hidden="1">
      <c r="A344" s="23" t="s">
        <v>710</v>
      </c>
      <c r="B344" s="23" t="s">
        <v>711</v>
      </c>
      <c r="C344" s="23">
        <v>121</v>
      </c>
      <c r="D344" t="s">
        <v>17</v>
      </c>
      <c r="I344" s="3">
        <f>+IFERROR(VLOOKUP(C344,'Mov 2023 hasta ahora '!$C$2:$D$314,2,FALSE),"NO")</f>
        <v>10</v>
      </c>
      <c r="K344">
        <v>5</v>
      </c>
      <c r="L344" t="s">
        <v>19</v>
      </c>
      <c r="M344">
        <v>18</v>
      </c>
      <c r="O344" s="25" t="s">
        <v>8595</v>
      </c>
      <c r="P344" s="25" t="s">
        <v>711</v>
      </c>
      <c r="Q344" s="25">
        <v>121</v>
      </c>
      <c r="R344" t="s">
        <v>17</v>
      </c>
    </row>
    <row r="345" spans="1:18" hidden="1">
      <c r="A345" s="23" t="s">
        <v>712</v>
      </c>
      <c r="B345" s="23" t="s">
        <v>713</v>
      </c>
      <c r="C345" s="23">
        <v>127</v>
      </c>
      <c r="D345" t="s">
        <v>17</v>
      </c>
      <c r="I345" s="3">
        <f>+IFERROR(VLOOKUP(C345,'Mov 2023 hasta ahora '!$C$2:$D$314,2,FALSE),"NO")</f>
        <v>18</v>
      </c>
      <c r="K345">
        <v>5</v>
      </c>
      <c r="L345" t="s">
        <v>19</v>
      </c>
      <c r="M345">
        <v>18</v>
      </c>
      <c r="O345" s="25" t="s">
        <v>8596</v>
      </c>
      <c r="P345" s="25" t="s">
        <v>713</v>
      </c>
      <c r="Q345" s="25">
        <v>127</v>
      </c>
      <c r="R345" t="s">
        <v>17</v>
      </c>
    </row>
    <row r="346" spans="1:18" hidden="1">
      <c r="A346" s="23" t="s">
        <v>714</v>
      </c>
      <c r="B346" s="23" t="s">
        <v>715</v>
      </c>
      <c r="C346" s="23">
        <v>1350</v>
      </c>
      <c r="D346" t="s">
        <v>17</v>
      </c>
      <c r="I346" s="3">
        <f>+IFERROR(VLOOKUP(C346,'Mov 2023 hasta ahora '!$C$2:$D$314,2,FALSE),"NO")</f>
        <v>381</v>
      </c>
      <c r="K346">
        <v>5</v>
      </c>
      <c r="L346" t="s">
        <v>19</v>
      </c>
      <c r="M346">
        <v>18</v>
      </c>
      <c r="O346" s="25" t="s">
        <v>8597</v>
      </c>
      <c r="P346" s="25" t="s">
        <v>715</v>
      </c>
      <c r="Q346" s="25">
        <v>1350</v>
      </c>
      <c r="R346" t="s">
        <v>17</v>
      </c>
    </row>
    <row r="347" spans="1:18" hidden="1">
      <c r="A347" s="23" t="s">
        <v>716</v>
      </c>
      <c r="B347" s="23" t="s">
        <v>717</v>
      </c>
      <c r="C347" s="23">
        <v>1889</v>
      </c>
      <c r="D347" t="s">
        <v>17</v>
      </c>
      <c r="H347" t="s">
        <v>8461</v>
      </c>
      <c r="I347" s="3" t="str">
        <f>+IFERROR(VLOOKUP(C347,'Mov 2023 hasta ahora '!$C$2:$D$314,2,FALSE),"NO")</f>
        <v>NO</v>
      </c>
      <c r="J347" t="s">
        <v>21</v>
      </c>
      <c r="K347">
        <v>5</v>
      </c>
      <c r="L347" t="s">
        <v>19</v>
      </c>
      <c r="M347">
        <v>18</v>
      </c>
      <c r="O347" s="26" t="s">
        <v>8593</v>
      </c>
      <c r="P347" s="25" t="s">
        <v>707</v>
      </c>
      <c r="Q347" s="25">
        <v>70</v>
      </c>
      <c r="R347" t="s">
        <v>17</v>
      </c>
    </row>
    <row r="348" spans="1:18" hidden="1">
      <c r="A348" s="23" t="s">
        <v>718</v>
      </c>
      <c r="B348" s="23" t="s">
        <v>719</v>
      </c>
      <c r="C348" s="23">
        <v>3511</v>
      </c>
      <c r="D348" t="s">
        <v>17</v>
      </c>
      <c r="I348" s="3">
        <f>+IFERROR(VLOOKUP(C348,'Mov 2023 hasta ahora '!$C$2:$D$314,2,FALSE),"NO")</f>
        <v>30</v>
      </c>
      <c r="K348">
        <v>5</v>
      </c>
      <c r="L348" t="s">
        <v>19</v>
      </c>
      <c r="M348">
        <v>18</v>
      </c>
      <c r="O348" s="25" t="s">
        <v>8598</v>
      </c>
      <c r="P348" s="25" t="s">
        <v>719</v>
      </c>
      <c r="Q348" s="25">
        <v>3511</v>
      </c>
      <c r="R348" t="s">
        <v>17</v>
      </c>
    </row>
    <row r="349" spans="1:18" hidden="1">
      <c r="A349" s="23" t="s">
        <v>720</v>
      </c>
      <c r="B349" s="23" t="s">
        <v>721</v>
      </c>
      <c r="C349" s="23">
        <v>3512</v>
      </c>
      <c r="D349" t="s">
        <v>17</v>
      </c>
      <c r="I349" s="3">
        <f>+IFERROR(VLOOKUP(C349,'Mov 2023 hasta ahora '!$C$2:$D$314,2,FALSE),"NO")</f>
        <v>31</v>
      </c>
      <c r="K349">
        <v>5</v>
      </c>
      <c r="L349" t="s">
        <v>19</v>
      </c>
      <c r="M349">
        <v>18</v>
      </c>
      <c r="O349" s="25" t="s">
        <v>8599</v>
      </c>
      <c r="P349" s="25" t="s">
        <v>721</v>
      </c>
      <c r="Q349" s="25">
        <v>3512</v>
      </c>
      <c r="R349" t="s">
        <v>17</v>
      </c>
    </row>
    <row r="350" spans="1:18" hidden="1">
      <c r="A350" s="23" t="s">
        <v>722</v>
      </c>
      <c r="B350" s="23" t="s">
        <v>723</v>
      </c>
      <c r="C350" s="23">
        <v>1545</v>
      </c>
      <c r="D350" t="s">
        <v>17</v>
      </c>
      <c r="I350" s="3">
        <f>+IFERROR(VLOOKUP(C350,'Mov 2023 hasta ahora '!$C$2:$D$314,2,FALSE),"NO")</f>
        <v>493</v>
      </c>
      <c r="K350">
        <v>5</v>
      </c>
      <c r="L350" t="s">
        <v>19</v>
      </c>
      <c r="M350">
        <v>18</v>
      </c>
      <c r="O350" s="25" t="s">
        <v>8600</v>
      </c>
      <c r="P350" s="25" t="s">
        <v>723</v>
      </c>
      <c r="Q350" s="25">
        <v>1545</v>
      </c>
      <c r="R350" t="s">
        <v>17</v>
      </c>
    </row>
    <row r="351" spans="1:18" hidden="1">
      <c r="A351" s="23" t="s">
        <v>724</v>
      </c>
      <c r="B351" s="23" t="s">
        <v>725</v>
      </c>
      <c r="C351" s="23">
        <v>1915</v>
      </c>
      <c r="D351" t="s">
        <v>17</v>
      </c>
      <c r="I351" s="3">
        <f>+IFERROR(VLOOKUP(C351,'Mov 2023 hasta ahora '!$C$2:$D$314,2,FALSE),"NO")</f>
        <v>10</v>
      </c>
      <c r="K351">
        <v>5</v>
      </c>
      <c r="L351" t="s">
        <v>19</v>
      </c>
      <c r="M351">
        <v>18</v>
      </c>
      <c r="O351" s="25" t="s">
        <v>8601</v>
      </c>
      <c r="P351" s="25" t="s">
        <v>8661</v>
      </c>
      <c r="Q351" s="25">
        <v>1915</v>
      </c>
      <c r="R351" t="s">
        <v>17</v>
      </c>
    </row>
    <row r="352" spans="1:18" hidden="1">
      <c r="A352" s="23" t="s">
        <v>726</v>
      </c>
      <c r="B352" s="23" t="s">
        <v>727</v>
      </c>
      <c r="C352" s="23">
        <v>2132</v>
      </c>
      <c r="D352" t="s">
        <v>17</v>
      </c>
      <c r="E352">
        <v>4</v>
      </c>
      <c r="H352" t="s">
        <v>8461</v>
      </c>
      <c r="I352" s="3" t="str">
        <f>+IFERROR(VLOOKUP(C352,'Mov 2023 hasta ahora '!$C$2:$D$314,2,FALSE),"NO")</f>
        <v>NO</v>
      </c>
      <c r="J352" t="s">
        <v>21</v>
      </c>
      <c r="K352">
        <v>5</v>
      </c>
      <c r="L352" t="s">
        <v>19</v>
      </c>
      <c r="M352">
        <v>18</v>
      </c>
      <c r="O352" s="26" t="s">
        <v>8545</v>
      </c>
      <c r="P352" s="25" t="s">
        <v>349</v>
      </c>
      <c r="Q352" s="25">
        <v>1362</v>
      </c>
      <c r="R352" t="s">
        <v>17</v>
      </c>
    </row>
    <row r="353" spans="1:19" hidden="1">
      <c r="A353" s="23" t="s">
        <v>728</v>
      </c>
      <c r="B353" s="23" t="s">
        <v>729</v>
      </c>
      <c r="C353" s="23">
        <v>2133</v>
      </c>
      <c r="D353" t="s">
        <v>17</v>
      </c>
      <c r="E353">
        <v>4</v>
      </c>
      <c r="H353" t="s">
        <v>8461</v>
      </c>
      <c r="I353" s="3" t="str">
        <f>+IFERROR(VLOOKUP(C353,'Mov 2023 hasta ahora '!$C$2:$D$314,2,FALSE),"NO")</f>
        <v>NO</v>
      </c>
      <c r="J353" t="s">
        <v>21</v>
      </c>
      <c r="K353">
        <v>5</v>
      </c>
      <c r="L353" t="s">
        <v>19</v>
      </c>
      <c r="M353">
        <v>18</v>
      </c>
      <c r="O353" s="26" t="s">
        <v>8545</v>
      </c>
      <c r="P353" s="25" t="s">
        <v>349</v>
      </c>
      <c r="Q353" s="25">
        <v>1362</v>
      </c>
      <c r="R353" t="s">
        <v>17</v>
      </c>
    </row>
    <row r="354" spans="1:19" hidden="1">
      <c r="A354" s="23" t="s">
        <v>730</v>
      </c>
      <c r="B354" s="23" t="s">
        <v>731</v>
      </c>
      <c r="C354" s="23">
        <v>2315</v>
      </c>
      <c r="D354" t="s">
        <v>17</v>
      </c>
      <c r="H354" t="s">
        <v>8461</v>
      </c>
      <c r="I354" s="3" t="str">
        <f>+IFERROR(VLOOKUP(C354,'Mov 2023 hasta ahora '!$C$2:$D$314,2,FALSE),"NO")</f>
        <v>NO</v>
      </c>
      <c r="J354" t="s">
        <v>21</v>
      </c>
      <c r="K354">
        <v>5</v>
      </c>
      <c r="L354" t="s">
        <v>19</v>
      </c>
      <c r="M354">
        <v>18</v>
      </c>
      <c r="O354" s="26" t="s">
        <v>8593</v>
      </c>
      <c r="P354" s="25" t="s">
        <v>707</v>
      </c>
      <c r="Q354" s="25">
        <v>70</v>
      </c>
      <c r="R354" t="s">
        <v>17</v>
      </c>
    </row>
    <row r="355" spans="1:19" hidden="1">
      <c r="A355" s="23" t="s">
        <v>732</v>
      </c>
      <c r="B355" s="23" t="s">
        <v>733</v>
      </c>
      <c r="C355" s="23">
        <v>2318</v>
      </c>
      <c r="D355" t="s">
        <v>17</v>
      </c>
      <c r="H355" t="s">
        <v>8461</v>
      </c>
      <c r="I355" s="3" t="str">
        <f>+IFERROR(VLOOKUP(C355,'Mov 2023 hasta ahora '!$C$2:$D$314,2,FALSE),"NO")</f>
        <v>NO</v>
      </c>
      <c r="J355" t="s">
        <v>21</v>
      </c>
      <c r="K355">
        <v>5</v>
      </c>
      <c r="L355" t="s">
        <v>19</v>
      </c>
      <c r="M355">
        <v>18</v>
      </c>
      <c r="O355" s="26" t="s">
        <v>8593</v>
      </c>
      <c r="P355" s="25" t="s">
        <v>707</v>
      </c>
      <c r="Q355" s="25">
        <v>70</v>
      </c>
      <c r="R355" t="s">
        <v>17</v>
      </c>
    </row>
    <row r="356" spans="1:19" hidden="1">
      <c r="A356" s="23" t="s">
        <v>734</v>
      </c>
      <c r="B356" s="23" t="s">
        <v>735</v>
      </c>
      <c r="C356" s="23">
        <v>2448</v>
      </c>
      <c r="D356" t="s">
        <v>17</v>
      </c>
      <c r="E356">
        <v>1</v>
      </c>
      <c r="I356" s="3" t="str">
        <f>+IFERROR(VLOOKUP(C356,'Mov 2023 hasta ahora '!$C$2:$D$314,2,FALSE),"NO")</f>
        <v>NO</v>
      </c>
      <c r="K356">
        <v>5</v>
      </c>
      <c r="L356" t="s">
        <v>19</v>
      </c>
      <c r="M356">
        <v>18</v>
      </c>
      <c r="O356" s="25" t="s">
        <v>8602</v>
      </c>
      <c r="P356" s="25" t="s">
        <v>735</v>
      </c>
      <c r="Q356" s="25">
        <v>2448</v>
      </c>
      <c r="R356" t="s">
        <v>17</v>
      </c>
      <c r="S356">
        <f>+E356</f>
        <v>1</v>
      </c>
    </row>
    <row r="357" spans="1:19" hidden="1">
      <c r="A357" s="23" t="s">
        <v>736</v>
      </c>
      <c r="B357" s="23" t="s">
        <v>737</v>
      </c>
      <c r="C357" s="23">
        <v>3827</v>
      </c>
      <c r="D357" t="s">
        <v>17</v>
      </c>
      <c r="H357">
        <v>4244.08</v>
      </c>
      <c r="I357" s="3" t="str">
        <f>+IFERROR(VLOOKUP(C357,'Mov 2023 hasta ahora '!$C$2:$D$314,2,FALSE),"NO")</f>
        <v>NO</v>
      </c>
      <c r="K357">
        <v>5</v>
      </c>
      <c r="L357" t="s">
        <v>19</v>
      </c>
      <c r="M357">
        <v>18</v>
      </c>
      <c r="O357" s="25" t="s">
        <v>8603</v>
      </c>
      <c r="P357" s="25" t="s">
        <v>737</v>
      </c>
      <c r="Q357" s="25">
        <v>3827</v>
      </c>
      <c r="R357" t="s">
        <v>17</v>
      </c>
    </row>
    <row r="358" spans="1:19" hidden="1">
      <c r="A358" s="23" t="s">
        <v>738</v>
      </c>
      <c r="B358" s="23" t="s">
        <v>739</v>
      </c>
      <c r="C358" s="23">
        <v>3839</v>
      </c>
      <c r="D358" t="s">
        <v>17</v>
      </c>
      <c r="I358" s="3">
        <f>+IFERROR(VLOOKUP(C358,'Mov 2023 hasta ahora '!$C$2:$D$314,2,FALSE),"NO")</f>
        <v>2</v>
      </c>
      <c r="K358">
        <v>5</v>
      </c>
      <c r="L358" t="s">
        <v>19</v>
      </c>
      <c r="M358">
        <v>18</v>
      </c>
      <c r="O358" s="25" t="s">
        <v>8604</v>
      </c>
      <c r="P358" s="25" t="s">
        <v>8663</v>
      </c>
      <c r="Q358" s="25">
        <v>3839</v>
      </c>
      <c r="R358" t="s">
        <v>17</v>
      </c>
    </row>
    <row r="359" spans="1:19" hidden="1">
      <c r="A359" s="23" t="s">
        <v>740</v>
      </c>
      <c r="B359" s="23" t="s">
        <v>741</v>
      </c>
      <c r="C359" s="23">
        <v>3869</v>
      </c>
      <c r="D359" t="s">
        <v>17</v>
      </c>
      <c r="E359">
        <v>6</v>
      </c>
      <c r="I359" s="3">
        <f>+IFERROR(VLOOKUP(C359,'Mov 2023 hasta ahora '!$C$2:$D$314,2,FALSE),"NO")</f>
        <v>107</v>
      </c>
      <c r="K359">
        <v>5</v>
      </c>
      <c r="L359" t="s">
        <v>19</v>
      </c>
      <c r="M359">
        <v>18</v>
      </c>
      <c r="O359" s="25" t="s">
        <v>8605</v>
      </c>
      <c r="P359" s="25" t="s">
        <v>741</v>
      </c>
      <c r="Q359" s="25">
        <v>3869</v>
      </c>
      <c r="R359" t="s">
        <v>17</v>
      </c>
      <c r="S359">
        <f>+E359</f>
        <v>6</v>
      </c>
    </row>
    <row r="360" spans="1:19" hidden="1">
      <c r="A360" t="s">
        <v>742</v>
      </c>
      <c r="B360" t="s">
        <v>743</v>
      </c>
      <c r="D360" t="s">
        <v>17</v>
      </c>
      <c r="I360" s="3" t="str">
        <f>+IFERROR(VLOOKUP(C360,'Mov 2023 hasta ahora '!$C$2:$D$314,2,FALSE),"NO")</f>
        <v>NO</v>
      </c>
      <c r="J360" t="s">
        <v>18</v>
      </c>
      <c r="K360">
        <v>3</v>
      </c>
      <c r="L360" t="s">
        <v>19</v>
      </c>
      <c r="M360">
        <v>10</v>
      </c>
    </row>
    <row r="361" spans="1:19" hidden="1">
      <c r="A361" t="s">
        <v>744</v>
      </c>
      <c r="B361" t="s">
        <v>745</v>
      </c>
      <c r="D361" t="s">
        <v>17</v>
      </c>
      <c r="I361" s="3" t="str">
        <f>+IFERROR(VLOOKUP(C361,'Mov 2023 hasta ahora '!$C$2:$D$314,2,FALSE),"NO")</f>
        <v>NO</v>
      </c>
      <c r="K361">
        <v>4</v>
      </c>
      <c r="L361" t="s">
        <v>19</v>
      </c>
      <c r="M361">
        <v>14</v>
      </c>
    </row>
    <row r="362" spans="1:19" hidden="1">
      <c r="A362" s="23" t="s">
        <v>746</v>
      </c>
      <c r="B362" s="23" t="s">
        <v>747</v>
      </c>
      <c r="C362" s="23">
        <v>124</v>
      </c>
      <c r="D362" t="s">
        <v>17</v>
      </c>
      <c r="E362">
        <v>3</v>
      </c>
      <c r="I362" s="3">
        <f>+IFERROR(VLOOKUP(C362,'Mov 2023 hasta ahora '!$C$2:$D$314,2,FALSE),"NO")</f>
        <v>78</v>
      </c>
      <c r="K362">
        <v>5</v>
      </c>
      <c r="L362" t="s">
        <v>19</v>
      </c>
      <c r="M362">
        <v>18</v>
      </c>
      <c r="O362" s="25" t="s">
        <v>8610</v>
      </c>
      <c r="P362" s="25" t="s">
        <v>747</v>
      </c>
      <c r="Q362" s="25">
        <v>124</v>
      </c>
      <c r="R362" t="s">
        <v>17</v>
      </c>
      <c r="S362">
        <f>+E362</f>
        <v>3</v>
      </c>
    </row>
    <row r="363" spans="1:19" hidden="1">
      <c r="A363" s="23" t="s">
        <v>748</v>
      </c>
      <c r="B363" s="23" t="s">
        <v>749</v>
      </c>
      <c r="C363" s="23">
        <v>3464</v>
      </c>
      <c r="H363" t="s">
        <v>8461</v>
      </c>
      <c r="I363" s="3" t="str">
        <f>+IFERROR(VLOOKUP(C363,'Mov 2023 hasta ahora '!$C$2:$D$314,2,FALSE),"NO")</f>
        <v>NO</v>
      </c>
      <c r="J363" t="s">
        <v>21</v>
      </c>
      <c r="K363">
        <v>5</v>
      </c>
      <c r="L363" t="s">
        <v>19</v>
      </c>
      <c r="M363">
        <v>18</v>
      </c>
      <c r="O363" s="26" t="s">
        <v>8791</v>
      </c>
      <c r="P363" s="25" t="s">
        <v>8792</v>
      </c>
      <c r="Q363" s="25">
        <v>3464</v>
      </c>
    </row>
    <row r="364" spans="1:19" hidden="1">
      <c r="A364" s="23" t="s">
        <v>750</v>
      </c>
      <c r="B364" s="23" t="s">
        <v>751</v>
      </c>
      <c r="C364" s="23">
        <v>3465</v>
      </c>
      <c r="H364" t="s">
        <v>8461</v>
      </c>
      <c r="I364" s="3" t="str">
        <f>+IFERROR(VLOOKUP(C364,'Mov 2023 hasta ahora '!$C$2:$D$314,2,FALSE),"NO")</f>
        <v>NO</v>
      </c>
      <c r="J364" t="s">
        <v>21</v>
      </c>
      <c r="K364">
        <v>5</v>
      </c>
      <c r="L364" t="s">
        <v>19</v>
      </c>
      <c r="M364">
        <v>18</v>
      </c>
      <c r="O364" s="26" t="s">
        <v>8791</v>
      </c>
      <c r="P364" s="25" t="s">
        <v>8792</v>
      </c>
      <c r="Q364" s="25">
        <v>3464</v>
      </c>
      <c r="R364" t="s">
        <v>17</v>
      </c>
    </row>
    <row r="365" spans="1:19" hidden="1">
      <c r="A365" s="23" t="s">
        <v>752</v>
      </c>
      <c r="B365" s="23" t="s">
        <v>753</v>
      </c>
      <c r="C365" s="23">
        <v>3470</v>
      </c>
      <c r="H365" t="s">
        <v>8461</v>
      </c>
      <c r="I365" s="3" t="str">
        <f>+IFERROR(VLOOKUP(C365,'Mov 2023 hasta ahora '!$C$2:$D$314,2,FALSE),"NO")</f>
        <v>NO</v>
      </c>
      <c r="J365" t="s">
        <v>21</v>
      </c>
      <c r="K365">
        <v>5</v>
      </c>
      <c r="L365" t="s">
        <v>19</v>
      </c>
      <c r="M365">
        <v>18</v>
      </c>
      <c r="O365" s="26" t="s">
        <v>8791</v>
      </c>
      <c r="P365" s="25" t="s">
        <v>8792</v>
      </c>
      <c r="Q365" s="25">
        <v>3464</v>
      </c>
      <c r="R365" t="s">
        <v>17</v>
      </c>
    </row>
    <row r="366" spans="1:19" hidden="1">
      <c r="A366" t="s">
        <v>754</v>
      </c>
      <c r="B366" t="s">
        <v>755</v>
      </c>
      <c r="D366" t="s">
        <v>17</v>
      </c>
      <c r="I366" s="3" t="str">
        <f>+IFERROR(VLOOKUP(C366,'Mov 2023 hasta ahora '!$C$2:$D$314,2,FALSE),"NO")</f>
        <v>NO</v>
      </c>
      <c r="K366">
        <v>4</v>
      </c>
      <c r="L366" t="s">
        <v>19</v>
      </c>
      <c r="M366">
        <v>14</v>
      </c>
    </row>
    <row r="367" spans="1:19" hidden="1">
      <c r="A367" t="s">
        <v>756</v>
      </c>
      <c r="B367" t="s">
        <v>757</v>
      </c>
      <c r="D367" t="s">
        <v>17</v>
      </c>
      <c r="I367" s="3" t="str">
        <f>+IFERROR(VLOOKUP(C367,'Mov 2023 hasta ahora '!$C$2:$D$314,2,FALSE),"NO")</f>
        <v>NO</v>
      </c>
      <c r="J367" t="s">
        <v>18</v>
      </c>
      <c r="K367">
        <v>3</v>
      </c>
      <c r="L367" t="s">
        <v>19</v>
      </c>
      <c r="M367">
        <v>10</v>
      </c>
    </row>
    <row r="368" spans="1:19" hidden="1">
      <c r="A368" t="s">
        <v>758</v>
      </c>
      <c r="B368" t="s">
        <v>759</v>
      </c>
      <c r="D368" t="s">
        <v>17</v>
      </c>
      <c r="I368" s="3" t="str">
        <f>+IFERROR(VLOOKUP(C368,'Mov 2023 hasta ahora '!$C$2:$D$314,2,FALSE),"NO")</f>
        <v>NO</v>
      </c>
      <c r="J368" t="s">
        <v>18</v>
      </c>
      <c r="K368">
        <v>4</v>
      </c>
      <c r="L368" t="s">
        <v>19</v>
      </c>
      <c r="M368">
        <v>14</v>
      </c>
    </row>
    <row r="369" spans="1:20" hidden="1">
      <c r="A369" s="23" t="s">
        <v>760</v>
      </c>
      <c r="B369" s="23" t="s">
        <v>761</v>
      </c>
      <c r="C369" s="23">
        <v>126</v>
      </c>
      <c r="D369" t="s">
        <v>17</v>
      </c>
      <c r="E369">
        <v>4</v>
      </c>
      <c r="H369" t="s">
        <v>8461</v>
      </c>
      <c r="I369" s="3" t="str">
        <f>+IFERROR(VLOOKUP(C369,'Mov 2023 hasta ahora '!$C$2:$D$314,2,FALSE),"NO")</f>
        <v>NO</v>
      </c>
      <c r="J369" t="s">
        <v>21</v>
      </c>
      <c r="K369">
        <v>5</v>
      </c>
      <c r="L369" t="s">
        <v>19</v>
      </c>
      <c r="M369">
        <v>18</v>
      </c>
      <c r="O369" s="26" t="s">
        <v>8545</v>
      </c>
      <c r="P369" s="25" t="s">
        <v>349</v>
      </c>
      <c r="Q369" s="25">
        <v>1362</v>
      </c>
      <c r="R369" t="s">
        <v>17</v>
      </c>
    </row>
    <row r="370" spans="1:20" hidden="1">
      <c r="A370" t="s">
        <v>762</v>
      </c>
      <c r="B370" t="s">
        <v>763</v>
      </c>
      <c r="D370" t="s">
        <v>17</v>
      </c>
      <c r="I370" s="3" t="str">
        <f>+IFERROR(VLOOKUP(C370,'Mov 2023 hasta ahora '!$C$2:$D$314,2,FALSE),"NO")</f>
        <v>NO</v>
      </c>
      <c r="J370" t="s">
        <v>18</v>
      </c>
      <c r="K370">
        <v>4</v>
      </c>
      <c r="L370" t="s">
        <v>19</v>
      </c>
      <c r="M370">
        <v>14</v>
      </c>
    </row>
    <row r="371" spans="1:20" hidden="1">
      <c r="A371" s="23" t="s">
        <v>764</v>
      </c>
      <c r="B371" s="23" t="s">
        <v>765</v>
      </c>
      <c r="C371" s="23">
        <v>128</v>
      </c>
      <c r="D371" t="s">
        <v>17</v>
      </c>
      <c r="H371" t="s">
        <v>8461</v>
      </c>
      <c r="I371" s="3" t="str">
        <f>+IFERROR(VLOOKUP(C371,'Mov 2023 hasta ahora '!$C$2:$D$314,2,FALSE),"NO")</f>
        <v>NO</v>
      </c>
      <c r="J371" t="s">
        <v>21</v>
      </c>
      <c r="K371">
        <v>5</v>
      </c>
      <c r="L371" t="s">
        <v>19</v>
      </c>
      <c r="M371">
        <v>18</v>
      </c>
      <c r="O371" s="26" t="s">
        <v>8593</v>
      </c>
      <c r="P371" s="25" t="s">
        <v>707</v>
      </c>
      <c r="Q371" s="25">
        <v>70</v>
      </c>
      <c r="R371" t="s">
        <v>17</v>
      </c>
    </row>
    <row r="372" spans="1:20" hidden="1">
      <c r="A372" s="23" t="s">
        <v>766</v>
      </c>
      <c r="B372" s="23" t="s">
        <v>767</v>
      </c>
      <c r="C372" s="23">
        <v>1388</v>
      </c>
      <c r="D372" t="s">
        <v>17</v>
      </c>
      <c r="H372" t="s">
        <v>8461</v>
      </c>
      <c r="I372" s="3" t="str">
        <f>+IFERROR(VLOOKUP(C372,'Mov 2023 hasta ahora '!$C$2:$D$314,2,FALSE),"NO")</f>
        <v>NO</v>
      </c>
      <c r="J372" t="s">
        <v>21</v>
      </c>
      <c r="K372">
        <v>5</v>
      </c>
      <c r="L372" t="s">
        <v>19</v>
      </c>
      <c r="M372">
        <v>18</v>
      </c>
      <c r="O372" s="26" t="s">
        <v>8593</v>
      </c>
      <c r="P372" s="25" t="s">
        <v>707</v>
      </c>
      <c r="Q372" s="25">
        <v>70</v>
      </c>
      <c r="R372" t="s">
        <v>17</v>
      </c>
    </row>
    <row r="373" spans="1:20" hidden="1">
      <c r="A373" s="23" t="s">
        <v>768</v>
      </c>
      <c r="B373" s="23" t="s">
        <v>769</v>
      </c>
      <c r="C373" s="23">
        <v>1577</v>
      </c>
      <c r="E373">
        <v>1</v>
      </c>
      <c r="H373" t="s">
        <v>8461</v>
      </c>
      <c r="I373" s="3" t="str">
        <f>+IFERROR(VLOOKUP(C373,'Mov 2023 hasta ahora '!$C$2:$D$314,2,FALSE),"NO")</f>
        <v>NO</v>
      </c>
      <c r="J373" t="s">
        <v>21</v>
      </c>
      <c r="K373">
        <v>5</v>
      </c>
      <c r="L373" t="s">
        <v>19</v>
      </c>
      <c r="M373">
        <v>18</v>
      </c>
      <c r="O373" s="26" t="s">
        <v>8559</v>
      </c>
      <c r="P373" s="25" t="s">
        <v>602</v>
      </c>
      <c r="Q373" s="25">
        <v>1344</v>
      </c>
      <c r="R373" t="s">
        <v>17</v>
      </c>
    </row>
    <row r="374" spans="1:20" hidden="1">
      <c r="A374" s="23" t="s">
        <v>770</v>
      </c>
      <c r="B374" s="23" t="s">
        <v>771</v>
      </c>
      <c r="C374" s="23">
        <v>131</v>
      </c>
      <c r="D374" t="s">
        <v>17</v>
      </c>
      <c r="E374">
        <v>4</v>
      </c>
      <c r="F374">
        <v>2</v>
      </c>
      <c r="I374" s="3">
        <f>+IFERROR(VLOOKUP(C374,'Mov 2023 hasta ahora '!$C$2:$D$314,2,FALSE),"NO")</f>
        <v>76</v>
      </c>
      <c r="J374" t="s">
        <v>772</v>
      </c>
      <c r="K374">
        <v>5</v>
      </c>
      <c r="L374" t="s">
        <v>19</v>
      </c>
      <c r="M374">
        <v>18</v>
      </c>
      <c r="O374" s="25" t="s">
        <v>8612</v>
      </c>
      <c r="P374" s="25" t="s">
        <v>771</v>
      </c>
      <c r="Q374" s="25">
        <v>131</v>
      </c>
      <c r="R374" t="s">
        <v>17</v>
      </c>
      <c r="S374">
        <f>+E374</f>
        <v>4</v>
      </c>
      <c r="T374">
        <f>+F374</f>
        <v>2</v>
      </c>
    </row>
    <row r="375" spans="1:20" hidden="1">
      <c r="A375" s="23" t="s">
        <v>773</v>
      </c>
      <c r="B375" s="23" t="s">
        <v>774</v>
      </c>
      <c r="C375" s="23">
        <v>1904</v>
      </c>
      <c r="E375">
        <v>1</v>
      </c>
      <c r="I375" s="3">
        <f>+IFERROR(VLOOKUP(C375,'Mov 2023 hasta ahora '!$C$2:$D$314,2,FALSE),"NO")</f>
        <v>312</v>
      </c>
      <c r="K375">
        <v>5</v>
      </c>
      <c r="L375" t="s">
        <v>19</v>
      </c>
      <c r="M375">
        <v>18</v>
      </c>
      <c r="O375" s="25" t="s">
        <v>8567</v>
      </c>
      <c r="P375" s="25" t="s">
        <v>774</v>
      </c>
      <c r="Q375" s="25">
        <v>1904</v>
      </c>
      <c r="R375" t="s">
        <v>17</v>
      </c>
      <c r="S375">
        <f>+E375</f>
        <v>1</v>
      </c>
    </row>
    <row r="376" spans="1:20" hidden="1">
      <c r="A376" s="23" t="s">
        <v>775</v>
      </c>
      <c r="B376" s="23" t="s">
        <v>776</v>
      </c>
      <c r="C376" s="23">
        <v>1982</v>
      </c>
      <c r="E376">
        <v>1</v>
      </c>
      <c r="H376" t="s">
        <v>8461</v>
      </c>
      <c r="I376" s="3" t="str">
        <f>+IFERROR(VLOOKUP(C376,'Mov 2023 hasta ahora '!$C$2:$D$314,2,FALSE),"NO")</f>
        <v>NO</v>
      </c>
      <c r="J376" t="s">
        <v>21</v>
      </c>
      <c r="K376">
        <v>5</v>
      </c>
      <c r="L376" t="s">
        <v>19</v>
      </c>
      <c r="M376">
        <v>18</v>
      </c>
      <c r="O376" s="26" t="s">
        <v>8559</v>
      </c>
      <c r="P376" s="25" t="s">
        <v>602</v>
      </c>
      <c r="Q376" s="25">
        <v>1344</v>
      </c>
      <c r="R376" t="s">
        <v>17</v>
      </c>
    </row>
    <row r="377" spans="1:20" hidden="1">
      <c r="A377" s="23" t="s">
        <v>777</v>
      </c>
      <c r="B377" s="23" t="s">
        <v>778</v>
      </c>
      <c r="C377" s="23">
        <v>2096</v>
      </c>
      <c r="D377" t="s">
        <v>17</v>
      </c>
      <c r="E377">
        <v>2</v>
      </c>
      <c r="F377">
        <v>2</v>
      </c>
      <c r="I377" s="3" t="str">
        <f>+IFERROR(VLOOKUP(C377,'Mov 2023 hasta ahora '!$C$2:$D$314,2,FALSE),"NO")</f>
        <v>NO</v>
      </c>
      <c r="K377">
        <v>5</v>
      </c>
      <c r="L377" t="s">
        <v>19</v>
      </c>
      <c r="M377">
        <v>18</v>
      </c>
      <c r="O377" s="25" t="s">
        <v>8611</v>
      </c>
      <c r="P377" s="25" t="s">
        <v>778</v>
      </c>
      <c r="Q377" s="25">
        <v>2096</v>
      </c>
      <c r="R377" t="s">
        <v>17</v>
      </c>
      <c r="S377">
        <f>+E377</f>
        <v>2</v>
      </c>
      <c r="T377">
        <f>+F377</f>
        <v>2</v>
      </c>
    </row>
    <row r="378" spans="1:20" hidden="1">
      <c r="A378" s="23" t="s">
        <v>779</v>
      </c>
      <c r="B378" s="23" t="s">
        <v>780</v>
      </c>
      <c r="C378" s="23">
        <v>2264</v>
      </c>
      <c r="D378" t="s">
        <v>17</v>
      </c>
      <c r="E378">
        <v>2</v>
      </c>
      <c r="F378">
        <v>1</v>
      </c>
      <c r="I378" s="3">
        <f>+IFERROR(VLOOKUP(C378,'Mov 2023 hasta ahora '!$C$2:$D$314,2,FALSE),"NO")</f>
        <v>177</v>
      </c>
      <c r="K378">
        <v>5</v>
      </c>
      <c r="L378" t="s">
        <v>19</v>
      </c>
      <c r="M378">
        <v>18</v>
      </c>
      <c r="O378" s="25" t="s">
        <v>8615</v>
      </c>
      <c r="P378" s="25" t="s">
        <v>780</v>
      </c>
      <c r="Q378" s="25">
        <v>2264</v>
      </c>
      <c r="R378" t="s">
        <v>17</v>
      </c>
      <c r="S378">
        <f>+E378</f>
        <v>2</v>
      </c>
    </row>
    <row r="379" spans="1:20" hidden="1">
      <c r="A379" s="23" t="s">
        <v>781</v>
      </c>
      <c r="B379" s="23" t="s">
        <v>782</v>
      </c>
      <c r="C379" s="23">
        <v>2323</v>
      </c>
      <c r="D379" t="s">
        <v>17</v>
      </c>
      <c r="E379">
        <v>2</v>
      </c>
      <c r="H379" t="s">
        <v>8461</v>
      </c>
      <c r="I379" s="3" t="str">
        <f>+IFERROR(VLOOKUP(C379,'Mov 2023 hasta ahora '!$C$2:$D$314,2,FALSE),"NO")</f>
        <v>NO</v>
      </c>
      <c r="J379" t="s">
        <v>21</v>
      </c>
      <c r="K379">
        <v>5</v>
      </c>
      <c r="L379" t="s">
        <v>19</v>
      </c>
      <c r="M379">
        <v>18</v>
      </c>
      <c r="O379" s="26" t="s">
        <v>8564</v>
      </c>
      <c r="P379" s="25" t="s">
        <v>615</v>
      </c>
      <c r="Q379" s="25">
        <v>1983</v>
      </c>
      <c r="R379" t="s">
        <v>17</v>
      </c>
      <c r="S379">
        <v>2</v>
      </c>
    </row>
    <row r="380" spans="1:20" hidden="1">
      <c r="A380" s="23" t="s">
        <v>783</v>
      </c>
      <c r="B380" s="23" t="s">
        <v>784</v>
      </c>
      <c r="C380" s="23">
        <v>2328</v>
      </c>
      <c r="D380" t="s">
        <v>17</v>
      </c>
      <c r="H380" t="s">
        <v>8461</v>
      </c>
      <c r="I380" s="3" t="str">
        <f>+IFERROR(VLOOKUP(C380,'Mov 2023 hasta ahora '!$C$2:$D$314,2,FALSE),"NO")</f>
        <v>NO</v>
      </c>
      <c r="J380" t="s">
        <v>21</v>
      </c>
      <c r="K380">
        <v>5</v>
      </c>
      <c r="L380" t="s">
        <v>19</v>
      </c>
      <c r="M380">
        <v>18</v>
      </c>
      <c r="O380" s="26" t="s">
        <v>8593</v>
      </c>
      <c r="P380" s="25" t="s">
        <v>707</v>
      </c>
      <c r="Q380" s="25">
        <v>70</v>
      </c>
      <c r="R380" t="s">
        <v>17</v>
      </c>
    </row>
    <row r="381" spans="1:20" hidden="1">
      <c r="A381" s="23" t="s">
        <v>785</v>
      </c>
      <c r="B381" s="23" t="s">
        <v>786</v>
      </c>
      <c r="C381" s="23">
        <v>3471</v>
      </c>
      <c r="E381">
        <v>1</v>
      </c>
      <c r="H381" t="s">
        <v>8461</v>
      </c>
      <c r="I381" s="3" t="str">
        <f>+IFERROR(VLOOKUP(C381,'Mov 2023 hasta ahora '!$C$2:$D$314,2,FALSE),"NO")</f>
        <v>NO</v>
      </c>
      <c r="J381" t="s">
        <v>21</v>
      </c>
      <c r="K381">
        <v>5</v>
      </c>
      <c r="L381" t="s">
        <v>19</v>
      </c>
      <c r="M381">
        <v>18</v>
      </c>
      <c r="O381" s="26" t="s">
        <v>8559</v>
      </c>
      <c r="P381" s="25" t="s">
        <v>602</v>
      </c>
      <c r="Q381" s="25">
        <v>1344</v>
      </c>
      <c r="R381" t="s">
        <v>17</v>
      </c>
    </row>
    <row r="382" spans="1:20" hidden="1">
      <c r="A382" t="s">
        <v>787</v>
      </c>
      <c r="B382" t="s">
        <v>788</v>
      </c>
      <c r="D382" t="s">
        <v>17</v>
      </c>
      <c r="I382" s="3" t="str">
        <f>+IFERROR(VLOOKUP(C382,'Mov 2023 hasta ahora '!$C$2:$D$314,2,FALSE),"NO")</f>
        <v>NO</v>
      </c>
      <c r="J382" t="s">
        <v>18</v>
      </c>
      <c r="K382">
        <v>3</v>
      </c>
      <c r="L382" t="s">
        <v>19</v>
      </c>
      <c r="M382">
        <v>10</v>
      </c>
    </row>
    <row r="383" spans="1:20" hidden="1">
      <c r="A383" t="s">
        <v>789</v>
      </c>
      <c r="B383" t="s">
        <v>790</v>
      </c>
      <c r="D383" t="s">
        <v>17</v>
      </c>
      <c r="I383" s="3" t="str">
        <f>+IFERROR(VLOOKUP(C383,'Mov 2023 hasta ahora '!$C$2:$D$314,2,FALSE),"NO")</f>
        <v>NO</v>
      </c>
      <c r="K383">
        <v>4</v>
      </c>
      <c r="L383" t="s">
        <v>19</v>
      </c>
      <c r="M383">
        <v>14</v>
      </c>
    </row>
    <row r="384" spans="1:20" hidden="1">
      <c r="A384" s="23" t="s">
        <v>791</v>
      </c>
      <c r="B384" s="23" t="s">
        <v>792</v>
      </c>
      <c r="C384" s="23">
        <v>1578</v>
      </c>
      <c r="D384" t="s">
        <v>17</v>
      </c>
      <c r="I384" s="3" t="str">
        <f>+IFERROR(VLOOKUP(C384,'Mov 2023 hasta ahora '!$C$2:$D$314,2,FALSE),"NO")</f>
        <v>NO</v>
      </c>
      <c r="K384">
        <v>5</v>
      </c>
      <c r="L384" t="s">
        <v>19</v>
      </c>
      <c r="M384">
        <v>18</v>
      </c>
      <c r="O384" s="25" t="s">
        <v>8618</v>
      </c>
      <c r="P384" s="25" t="s">
        <v>8660</v>
      </c>
      <c r="Q384" s="25">
        <v>1578</v>
      </c>
      <c r="R384" t="s">
        <v>17</v>
      </c>
    </row>
    <row r="385" spans="1:19" hidden="1">
      <c r="A385" s="23" t="s">
        <v>793</v>
      </c>
      <c r="B385" s="23" t="s">
        <v>794</v>
      </c>
      <c r="C385" s="23">
        <v>132</v>
      </c>
      <c r="D385" t="s">
        <v>17</v>
      </c>
      <c r="I385" s="3" t="str">
        <f>+IFERROR(VLOOKUP(C385,'Mov 2023 hasta ahora '!$C$2:$D$314,2,FALSE),"NO")</f>
        <v>NO</v>
      </c>
      <c r="K385">
        <v>5</v>
      </c>
      <c r="L385" t="s">
        <v>19</v>
      </c>
      <c r="M385">
        <v>18</v>
      </c>
      <c r="O385" s="25" t="s">
        <v>8620</v>
      </c>
      <c r="P385" s="25" t="s">
        <v>8659</v>
      </c>
      <c r="Q385" s="25">
        <v>132</v>
      </c>
      <c r="R385" t="s">
        <v>17</v>
      </c>
    </row>
    <row r="386" spans="1:19" hidden="1">
      <c r="A386" s="23" t="s">
        <v>795</v>
      </c>
      <c r="B386" s="23" t="s">
        <v>796</v>
      </c>
      <c r="C386" s="23">
        <v>2325</v>
      </c>
      <c r="D386" t="s">
        <v>17</v>
      </c>
      <c r="I386" s="3">
        <f>+IFERROR(VLOOKUP(C386,'Mov 2023 hasta ahora '!$C$2:$D$314,2,FALSE),"NO")</f>
        <v>48</v>
      </c>
      <c r="J386" t="s">
        <v>797</v>
      </c>
      <c r="K386">
        <v>5</v>
      </c>
      <c r="L386" t="s">
        <v>19</v>
      </c>
      <c r="M386">
        <v>18</v>
      </c>
      <c r="O386" s="25" t="s">
        <v>8616</v>
      </c>
      <c r="P386" s="25" t="s">
        <v>8662</v>
      </c>
      <c r="Q386" s="25">
        <v>2325</v>
      </c>
      <c r="R386" t="s">
        <v>17</v>
      </c>
    </row>
    <row r="387" spans="1:19" hidden="1">
      <c r="A387" t="s">
        <v>798</v>
      </c>
      <c r="B387" t="s">
        <v>799</v>
      </c>
      <c r="D387" t="s">
        <v>17</v>
      </c>
      <c r="I387" s="3" t="str">
        <f>+IFERROR(VLOOKUP(C387,'Mov 2023 hasta ahora '!$C$2:$D$314,2,FALSE),"NO")</f>
        <v>NO</v>
      </c>
      <c r="K387">
        <v>4</v>
      </c>
      <c r="L387" t="s">
        <v>19</v>
      </c>
      <c r="M387">
        <v>14</v>
      </c>
    </row>
    <row r="388" spans="1:19" hidden="1">
      <c r="A388" s="23" t="s">
        <v>800</v>
      </c>
      <c r="B388" s="23" t="s">
        <v>801</v>
      </c>
      <c r="C388" s="23">
        <v>133</v>
      </c>
      <c r="D388" t="s">
        <v>17</v>
      </c>
      <c r="I388" s="3" t="str">
        <f>+IFERROR(VLOOKUP(C388,'Mov 2023 hasta ahora '!$C$2:$D$314,2,FALSE),"NO")</f>
        <v>NO</v>
      </c>
      <c r="K388">
        <v>5</v>
      </c>
      <c r="L388" t="s">
        <v>19</v>
      </c>
      <c r="M388">
        <v>18</v>
      </c>
      <c r="O388" s="25" t="s">
        <v>8619</v>
      </c>
      <c r="P388" s="25" t="s">
        <v>801</v>
      </c>
      <c r="Q388" s="25">
        <v>133</v>
      </c>
      <c r="R388" t="s">
        <v>17</v>
      </c>
    </row>
    <row r="389" spans="1:19" hidden="1">
      <c r="A389">
        <v>3</v>
      </c>
      <c r="B389" t="s">
        <v>802</v>
      </c>
      <c r="D389" t="s">
        <v>17</v>
      </c>
      <c r="I389" s="3" t="str">
        <f>+IFERROR(VLOOKUP(C389,'Mov 2023 hasta ahora '!$C$2:$D$314,2,FALSE),"NO")</f>
        <v>NO</v>
      </c>
      <c r="J389" t="s">
        <v>18</v>
      </c>
      <c r="K389">
        <v>1</v>
      </c>
      <c r="L389" t="s">
        <v>19</v>
      </c>
      <c r="M389">
        <v>1</v>
      </c>
    </row>
    <row r="390" spans="1:19" hidden="1">
      <c r="A390">
        <v>3.01</v>
      </c>
      <c r="B390" t="s">
        <v>20</v>
      </c>
      <c r="D390" t="s">
        <v>17</v>
      </c>
      <c r="I390" s="3" t="str">
        <f>+IFERROR(VLOOKUP(C390,'Mov 2023 hasta ahora '!$C$2:$D$314,2,FALSE),"NO")</f>
        <v>NO</v>
      </c>
      <c r="J390" t="s">
        <v>21</v>
      </c>
      <c r="K390">
        <v>2</v>
      </c>
      <c r="L390" t="s">
        <v>19</v>
      </c>
      <c r="M390">
        <v>4</v>
      </c>
    </row>
    <row r="391" spans="1:19" hidden="1">
      <c r="A391" t="s">
        <v>803</v>
      </c>
      <c r="B391" t="s">
        <v>804</v>
      </c>
      <c r="D391" t="s">
        <v>17</v>
      </c>
      <c r="I391" s="3" t="str">
        <f>+IFERROR(VLOOKUP(C391,'Mov 2023 hasta ahora '!$C$2:$D$314,2,FALSE),"NO")</f>
        <v>NO</v>
      </c>
      <c r="J391" t="s">
        <v>18</v>
      </c>
      <c r="K391">
        <v>3</v>
      </c>
      <c r="L391" t="s">
        <v>19</v>
      </c>
      <c r="M391">
        <v>10</v>
      </c>
    </row>
    <row r="392" spans="1:19" hidden="1">
      <c r="A392" t="s">
        <v>805</v>
      </c>
      <c r="B392" t="s">
        <v>806</v>
      </c>
      <c r="D392" t="s">
        <v>17</v>
      </c>
      <c r="I392" s="3" t="str">
        <f>+IFERROR(VLOOKUP(C392,'Mov 2023 hasta ahora '!$C$2:$D$314,2,FALSE),"NO")</f>
        <v>NO</v>
      </c>
      <c r="K392">
        <v>4</v>
      </c>
      <c r="L392" t="s">
        <v>19</v>
      </c>
      <c r="M392">
        <v>14</v>
      </c>
    </row>
    <row r="393" spans="1:19" hidden="1">
      <c r="A393" s="23" t="s">
        <v>807</v>
      </c>
      <c r="B393" s="23" t="s">
        <v>808</v>
      </c>
      <c r="C393" s="23">
        <v>134</v>
      </c>
      <c r="D393" t="s">
        <v>17</v>
      </c>
      <c r="I393" s="3">
        <f>+IFERROR(VLOOKUP(C393,'Mov 2023 hasta ahora '!$C$2:$D$314,2,FALSE),"NO")</f>
        <v>2</v>
      </c>
      <c r="K393">
        <v>5</v>
      </c>
      <c r="L393" t="s">
        <v>19</v>
      </c>
      <c r="M393">
        <v>18</v>
      </c>
      <c r="O393" s="25" t="s">
        <v>8623</v>
      </c>
      <c r="P393" s="25" t="s">
        <v>808</v>
      </c>
      <c r="Q393" s="25">
        <v>134</v>
      </c>
      <c r="R393" t="s">
        <v>17</v>
      </c>
    </row>
    <row r="394" spans="1:19" hidden="1">
      <c r="A394" s="23" t="s">
        <v>809</v>
      </c>
      <c r="B394" s="23" t="s">
        <v>810</v>
      </c>
      <c r="C394" s="23">
        <v>135</v>
      </c>
      <c r="D394" t="s">
        <v>17</v>
      </c>
      <c r="I394" s="3" t="str">
        <f>+IFERROR(VLOOKUP(C394,'Mov 2023 hasta ahora '!$C$2:$D$314,2,FALSE),"NO")</f>
        <v>NO</v>
      </c>
      <c r="K394">
        <v>5</v>
      </c>
      <c r="L394" t="s">
        <v>19</v>
      </c>
      <c r="M394">
        <v>18</v>
      </c>
      <c r="O394" s="25" t="s">
        <v>8624</v>
      </c>
      <c r="P394" s="25" t="s">
        <v>810</v>
      </c>
      <c r="Q394" s="25">
        <v>135</v>
      </c>
      <c r="R394" t="s">
        <v>17</v>
      </c>
    </row>
    <row r="395" spans="1:19" hidden="1">
      <c r="A395" s="23" t="s">
        <v>811</v>
      </c>
      <c r="B395" s="23" t="s">
        <v>812</v>
      </c>
      <c r="C395" s="23">
        <v>136</v>
      </c>
      <c r="D395" t="s">
        <v>17</v>
      </c>
      <c r="I395" s="3">
        <f>+IFERROR(VLOOKUP(C395,'Mov 2023 hasta ahora '!$C$2:$D$314,2,FALSE),"NO")</f>
        <v>226</v>
      </c>
      <c r="K395">
        <v>5</v>
      </c>
      <c r="L395" t="s">
        <v>19</v>
      </c>
      <c r="M395">
        <v>18</v>
      </c>
      <c r="O395" s="25" t="s">
        <v>8408</v>
      </c>
      <c r="P395" s="25" t="s">
        <v>812</v>
      </c>
      <c r="Q395" s="25">
        <v>136</v>
      </c>
      <c r="R395" t="s">
        <v>17</v>
      </c>
    </row>
    <row r="396" spans="1:19" hidden="1">
      <c r="A396" s="23" t="s">
        <v>813</v>
      </c>
      <c r="B396" s="23" t="s">
        <v>814</v>
      </c>
      <c r="C396" s="23">
        <v>1348</v>
      </c>
      <c r="D396" t="s">
        <v>17</v>
      </c>
      <c r="I396" s="3">
        <f>+IFERROR(VLOOKUP(C396,'Mov 2023 hasta ahora '!$C$2:$D$314,2,FALSE),"NO")</f>
        <v>1</v>
      </c>
      <c r="K396">
        <v>5</v>
      </c>
      <c r="L396" t="s">
        <v>19</v>
      </c>
      <c r="M396">
        <v>18</v>
      </c>
      <c r="O396" s="25" t="s">
        <v>8625</v>
      </c>
      <c r="P396" s="25" t="s">
        <v>814</v>
      </c>
      <c r="Q396" s="25">
        <v>1348</v>
      </c>
      <c r="R396" t="s">
        <v>17</v>
      </c>
    </row>
    <row r="397" spans="1:19" hidden="1">
      <c r="A397" s="23" t="s">
        <v>815</v>
      </c>
      <c r="B397" s="23" t="s">
        <v>816</v>
      </c>
      <c r="C397" s="23">
        <v>2590</v>
      </c>
      <c r="D397" t="s">
        <v>17</v>
      </c>
      <c r="E397">
        <v>4</v>
      </c>
      <c r="I397" s="3" t="str">
        <f>+IFERROR(VLOOKUP(C397,'Mov 2023 hasta ahora '!$C$2:$D$314,2,FALSE),"NO")</f>
        <v>NO</v>
      </c>
      <c r="K397">
        <v>5</v>
      </c>
      <c r="L397" t="s">
        <v>19</v>
      </c>
      <c r="M397">
        <v>18</v>
      </c>
      <c r="O397" s="25" t="s">
        <v>8626</v>
      </c>
      <c r="P397" s="25" t="s">
        <v>816</v>
      </c>
      <c r="Q397" s="25">
        <v>2590</v>
      </c>
      <c r="R397" t="s">
        <v>17</v>
      </c>
      <c r="S397">
        <f>+E397</f>
        <v>4</v>
      </c>
    </row>
    <row r="398" spans="1:19" hidden="1">
      <c r="A398" s="23" t="s">
        <v>817</v>
      </c>
      <c r="B398" s="23" t="s">
        <v>818</v>
      </c>
      <c r="C398" s="23">
        <v>3507</v>
      </c>
      <c r="D398" t="s">
        <v>17</v>
      </c>
      <c r="E398">
        <v>4</v>
      </c>
      <c r="I398" s="3">
        <f>+IFERROR(VLOOKUP(C398,'Mov 2023 hasta ahora '!$C$2:$D$314,2,FALSE),"NO")</f>
        <v>3</v>
      </c>
      <c r="K398">
        <v>5</v>
      </c>
      <c r="L398" t="s">
        <v>19</v>
      </c>
      <c r="M398">
        <v>18</v>
      </c>
      <c r="O398" s="25" t="s">
        <v>8627</v>
      </c>
      <c r="P398" s="25" t="s">
        <v>818</v>
      </c>
      <c r="Q398" s="25">
        <v>3507</v>
      </c>
      <c r="R398" t="s">
        <v>17</v>
      </c>
      <c r="S398">
        <f>+E398</f>
        <v>4</v>
      </c>
    </row>
    <row r="399" spans="1:19" hidden="1">
      <c r="A399" s="23" t="s">
        <v>819</v>
      </c>
      <c r="B399" s="23" t="s">
        <v>820</v>
      </c>
      <c r="C399" s="23">
        <v>3838</v>
      </c>
      <c r="D399" t="s">
        <v>17</v>
      </c>
      <c r="E399">
        <v>4</v>
      </c>
      <c r="I399" s="3">
        <f>+IFERROR(VLOOKUP(C399,'Mov 2023 hasta ahora '!$C$2:$D$314,2,FALSE),"NO")</f>
        <v>289</v>
      </c>
      <c r="K399">
        <v>5</v>
      </c>
      <c r="L399" t="s">
        <v>19</v>
      </c>
      <c r="M399">
        <v>18</v>
      </c>
      <c r="O399" s="25" t="s">
        <v>8628</v>
      </c>
      <c r="P399" s="25" t="s">
        <v>820</v>
      </c>
      <c r="Q399" s="25">
        <v>3838</v>
      </c>
      <c r="R399" t="s">
        <v>17</v>
      </c>
      <c r="S399">
        <f>+E399</f>
        <v>4</v>
      </c>
    </row>
    <row r="400" spans="1:19" hidden="1">
      <c r="A400" t="s">
        <v>821</v>
      </c>
      <c r="B400" t="s">
        <v>822</v>
      </c>
      <c r="D400" t="s">
        <v>17</v>
      </c>
      <c r="I400" s="3" t="str">
        <f>+IFERROR(VLOOKUP(C400,'Mov 2023 hasta ahora '!$C$2:$D$314,2,FALSE),"NO")</f>
        <v>NO</v>
      </c>
      <c r="J400" t="s">
        <v>18</v>
      </c>
      <c r="K400">
        <v>3</v>
      </c>
      <c r="L400" t="s">
        <v>19</v>
      </c>
      <c r="M400">
        <v>10</v>
      </c>
    </row>
    <row r="401" spans="1:18" hidden="1">
      <c r="A401" t="s">
        <v>823</v>
      </c>
      <c r="B401" t="s">
        <v>824</v>
      </c>
      <c r="D401" t="s">
        <v>17</v>
      </c>
      <c r="I401" s="3" t="str">
        <f>+IFERROR(VLOOKUP(C401,'Mov 2023 hasta ahora '!$C$2:$D$314,2,FALSE),"NO")</f>
        <v>NO</v>
      </c>
      <c r="K401">
        <v>4</v>
      </c>
      <c r="L401" t="s">
        <v>19</v>
      </c>
      <c r="M401">
        <v>14</v>
      </c>
    </row>
    <row r="402" spans="1:18" hidden="1">
      <c r="A402" s="23" t="s">
        <v>825</v>
      </c>
      <c r="B402" s="23" t="s">
        <v>826</v>
      </c>
      <c r="C402" s="23">
        <v>137</v>
      </c>
      <c r="D402" t="s">
        <v>17</v>
      </c>
      <c r="I402" s="3" t="str">
        <f>+IFERROR(VLOOKUP(C402,'Mov 2023 hasta ahora '!$C$2:$D$314,2,FALSE),"NO")</f>
        <v>NO</v>
      </c>
      <c r="K402">
        <v>5</v>
      </c>
      <c r="L402" t="s">
        <v>19</v>
      </c>
      <c r="M402">
        <v>18</v>
      </c>
      <c r="O402" s="25" t="s">
        <v>8630</v>
      </c>
      <c r="P402" s="25" t="s">
        <v>826</v>
      </c>
      <c r="Q402" s="25">
        <v>137</v>
      </c>
      <c r="R402" t="s">
        <v>17</v>
      </c>
    </row>
    <row r="403" spans="1:18" hidden="1">
      <c r="A403" s="23" t="s">
        <v>827</v>
      </c>
      <c r="B403" s="23" t="s">
        <v>828</v>
      </c>
      <c r="C403" s="23">
        <v>138</v>
      </c>
      <c r="D403" t="s">
        <v>17</v>
      </c>
      <c r="I403" s="3" t="str">
        <f>+IFERROR(VLOOKUP(C403,'Mov 2023 hasta ahora '!$C$2:$D$314,2,FALSE),"NO")</f>
        <v>NO</v>
      </c>
      <c r="K403">
        <v>5</v>
      </c>
      <c r="L403" t="s">
        <v>19</v>
      </c>
      <c r="M403">
        <v>18</v>
      </c>
      <c r="O403" s="25" t="s">
        <v>8632</v>
      </c>
      <c r="P403" s="25" t="s">
        <v>828</v>
      </c>
      <c r="Q403" s="25">
        <v>138</v>
      </c>
      <c r="R403" t="s">
        <v>17</v>
      </c>
    </row>
    <row r="404" spans="1:18" hidden="1">
      <c r="A404" t="s">
        <v>829</v>
      </c>
      <c r="B404" t="s">
        <v>830</v>
      </c>
      <c r="D404" t="s">
        <v>17</v>
      </c>
      <c r="I404" s="3" t="str">
        <f>+IFERROR(VLOOKUP(C404,'Mov 2023 hasta ahora '!$C$2:$D$314,2,FALSE),"NO")</f>
        <v>NO</v>
      </c>
      <c r="K404">
        <v>4</v>
      </c>
      <c r="L404" t="s">
        <v>19</v>
      </c>
      <c r="M404">
        <v>14</v>
      </c>
    </row>
    <row r="405" spans="1:18" hidden="1">
      <c r="A405" s="23" t="s">
        <v>831</v>
      </c>
      <c r="B405" s="23" t="s">
        <v>832</v>
      </c>
      <c r="C405" s="23">
        <v>139</v>
      </c>
      <c r="D405" t="s">
        <v>17</v>
      </c>
      <c r="I405" s="3" t="str">
        <f>+IFERROR(VLOOKUP(C405,'Mov 2023 hasta ahora '!$C$2:$D$314,2,FALSE),"NO")</f>
        <v>NO</v>
      </c>
      <c r="K405">
        <v>5</v>
      </c>
      <c r="L405" t="s">
        <v>19</v>
      </c>
      <c r="M405">
        <v>18</v>
      </c>
      <c r="O405" s="25" t="s">
        <v>8631</v>
      </c>
      <c r="P405" s="25" t="s">
        <v>832</v>
      </c>
      <c r="Q405" s="25">
        <v>139</v>
      </c>
      <c r="R405" t="s">
        <v>17</v>
      </c>
    </row>
    <row r="406" spans="1:18" hidden="1">
      <c r="A406" s="23" t="s">
        <v>833</v>
      </c>
      <c r="B406" s="23" t="s">
        <v>834</v>
      </c>
      <c r="C406" s="23">
        <v>140</v>
      </c>
      <c r="D406" t="s">
        <v>17</v>
      </c>
      <c r="I406" s="3">
        <f>+IFERROR(VLOOKUP(C406,'Mov 2023 hasta ahora '!$C$2:$D$314,2,FALSE),"NO")</f>
        <v>28</v>
      </c>
      <c r="K406">
        <v>5</v>
      </c>
      <c r="L406" t="s">
        <v>19</v>
      </c>
      <c r="M406">
        <v>18</v>
      </c>
      <c r="O406" s="26" t="s">
        <v>9172</v>
      </c>
      <c r="P406" s="25" t="s">
        <v>834</v>
      </c>
      <c r="Q406" s="25">
        <v>140</v>
      </c>
      <c r="R406" t="s">
        <v>17</v>
      </c>
    </row>
    <row r="407" spans="1:18" hidden="1">
      <c r="A407">
        <v>4</v>
      </c>
      <c r="B407" t="s">
        <v>835</v>
      </c>
      <c r="I407" s="3" t="str">
        <f>+IFERROR(VLOOKUP(C407,'Mov 2023 hasta ahora '!$C$2:$D$314,2,FALSE),"NO")</f>
        <v>NO</v>
      </c>
      <c r="J407" t="s">
        <v>18</v>
      </c>
      <c r="K407">
        <v>1</v>
      </c>
      <c r="L407" t="s">
        <v>836</v>
      </c>
      <c r="M407">
        <v>1</v>
      </c>
    </row>
    <row r="408" spans="1:18" hidden="1">
      <c r="A408">
        <v>4.01</v>
      </c>
      <c r="B408" t="s">
        <v>838</v>
      </c>
      <c r="I408" s="3" t="str">
        <f>+IFERROR(VLOOKUP(C408,'Mov 2023 hasta ahora '!$C$2:$D$314,2,FALSE),"NO")</f>
        <v>NO</v>
      </c>
      <c r="K408">
        <v>2</v>
      </c>
      <c r="L408" t="s">
        <v>836</v>
      </c>
      <c r="M408">
        <v>4</v>
      </c>
    </row>
    <row r="409" spans="1:18" hidden="1">
      <c r="A409" t="s">
        <v>839</v>
      </c>
      <c r="B409" t="s">
        <v>840</v>
      </c>
      <c r="I409" s="3" t="str">
        <f>+IFERROR(VLOOKUP(C409,'Mov 2023 hasta ahora '!$C$2:$D$314,2,FALSE),"NO")</f>
        <v>NO</v>
      </c>
      <c r="K409">
        <v>3</v>
      </c>
      <c r="L409" t="s">
        <v>836</v>
      </c>
      <c r="M409">
        <v>10</v>
      </c>
    </row>
    <row r="410" spans="1:18" hidden="1">
      <c r="A410" t="s">
        <v>841</v>
      </c>
      <c r="B410" t="s">
        <v>842</v>
      </c>
      <c r="I410" s="3" t="str">
        <f>+IFERROR(VLOOKUP(C410,'Mov 2023 hasta ahora '!$C$2:$D$314,2,FALSE),"NO")</f>
        <v>NO</v>
      </c>
      <c r="K410">
        <v>4</v>
      </c>
      <c r="L410" t="s">
        <v>836</v>
      </c>
      <c r="M410">
        <v>14</v>
      </c>
    </row>
    <row r="411" spans="1:18" hidden="1">
      <c r="A411" t="s">
        <v>843</v>
      </c>
      <c r="B411" t="s">
        <v>844</v>
      </c>
      <c r="I411" s="3" t="str">
        <f>+IFERROR(VLOOKUP(C411,'Mov 2023 hasta ahora '!$C$2:$D$314,2,FALSE),"NO")</f>
        <v>NO</v>
      </c>
      <c r="K411">
        <v>5</v>
      </c>
      <c r="L411" t="s">
        <v>836</v>
      </c>
      <c r="M411">
        <v>18</v>
      </c>
    </row>
    <row r="412" spans="1:18" hidden="1">
      <c r="A412" s="23" t="s">
        <v>845</v>
      </c>
      <c r="B412" s="23" t="s">
        <v>846</v>
      </c>
      <c r="C412" s="23">
        <v>1697</v>
      </c>
      <c r="D412" t="s">
        <v>436</v>
      </c>
      <c r="I412" s="3" t="str">
        <f>+IFERROR(VLOOKUP(C412,'Mov 2023 hasta ahora '!$C$2:$D$314,2,FALSE),"NO")</f>
        <v>NO</v>
      </c>
      <c r="K412">
        <v>6</v>
      </c>
      <c r="L412" t="s">
        <v>836</v>
      </c>
      <c r="M412">
        <v>24</v>
      </c>
      <c r="O412" s="25" t="s">
        <v>8672</v>
      </c>
      <c r="P412" s="25" t="s">
        <v>8673</v>
      </c>
      <c r="Q412" s="25">
        <v>1697</v>
      </c>
      <c r="R412" t="s">
        <v>436</v>
      </c>
    </row>
    <row r="413" spans="1:18" hidden="1">
      <c r="A413" t="s">
        <v>847</v>
      </c>
      <c r="B413" t="s">
        <v>848</v>
      </c>
      <c r="I413" s="3" t="str">
        <f>+IFERROR(VLOOKUP(C413,'Mov 2023 hasta ahora '!$C$2:$D$314,2,FALSE),"NO")</f>
        <v>NO</v>
      </c>
      <c r="K413">
        <v>5</v>
      </c>
      <c r="L413" t="s">
        <v>836</v>
      </c>
      <c r="M413">
        <v>18</v>
      </c>
    </row>
    <row r="414" spans="1:18" hidden="1">
      <c r="A414" s="23" t="s">
        <v>849</v>
      </c>
      <c r="B414" s="23" t="s">
        <v>850</v>
      </c>
      <c r="C414" s="23">
        <v>1698</v>
      </c>
      <c r="D414" t="s">
        <v>436</v>
      </c>
      <c r="I414" s="3" t="str">
        <f>+IFERROR(VLOOKUP(C414,'Mov 2023 hasta ahora '!$C$2:$D$314,2,FALSE),"NO")</f>
        <v>NO</v>
      </c>
      <c r="K414">
        <v>6</v>
      </c>
      <c r="L414" t="s">
        <v>836</v>
      </c>
      <c r="M414">
        <v>24</v>
      </c>
      <c r="O414" s="29" t="s">
        <v>8672</v>
      </c>
      <c r="P414" s="25" t="s">
        <v>8673</v>
      </c>
      <c r="Q414" s="25">
        <v>1697</v>
      </c>
      <c r="R414" t="s">
        <v>436</v>
      </c>
    </row>
    <row r="415" spans="1:18" hidden="1">
      <c r="A415" t="s">
        <v>851</v>
      </c>
      <c r="B415" t="s">
        <v>852</v>
      </c>
      <c r="I415" s="3" t="str">
        <f>+IFERROR(VLOOKUP(C415,'Mov 2023 hasta ahora '!$C$2:$D$314,2,FALSE),"NO")</f>
        <v>NO</v>
      </c>
      <c r="K415">
        <v>5</v>
      </c>
      <c r="L415" t="s">
        <v>836</v>
      </c>
      <c r="M415">
        <v>18</v>
      </c>
    </row>
    <row r="416" spans="1:18" hidden="1">
      <c r="A416" s="23" t="s">
        <v>853</v>
      </c>
      <c r="B416" s="23" t="s">
        <v>854</v>
      </c>
      <c r="C416" s="23">
        <v>1699</v>
      </c>
      <c r="D416" t="s">
        <v>436</v>
      </c>
      <c r="I416" s="3" t="str">
        <f>+IFERROR(VLOOKUP(C416,'Mov 2023 hasta ahora '!$C$2:$D$314,2,FALSE),"NO")</f>
        <v>NO</v>
      </c>
      <c r="K416">
        <v>6</v>
      </c>
      <c r="L416" t="s">
        <v>836</v>
      </c>
      <c r="M416">
        <v>24</v>
      </c>
      <c r="O416" s="25" t="s">
        <v>8674</v>
      </c>
      <c r="P416" s="25" t="s">
        <v>8731</v>
      </c>
      <c r="Q416" s="25">
        <v>1699</v>
      </c>
      <c r="R416" t="s">
        <v>436</v>
      </c>
    </row>
    <row r="417" spans="1:18" hidden="1">
      <c r="A417" t="s">
        <v>855</v>
      </c>
      <c r="B417" t="s">
        <v>856</v>
      </c>
      <c r="I417" s="3" t="str">
        <f>+IFERROR(VLOOKUP(C417,'Mov 2023 hasta ahora '!$C$2:$D$314,2,FALSE),"NO")</f>
        <v>NO</v>
      </c>
      <c r="K417">
        <v>3</v>
      </c>
      <c r="L417" t="s">
        <v>836</v>
      </c>
      <c r="M417">
        <v>10</v>
      </c>
    </row>
    <row r="418" spans="1:18" hidden="1">
      <c r="A418" t="s">
        <v>857</v>
      </c>
      <c r="B418" t="s">
        <v>858</v>
      </c>
      <c r="I418" s="3" t="str">
        <f>+IFERROR(VLOOKUP(C418,'Mov 2023 hasta ahora '!$C$2:$D$314,2,FALSE),"NO")</f>
        <v>NO</v>
      </c>
      <c r="K418">
        <v>4</v>
      </c>
      <c r="L418" t="s">
        <v>836</v>
      </c>
      <c r="M418">
        <v>14</v>
      </c>
    </row>
    <row r="419" spans="1:18" hidden="1">
      <c r="A419" t="s">
        <v>859</v>
      </c>
      <c r="B419" t="s">
        <v>860</v>
      </c>
      <c r="I419" s="3" t="str">
        <f>+IFERROR(VLOOKUP(C419,'Mov 2023 hasta ahora '!$C$2:$D$314,2,FALSE),"NO")</f>
        <v>NO</v>
      </c>
      <c r="K419">
        <v>5</v>
      </c>
      <c r="L419" t="s">
        <v>836</v>
      </c>
      <c r="M419">
        <v>18</v>
      </c>
    </row>
    <row r="420" spans="1:18" hidden="1">
      <c r="A420" s="23" t="s">
        <v>861</v>
      </c>
      <c r="B420" s="23" t="s">
        <v>862</v>
      </c>
      <c r="C420" s="23">
        <v>2450</v>
      </c>
      <c r="I420" s="3" t="str">
        <f>+IFERROR(VLOOKUP(C420,'Mov 2023 hasta ahora '!$C$2:$D$314,2,FALSE),"NO")</f>
        <v>NO</v>
      </c>
      <c r="K420">
        <v>6</v>
      </c>
      <c r="L420" t="s">
        <v>836</v>
      </c>
      <c r="M420">
        <v>24</v>
      </c>
      <c r="O420" s="25" t="s">
        <v>8679</v>
      </c>
      <c r="P420" s="25" t="s">
        <v>8677</v>
      </c>
      <c r="Q420" s="25">
        <v>2450</v>
      </c>
      <c r="R420" t="s">
        <v>436</v>
      </c>
    </row>
    <row r="421" spans="1:18" hidden="1">
      <c r="A421" t="s">
        <v>863</v>
      </c>
      <c r="B421" t="s">
        <v>864</v>
      </c>
      <c r="I421" s="3" t="str">
        <f>+IFERROR(VLOOKUP(C421,'Mov 2023 hasta ahora '!$C$2:$D$314,2,FALSE),"NO")</f>
        <v>NO</v>
      </c>
      <c r="K421">
        <v>3</v>
      </c>
      <c r="L421" t="s">
        <v>836</v>
      </c>
      <c r="M421">
        <v>10</v>
      </c>
    </row>
    <row r="422" spans="1:18" hidden="1">
      <c r="A422" t="s">
        <v>865</v>
      </c>
      <c r="B422" t="s">
        <v>866</v>
      </c>
      <c r="I422" s="3" t="str">
        <f>+IFERROR(VLOOKUP(C422,'Mov 2023 hasta ahora '!$C$2:$D$314,2,FALSE),"NO")</f>
        <v>NO</v>
      </c>
      <c r="K422">
        <v>4</v>
      </c>
      <c r="L422" t="s">
        <v>836</v>
      </c>
      <c r="M422">
        <v>14</v>
      </c>
    </row>
    <row r="423" spans="1:18" hidden="1">
      <c r="A423" t="s">
        <v>867</v>
      </c>
      <c r="B423" t="s">
        <v>868</v>
      </c>
      <c r="I423" s="3" t="str">
        <f>+IFERROR(VLOOKUP(C423,'Mov 2023 hasta ahora '!$C$2:$D$314,2,FALSE),"NO")</f>
        <v>NO</v>
      </c>
      <c r="K423">
        <v>5</v>
      </c>
      <c r="L423" t="s">
        <v>836</v>
      </c>
      <c r="M423">
        <v>18</v>
      </c>
    </row>
    <row r="424" spans="1:18" hidden="1">
      <c r="A424" t="s">
        <v>869</v>
      </c>
      <c r="B424" t="s">
        <v>870</v>
      </c>
      <c r="I424" s="3" t="str">
        <f>+IFERROR(VLOOKUP(C424,'Mov 2023 hasta ahora '!$C$2:$D$314,2,FALSE),"NO")</f>
        <v>NO</v>
      </c>
      <c r="K424">
        <v>4</v>
      </c>
      <c r="L424" t="s">
        <v>836</v>
      </c>
      <c r="M424">
        <v>14</v>
      </c>
    </row>
    <row r="425" spans="1:18" hidden="1">
      <c r="A425" t="s">
        <v>871</v>
      </c>
      <c r="B425" t="s">
        <v>872</v>
      </c>
      <c r="I425" s="3" t="str">
        <f>+IFERROR(VLOOKUP(C425,'Mov 2023 hasta ahora '!$C$2:$D$314,2,FALSE),"NO")</f>
        <v>NO</v>
      </c>
      <c r="K425">
        <v>5</v>
      </c>
      <c r="L425" t="s">
        <v>836</v>
      </c>
      <c r="M425">
        <v>18</v>
      </c>
    </row>
    <row r="426" spans="1:18" hidden="1">
      <c r="A426" s="23" t="s">
        <v>873</v>
      </c>
      <c r="B426" s="23" t="s">
        <v>874</v>
      </c>
      <c r="C426" s="23">
        <v>1560</v>
      </c>
      <c r="D426" t="s">
        <v>436</v>
      </c>
      <c r="I426" s="3" t="str">
        <f>+IFERROR(VLOOKUP(C426,'Mov 2023 hasta ahora '!$C$2:$D$314,2,FALSE),"NO")</f>
        <v>NO</v>
      </c>
      <c r="K426">
        <v>6</v>
      </c>
      <c r="L426" t="s">
        <v>836</v>
      </c>
      <c r="M426">
        <v>24</v>
      </c>
      <c r="O426" s="29" t="s">
        <v>8679</v>
      </c>
      <c r="P426" s="25" t="s">
        <v>8677</v>
      </c>
      <c r="Q426" s="25">
        <v>2450</v>
      </c>
      <c r="R426" t="s">
        <v>436</v>
      </c>
    </row>
    <row r="427" spans="1:18" hidden="1">
      <c r="A427" t="s">
        <v>875</v>
      </c>
      <c r="B427" t="s">
        <v>876</v>
      </c>
      <c r="I427" s="3" t="str">
        <f>+IFERROR(VLOOKUP(C427,'Mov 2023 hasta ahora '!$C$2:$D$314,2,FALSE),"NO")</f>
        <v>NO</v>
      </c>
      <c r="K427">
        <v>3</v>
      </c>
      <c r="L427" t="s">
        <v>836</v>
      </c>
      <c r="M427">
        <v>10</v>
      </c>
    </row>
    <row r="428" spans="1:18" hidden="1">
      <c r="A428" t="s">
        <v>877</v>
      </c>
      <c r="B428" t="s">
        <v>878</v>
      </c>
      <c r="I428" s="3" t="str">
        <f>+IFERROR(VLOOKUP(C428,'Mov 2023 hasta ahora '!$C$2:$D$314,2,FALSE),"NO")</f>
        <v>NO</v>
      </c>
      <c r="K428">
        <v>4</v>
      </c>
      <c r="L428" t="s">
        <v>836</v>
      </c>
      <c r="M428">
        <v>14</v>
      </c>
    </row>
    <row r="429" spans="1:18" hidden="1">
      <c r="A429" t="s">
        <v>879</v>
      </c>
      <c r="B429" t="s">
        <v>880</v>
      </c>
      <c r="I429" s="3" t="str">
        <f>+IFERROR(VLOOKUP(C429,'Mov 2023 hasta ahora '!$C$2:$D$314,2,FALSE),"NO")</f>
        <v>NO</v>
      </c>
      <c r="K429">
        <v>5</v>
      </c>
      <c r="L429" t="s">
        <v>836</v>
      </c>
      <c r="M429">
        <v>18</v>
      </c>
    </row>
    <row r="430" spans="1:18" hidden="1">
      <c r="A430" t="s">
        <v>881</v>
      </c>
      <c r="B430" t="s">
        <v>882</v>
      </c>
      <c r="I430" s="3" t="str">
        <f>+IFERROR(VLOOKUP(C430,'Mov 2023 hasta ahora '!$C$2:$D$314,2,FALSE),"NO")</f>
        <v>NO</v>
      </c>
      <c r="K430">
        <v>4</v>
      </c>
      <c r="L430" t="s">
        <v>836</v>
      </c>
      <c r="M430">
        <v>14</v>
      </c>
    </row>
    <row r="431" spans="1:18" hidden="1">
      <c r="A431" t="s">
        <v>883</v>
      </c>
      <c r="B431" t="s">
        <v>884</v>
      </c>
      <c r="I431" s="3" t="str">
        <f>+IFERROR(VLOOKUP(C431,'Mov 2023 hasta ahora '!$C$2:$D$314,2,FALSE),"NO")</f>
        <v>NO</v>
      </c>
      <c r="K431">
        <v>5</v>
      </c>
      <c r="L431" t="s">
        <v>836</v>
      </c>
      <c r="M431">
        <v>18</v>
      </c>
    </row>
    <row r="432" spans="1:18" hidden="1">
      <c r="A432" s="23" t="s">
        <v>885</v>
      </c>
      <c r="B432" s="23" t="s">
        <v>886</v>
      </c>
      <c r="C432" s="23">
        <v>1561</v>
      </c>
      <c r="D432" t="s">
        <v>436</v>
      </c>
      <c r="I432" s="3" t="str">
        <f>+IFERROR(VLOOKUP(C432,'Mov 2023 hasta ahora '!$C$2:$D$314,2,FALSE),"NO")</f>
        <v>NO</v>
      </c>
      <c r="K432">
        <v>6</v>
      </c>
      <c r="L432" t="s">
        <v>836</v>
      </c>
      <c r="M432">
        <v>24</v>
      </c>
      <c r="O432" s="29" t="s">
        <v>8679</v>
      </c>
      <c r="P432" s="25" t="s">
        <v>8677</v>
      </c>
      <c r="Q432" s="25">
        <v>2450</v>
      </c>
      <c r="R432" t="s">
        <v>436</v>
      </c>
    </row>
    <row r="433" spans="1:18" hidden="1">
      <c r="A433" t="s">
        <v>887</v>
      </c>
      <c r="B433" t="s">
        <v>888</v>
      </c>
      <c r="I433" s="3" t="str">
        <f>+IFERROR(VLOOKUP(C433,'Mov 2023 hasta ahora '!$C$2:$D$314,2,FALSE),"NO")</f>
        <v>NO</v>
      </c>
      <c r="K433">
        <v>3</v>
      </c>
      <c r="L433" t="s">
        <v>836</v>
      </c>
      <c r="M433">
        <v>10</v>
      </c>
    </row>
    <row r="434" spans="1:18" hidden="1">
      <c r="A434" t="s">
        <v>889</v>
      </c>
      <c r="B434" t="s">
        <v>890</v>
      </c>
      <c r="I434" s="3" t="str">
        <f>+IFERROR(VLOOKUP(C434,'Mov 2023 hasta ahora '!$C$2:$D$314,2,FALSE),"NO")</f>
        <v>NO</v>
      </c>
      <c r="K434">
        <v>4</v>
      </c>
      <c r="L434" t="s">
        <v>836</v>
      </c>
      <c r="M434">
        <v>14</v>
      </c>
    </row>
    <row r="435" spans="1:18" hidden="1">
      <c r="A435" t="s">
        <v>891</v>
      </c>
      <c r="B435" t="s">
        <v>892</v>
      </c>
      <c r="I435" s="3" t="str">
        <f>+IFERROR(VLOOKUP(C435,'Mov 2023 hasta ahora '!$C$2:$D$314,2,FALSE),"NO")</f>
        <v>NO</v>
      </c>
      <c r="K435">
        <v>5</v>
      </c>
      <c r="L435" t="s">
        <v>836</v>
      </c>
      <c r="M435">
        <v>18</v>
      </c>
    </row>
    <row r="436" spans="1:18" hidden="1">
      <c r="A436" s="23" t="s">
        <v>893</v>
      </c>
      <c r="B436" s="23" t="s">
        <v>894</v>
      </c>
      <c r="C436" s="23">
        <v>166</v>
      </c>
      <c r="D436" t="s">
        <v>436</v>
      </c>
      <c r="I436" s="3" t="str">
        <f>+IFERROR(VLOOKUP(C436,'Mov 2023 hasta ahora '!$C$2:$D$314,2,FALSE),"NO")</f>
        <v>NO</v>
      </c>
      <c r="K436">
        <v>6</v>
      </c>
      <c r="L436" t="s">
        <v>836</v>
      </c>
      <c r="M436">
        <v>24</v>
      </c>
      <c r="O436" s="29" t="s">
        <v>8679</v>
      </c>
      <c r="P436" s="25" t="s">
        <v>8677</v>
      </c>
      <c r="Q436" s="25">
        <v>2450</v>
      </c>
      <c r="R436" t="s">
        <v>436</v>
      </c>
    </row>
    <row r="437" spans="1:18" hidden="1">
      <c r="A437" t="s">
        <v>895</v>
      </c>
      <c r="B437" t="s">
        <v>896</v>
      </c>
      <c r="I437" s="3" t="str">
        <f>+IFERROR(VLOOKUP(C437,'Mov 2023 hasta ahora '!$C$2:$D$314,2,FALSE),"NO")</f>
        <v>NO</v>
      </c>
      <c r="J437" t="s">
        <v>8693</v>
      </c>
      <c r="K437">
        <v>3</v>
      </c>
      <c r="L437" t="s">
        <v>836</v>
      </c>
      <c r="M437">
        <v>10</v>
      </c>
    </row>
    <row r="438" spans="1:18" hidden="1">
      <c r="A438" t="s">
        <v>897</v>
      </c>
      <c r="B438" t="s">
        <v>898</v>
      </c>
      <c r="I438" s="3" t="str">
        <f>+IFERROR(VLOOKUP(C438,'Mov 2023 hasta ahora '!$C$2:$D$314,2,FALSE),"NO")</f>
        <v>NO</v>
      </c>
      <c r="J438" t="s">
        <v>8693</v>
      </c>
      <c r="K438">
        <v>4</v>
      </c>
      <c r="L438" t="s">
        <v>836</v>
      </c>
      <c r="M438">
        <v>14</v>
      </c>
    </row>
    <row r="439" spans="1:18" hidden="1">
      <c r="A439" t="s">
        <v>899</v>
      </c>
      <c r="B439" t="s">
        <v>900</v>
      </c>
      <c r="I439" s="3" t="str">
        <f>+IFERROR(VLOOKUP(C439,'Mov 2023 hasta ahora '!$C$2:$D$314,2,FALSE),"NO")</f>
        <v>NO</v>
      </c>
      <c r="J439" t="s">
        <v>8693</v>
      </c>
      <c r="K439">
        <v>5</v>
      </c>
      <c r="L439" t="s">
        <v>836</v>
      </c>
      <c r="M439">
        <v>18</v>
      </c>
    </row>
    <row r="440" spans="1:18" hidden="1">
      <c r="A440" s="23" t="s">
        <v>901</v>
      </c>
      <c r="B440" s="23" t="s">
        <v>902</v>
      </c>
      <c r="C440" s="23">
        <v>1222</v>
      </c>
      <c r="D440" t="s">
        <v>436</v>
      </c>
      <c r="I440" s="3" t="str">
        <f>+IFERROR(VLOOKUP(C440,'Mov 2023 hasta ahora '!$C$2:$D$314,2,FALSE),"NO")</f>
        <v>NO</v>
      </c>
      <c r="J440" t="s">
        <v>8693</v>
      </c>
      <c r="K440">
        <v>6</v>
      </c>
      <c r="L440" t="s">
        <v>836</v>
      </c>
      <c r="M440">
        <v>23</v>
      </c>
      <c r="O440" s="29" t="s">
        <v>8691</v>
      </c>
      <c r="P440" s="25" t="s">
        <v>8687</v>
      </c>
      <c r="Q440" s="25">
        <v>1228</v>
      </c>
      <c r="R440" t="s">
        <v>436</v>
      </c>
    </row>
    <row r="441" spans="1:18" hidden="1">
      <c r="A441" t="s">
        <v>903</v>
      </c>
      <c r="B441" t="s">
        <v>904</v>
      </c>
      <c r="I441" s="3" t="str">
        <f>+IFERROR(VLOOKUP(C441,'Mov 2023 hasta ahora '!$C$2:$D$314,2,FALSE),"NO")</f>
        <v>NO</v>
      </c>
      <c r="J441" t="s">
        <v>8693</v>
      </c>
      <c r="K441">
        <v>5</v>
      </c>
      <c r="L441" t="s">
        <v>836</v>
      </c>
      <c r="M441">
        <v>18</v>
      </c>
    </row>
    <row r="442" spans="1:18" hidden="1">
      <c r="A442" s="23" t="s">
        <v>905</v>
      </c>
      <c r="B442" s="23" t="s">
        <v>906</v>
      </c>
      <c r="C442" s="23">
        <v>1224</v>
      </c>
      <c r="D442" t="s">
        <v>436</v>
      </c>
      <c r="I442" s="3" t="str">
        <f>+IFERROR(VLOOKUP(C442,'Mov 2023 hasta ahora '!$C$2:$D$314,2,FALSE),"NO")</f>
        <v>NO</v>
      </c>
      <c r="J442" t="s">
        <v>8693</v>
      </c>
      <c r="K442">
        <v>6</v>
      </c>
      <c r="L442" t="s">
        <v>836</v>
      </c>
      <c r="M442">
        <v>24</v>
      </c>
      <c r="O442" s="29" t="s">
        <v>8691</v>
      </c>
      <c r="P442" s="25" t="s">
        <v>8687</v>
      </c>
      <c r="Q442" s="25">
        <v>1228</v>
      </c>
      <c r="R442" t="s">
        <v>436</v>
      </c>
    </row>
    <row r="443" spans="1:18" hidden="1">
      <c r="A443" t="s">
        <v>907</v>
      </c>
      <c r="B443" t="s">
        <v>908</v>
      </c>
      <c r="I443" s="3" t="str">
        <f>+IFERROR(VLOOKUP(C443,'Mov 2023 hasta ahora '!$C$2:$D$314,2,FALSE),"NO")</f>
        <v>NO</v>
      </c>
      <c r="K443">
        <v>4</v>
      </c>
      <c r="L443" t="s">
        <v>836</v>
      </c>
      <c r="M443">
        <v>14</v>
      </c>
    </row>
    <row r="444" spans="1:18" hidden="1">
      <c r="A444" t="s">
        <v>909</v>
      </c>
      <c r="B444" t="s">
        <v>910</v>
      </c>
      <c r="I444" s="3" t="str">
        <f>+IFERROR(VLOOKUP(C444,'Mov 2023 hasta ahora '!$C$2:$D$314,2,FALSE),"NO")</f>
        <v>NO</v>
      </c>
      <c r="K444">
        <v>5</v>
      </c>
      <c r="L444" t="s">
        <v>836</v>
      </c>
      <c r="M444">
        <v>18</v>
      </c>
    </row>
    <row r="445" spans="1:18" hidden="1">
      <c r="A445" s="23" t="s">
        <v>911</v>
      </c>
      <c r="B445" s="23" t="s">
        <v>912</v>
      </c>
      <c r="C445" s="23">
        <v>1760</v>
      </c>
      <c r="D445" t="s">
        <v>436</v>
      </c>
      <c r="I445" s="3" t="str">
        <f>+IFERROR(VLOOKUP(C445,'Mov 2023 hasta ahora '!$C$2:$D$314,2,FALSE),"NO")</f>
        <v>NO</v>
      </c>
      <c r="K445">
        <v>6</v>
      </c>
      <c r="L445" t="s">
        <v>836</v>
      </c>
      <c r="M445">
        <v>24</v>
      </c>
      <c r="O445" s="29" t="s">
        <v>8679</v>
      </c>
      <c r="P445" s="25" t="s">
        <v>8677</v>
      </c>
      <c r="Q445" s="25">
        <v>2450</v>
      </c>
      <c r="R445" t="s">
        <v>436</v>
      </c>
    </row>
    <row r="446" spans="1:18" hidden="1">
      <c r="A446" t="s">
        <v>913</v>
      </c>
      <c r="B446" t="s">
        <v>914</v>
      </c>
      <c r="I446" s="3" t="str">
        <f>+IFERROR(VLOOKUP(C446,'Mov 2023 hasta ahora '!$C$2:$D$314,2,FALSE),"NO")</f>
        <v>NO</v>
      </c>
      <c r="J446" t="s">
        <v>8693</v>
      </c>
      <c r="K446">
        <v>3</v>
      </c>
      <c r="L446" t="s">
        <v>836</v>
      </c>
      <c r="M446">
        <v>10</v>
      </c>
    </row>
    <row r="447" spans="1:18" hidden="1">
      <c r="A447" t="s">
        <v>915</v>
      </c>
      <c r="B447" t="s">
        <v>916</v>
      </c>
      <c r="I447" s="3" t="str">
        <f>+IFERROR(VLOOKUP(C447,'Mov 2023 hasta ahora '!$C$2:$D$314,2,FALSE),"NO")</f>
        <v>NO</v>
      </c>
      <c r="J447" t="s">
        <v>8693</v>
      </c>
      <c r="K447">
        <v>4</v>
      </c>
      <c r="L447" t="s">
        <v>836</v>
      </c>
      <c r="M447">
        <v>14</v>
      </c>
    </row>
    <row r="448" spans="1:18" hidden="1">
      <c r="A448" t="s">
        <v>917</v>
      </c>
      <c r="B448" t="s">
        <v>918</v>
      </c>
      <c r="I448" s="3" t="str">
        <f>+IFERROR(VLOOKUP(C448,'Mov 2023 hasta ahora '!$C$2:$D$314,2,FALSE),"NO")</f>
        <v>NO</v>
      </c>
      <c r="J448" t="s">
        <v>8693</v>
      </c>
      <c r="K448">
        <v>5</v>
      </c>
      <c r="L448" t="s">
        <v>836</v>
      </c>
      <c r="M448">
        <v>18</v>
      </c>
    </row>
    <row r="449" spans="1:18" hidden="1">
      <c r="A449" s="23" t="s">
        <v>919</v>
      </c>
      <c r="B449" s="23" t="s">
        <v>920</v>
      </c>
      <c r="C449" s="23">
        <v>1223</v>
      </c>
      <c r="D449" t="s">
        <v>436</v>
      </c>
      <c r="I449" s="3" t="str">
        <f>+IFERROR(VLOOKUP(C449,'Mov 2023 hasta ahora '!$C$2:$D$314,2,FALSE),"NO")</f>
        <v>NO</v>
      </c>
      <c r="J449" t="s">
        <v>8693</v>
      </c>
      <c r="K449">
        <v>6</v>
      </c>
      <c r="L449" t="s">
        <v>836</v>
      </c>
      <c r="M449">
        <v>23</v>
      </c>
      <c r="O449" s="29" t="s">
        <v>8691</v>
      </c>
      <c r="P449" s="25" t="s">
        <v>8687</v>
      </c>
      <c r="Q449" s="25">
        <v>1228</v>
      </c>
      <c r="R449" t="s">
        <v>436</v>
      </c>
    </row>
    <row r="450" spans="1:18" hidden="1">
      <c r="A450" t="s">
        <v>921</v>
      </c>
      <c r="B450" t="s">
        <v>922</v>
      </c>
      <c r="I450" s="3" t="str">
        <f>+IFERROR(VLOOKUP(C450,'Mov 2023 hasta ahora '!$C$2:$D$314,2,FALSE),"NO")</f>
        <v>NO</v>
      </c>
      <c r="J450" t="s">
        <v>8693</v>
      </c>
      <c r="K450">
        <v>5</v>
      </c>
      <c r="L450" t="s">
        <v>836</v>
      </c>
      <c r="M450">
        <v>18</v>
      </c>
    </row>
    <row r="451" spans="1:18" hidden="1">
      <c r="A451" s="23" t="s">
        <v>923</v>
      </c>
      <c r="B451" s="23" t="s">
        <v>924</v>
      </c>
      <c r="C451" s="23">
        <v>1225</v>
      </c>
      <c r="D451" t="s">
        <v>436</v>
      </c>
      <c r="I451" s="3" t="str">
        <f>+IFERROR(VLOOKUP(C451,'Mov 2023 hasta ahora '!$C$2:$D$314,2,FALSE),"NO")</f>
        <v>NO</v>
      </c>
      <c r="J451" t="s">
        <v>8693</v>
      </c>
      <c r="K451">
        <v>6</v>
      </c>
      <c r="L451" t="s">
        <v>836</v>
      </c>
      <c r="M451">
        <v>24</v>
      </c>
      <c r="O451" s="29" t="s">
        <v>8691</v>
      </c>
      <c r="P451" s="25" t="s">
        <v>8687</v>
      </c>
      <c r="Q451" s="25">
        <v>1228</v>
      </c>
      <c r="R451" t="s">
        <v>436</v>
      </c>
    </row>
    <row r="452" spans="1:18" hidden="1">
      <c r="A452" t="s">
        <v>925</v>
      </c>
      <c r="B452" t="s">
        <v>926</v>
      </c>
      <c r="I452" s="3" t="str">
        <f>+IFERROR(VLOOKUP(C452,'Mov 2023 hasta ahora '!$C$2:$D$314,2,FALSE),"NO")</f>
        <v>NO</v>
      </c>
      <c r="K452">
        <v>3</v>
      </c>
      <c r="L452" t="s">
        <v>836</v>
      </c>
      <c r="M452">
        <v>10</v>
      </c>
    </row>
    <row r="453" spans="1:18" hidden="1">
      <c r="A453" t="s">
        <v>927</v>
      </c>
      <c r="B453" t="s">
        <v>928</v>
      </c>
      <c r="I453" s="3" t="str">
        <f>+IFERROR(VLOOKUP(C453,'Mov 2023 hasta ahora '!$C$2:$D$314,2,FALSE),"NO")</f>
        <v>NO</v>
      </c>
      <c r="K453">
        <v>4</v>
      </c>
      <c r="L453" t="s">
        <v>836</v>
      </c>
      <c r="M453">
        <v>14</v>
      </c>
    </row>
    <row r="454" spans="1:18" hidden="1">
      <c r="A454" t="s">
        <v>929</v>
      </c>
      <c r="B454" t="s">
        <v>930</v>
      </c>
      <c r="I454" s="3" t="str">
        <f>+IFERROR(VLOOKUP(C454,'Mov 2023 hasta ahora '!$C$2:$D$314,2,FALSE),"NO")</f>
        <v>NO</v>
      </c>
      <c r="K454">
        <v>5</v>
      </c>
      <c r="L454" t="s">
        <v>836</v>
      </c>
      <c r="M454">
        <v>18</v>
      </c>
    </row>
    <row r="455" spans="1:18" hidden="1">
      <c r="A455" s="23" t="s">
        <v>931</v>
      </c>
      <c r="B455" s="23" t="s">
        <v>932</v>
      </c>
      <c r="C455" s="23">
        <v>1887</v>
      </c>
      <c r="I455" s="3" t="str">
        <f>+IFERROR(VLOOKUP(C455,'Mov 2023 hasta ahora '!$C$2:$D$314,2,FALSE),"NO")</f>
        <v>NO</v>
      </c>
      <c r="K455">
        <v>6</v>
      </c>
      <c r="L455" t="s">
        <v>836</v>
      </c>
      <c r="M455">
        <v>24</v>
      </c>
      <c r="O455" s="29" t="s">
        <v>8672</v>
      </c>
      <c r="P455" s="25" t="s">
        <v>8673</v>
      </c>
      <c r="Q455" s="25">
        <v>1697</v>
      </c>
      <c r="R455" t="s">
        <v>436</v>
      </c>
    </row>
    <row r="456" spans="1:18" hidden="1">
      <c r="A456" t="s">
        <v>933</v>
      </c>
      <c r="B456" t="s">
        <v>934</v>
      </c>
      <c r="I456" s="3" t="str">
        <f>+IFERROR(VLOOKUP(C456,'Mov 2023 hasta ahora '!$C$2:$D$314,2,FALSE),"NO")</f>
        <v>NO</v>
      </c>
      <c r="K456">
        <v>4</v>
      </c>
      <c r="L456" t="s">
        <v>836</v>
      </c>
      <c r="M456">
        <v>14</v>
      </c>
    </row>
    <row r="457" spans="1:18" hidden="1">
      <c r="A457" t="s">
        <v>935</v>
      </c>
      <c r="B457" t="s">
        <v>936</v>
      </c>
      <c r="I457" s="3" t="str">
        <f>+IFERROR(VLOOKUP(C457,'Mov 2023 hasta ahora '!$C$2:$D$314,2,FALSE),"NO")</f>
        <v>NO</v>
      </c>
      <c r="K457">
        <v>5</v>
      </c>
      <c r="L457" t="s">
        <v>836</v>
      </c>
      <c r="M457">
        <v>18</v>
      </c>
    </row>
    <row r="458" spans="1:18" hidden="1">
      <c r="A458" s="23" t="s">
        <v>937</v>
      </c>
      <c r="B458" s="23" t="s">
        <v>938</v>
      </c>
      <c r="C458" s="23">
        <v>171</v>
      </c>
      <c r="D458" t="s">
        <v>436</v>
      </c>
      <c r="I458" s="3" t="str">
        <f>+IFERROR(VLOOKUP(C458,'Mov 2023 hasta ahora '!$C$2:$D$314,2,FALSE),"NO")</f>
        <v>NO</v>
      </c>
      <c r="K458">
        <v>6</v>
      </c>
      <c r="L458" t="s">
        <v>836</v>
      </c>
      <c r="M458">
        <v>24</v>
      </c>
      <c r="O458" s="29" t="s">
        <v>8674</v>
      </c>
      <c r="P458" s="25" t="s">
        <v>8731</v>
      </c>
      <c r="Q458" s="25">
        <v>1699</v>
      </c>
      <c r="R458" t="s">
        <v>436</v>
      </c>
    </row>
    <row r="459" spans="1:18" hidden="1">
      <c r="A459" s="23" t="s">
        <v>939</v>
      </c>
      <c r="B459" s="23" t="s">
        <v>940</v>
      </c>
      <c r="C459" s="23">
        <v>172</v>
      </c>
      <c r="D459" t="s">
        <v>436</v>
      </c>
      <c r="I459" s="3" t="str">
        <f>+IFERROR(VLOOKUP(C459,'Mov 2023 hasta ahora '!$C$2:$D$314,2,FALSE),"NO")</f>
        <v>NO</v>
      </c>
      <c r="K459">
        <v>6</v>
      </c>
      <c r="L459" t="s">
        <v>836</v>
      </c>
      <c r="M459">
        <v>24</v>
      </c>
      <c r="O459" s="29" t="s">
        <v>8691</v>
      </c>
      <c r="P459" s="25" t="s">
        <v>8687</v>
      </c>
      <c r="Q459" s="25">
        <v>1228</v>
      </c>
      <c r="R459" t="s">
        <v>436</v>
      </c>
    </row>
    <row r="460" spans="1:18" hidden="1">
      <c r="A460" s="23" t="s">
        <v>941</v>
      </c>
      <c r="B460" s="23" t="s">
        <v>942</v>
      </c>
      <c r="C460" s="23">
        <v>173</v>
      </c>
      <c r="D460" t="s">
        <v>436</v>
      </c>
      <c r="I460" s="3" t="str">
        <f>+IFERROR(VLOOKUP(C460,'Mov 2023 hasta ahora '!$C$2:$D$314,2,FALSE),"NO")</f>
        <v>NO</v>
      </c>
      <c r="K460">
        <v>6</v>
      </c>
      <c r="L460" t="s">
        <v>836</v>
      </c>
      <c r="M460">
        <v>24</v>
      </c>
      <c r="O460" s="29" t="s">
        <v>8736</v>
      </c>
      <c r="P460" s="25" t="s">
        <v>8735</v>
      </c>
      <c r="Q460" s="25">
        <v>1568</v>
      </c>
      <c r="R460" t="s">
        <v>436</v>
      </c>
    </row>
    <row r="461" spans="1:18" hidden="1">
      <c r="A461" s="23" t="s">
        <v>943</v>
      </c>
      <c r="B461" s="23" t="s">
        <v>944</v>
      </c>
      <c r="C461" s="23">
        <v>174</v>
      </c>
      <c r="D461" t="s">
        <v>436</v>
      </c>
      <c r="I461" s="3" t="str">
        <f>+IFERROR(VLOOKUP(C461,'Mov 2023 hasta ahora '!$C$2:$D$314,2,FALSE),"NO")</f>
        <v>NO</v>
      </c>
      <c r="K461">
        <v>6</v>
      </c>
      <c r="L461" t="s">
        <v>836</v>
      </c>
      <c r="M461">
        <v>24</v>
      </c>
      <c r="O461" s="29" t="s">
        <v>8841</v>
      </c>
      <c r="P461" s="25" t="s">
        <v>8740</v>
      </c>
      <c r="Q461" s="25">
        <v>1573</v>
      </c>
      <c r="R461" t="s">
        <v>436</v>
      </c>
    </row>
    <row r="462" spans="1:18" hidden="1">
      <c r="A462" s="23" t="s">
        <v>945</v>
      </c>
      <c r="B462" s="23" t="s">
        <v>946</v>
      </c>
      <c r="C462" s="23">
        <v>175</v>
      </c>
      <c r="D462" t="s">
        <v>436</v>
      </c>
      <c r="I462" s="3">
        <f>+IFERROR(VLOOKUP(C462,'Mov 2023 hasta ahora '!$C$2:$D$314,2,FALSE),"NO")</f>
        <v>17</v>
      </c>
      <c r="K462">
        <v>6</v>
      </c>
      <c r="L462" t="s">
        <v>836</v>
      </c>
      <c r="M462">
        <v>24</v>
      </c>
      <c r="O462" s="29" t="s">
        <v>9169</v>
      </c>
      <c r="P462" s="25" t="s">
        <v>8694</v>
      </c>
      <c r="Q462" s="25">
        <v>175</v>
      </c>
      <c r="R462" t="s">
        <v>436</v>
      </c>
    </row>
    <row r="463" spans="1:18" hidden="1">
      <c r="A463" s="23" t="s">
        <v>947</v>
      </c>
      <c r="B463" s="23" t="s">
        <v>948</v>
      </c>
      <c r="C463" s="23">
        <v>1231</v>
      </c>
      <c r="D463" t="s">
        <v>436</v>
      </c>
      <c r="I463" s="3" t="str">
        <f>+IFERROR(VLOOKUP(C463,'Mov 2023 hasta ahora '!$C$2:$D$314,2,FALSE),"NO")</f>
        <v>NO</v>
      </c>
      <c r="K463">
        <v>6</v>
      </c>
      <c r="L463" t="s">
        <v>836</v>
      </c>
      <c r="M463">
        <v>24</v>
      </c>
      <c r="O463" s="29" t="s">
        <v>9170</v>
      </c>
      <c r="P463" s="25" t="s">
        <v>8695</v>
      </c>
      <c r="Q463" s="25">
        <v>1231</v>
      </c>
      <c r="R463" t="s">
        <v>436</v>
      </c>
    </row>
    <row r="464" spans="1:18" hidden="1">
      <c r="A464" s="23" t="s">
        <v>949</v>
      </c>
      <c r="B464" s="23" t="s">
        <v>950</v>
      </c>
      <c r="C464" s="23">
        <v>1232</v>
      </c>
      <c r="D464" t="s">
        <v>436</v>
      </c>
      <c r="I464" s="3" t="str">
        <f>+IFERROR(VLOOKUP(C464,'Mov 2023 hasta ahora '!$C$2:$D$314,2,FALSE),"NO")</f>
        <v>NO</v>
      </c>
      <c r="K464">
        <v>6</v>
      </c>
      <c r="L464" t="s">
        <v>836</v>
      </c>
      <c r="M464">
        <v>24</v>
      </c>
      <c r="O464" s="29" t="s">
        <v>9171</v>
      </c>
      <c r="P464" s="25" t="s">
        <v>8696</v>
      </c>
      <c r="Q464" s="25">
        <v>1232</v>
      </c>
      <c r="R464" t="s">
        <v>436</v>
      </c>
    </row>
    <row r="465" spans="1:18" hidden="1">
      <c r="A465" s="23" t="s">
        <v>951</v>
      </c>
      <c r="B465" s="23" t="s">
        <v>952</v>
      </c>
      <c r="C465" s="23">
        <v>3825</v>
      </c>
      <c r="D465" t="s">
        <v>436</v>
      </c>
      <c r="I465" s="3" t="str">
        <f>+IFERROR(VLOOKUP(C465,'Mov 2023 hasta ahora '!$C$2:$D$314,2,FALSE),"NO")</f>
        <v>NO</v>
      </c>
      <c r="K465">
        <v>6</v>
      </c>
      <c r="L465" t="s">
        <v>836</v>
      </c>
      <c r="M465">
        <v>24</v>
      </c>
      <c r="O465" s="25" t="s">
        <v>8690</v>
      </c>
      <c r="P465" s="25" t="s">
        <v>8697</v>
      </c>
      <c r="Q465" s="25">
        <v>3825</v>
      </c>
      <c r="R465" t="s">
        <v>436</v>
      </c>
    </row>
    <row r="466" spans="1:18" hidden="1">
      <c r="A466" s="23" t="s">
        <v>953</v>
      </c>
      <c r="B466" s="23" t="s">
        <v>954</v>
      </c>
      <c r="C466" s="23">
        <v>2945</v>
      </c>
      <c r="I466" s="3" t="str">
        <f>+IFERROR(VLOOKUP(C466,'Mov 2023 hasta ahora '!$C$2:$D$314,2,FALSE),"NO")</f>
        <v>NO</v>
      </c>
      <c r="K466">
        <v>6</v>
      </c>
      <c r="L466" t="s">
        <v>836</v>
      </c>
      <c r="M466">
        <v>23</v>
      </c>
      <c r="O466" s="29" t="s">
        <v>8674</v>
      </c>
      <c r="P466" s="25" t="s">
        <v>8731</v>
      </c>
      <c r="Q466" s="25">
        <v>1699</v>
      </c>
      <c r="R466" t="s">
        <v>436</v>
      </c>
    </row>
    <row r="467" spans="1:18" hidden="1">
      <c r="A467" t="s">
        <v>955</v>
      </c>
      <c r="B467" t="s">
        <v>956</v>
      </c>
      <c r="I467" s="3" t="str">
        <f>+IFERROR(VLOOKUP(C467,'Mov 2023 hasta ahora '!$C$2:$D$314,2,FALSE),"NO")</f>
        <v>NO</v>
      </c>
      <c r="K467">
        <v>5</v>
      </c>
      <c r="L467" t="s">
        <v>836</v>
      </c>
      <c r="M467">
        <v>18</v>
      </c>
    </row>
    <row r="468" spans="1:18" hidden="1">
      <c r="A468" s="23" t="s">
        <v>957</v>
      </c>
      <c r="B468" s="23" t="s">
        <v>958</v>
      </c>
      <c r="C468" s="23">
        <v>1226</v>
      </c>
      <c r="D468" t="s">
        <v>436</v>
      </c>
      <c r="I468" s="3" t="str">
        <f>+IFERROR(VLOOKUP(C468,'Mov 2023 hasta ahora '!$C$2:$D$314,2,FALSE),"NO")</f>
        <v>NO</v>
      </c>
      <c r="K468">
        <v>6</v>
      </c>
      <c r="L468" t="s">
        <v>836</v>
      </c>
      <c r="M468">
        <v>24</v>
      </c>
      <c r="O468" s="25" t="s">
        <v>8688</v>
      </c>
      <c r="P468" s="25" t="s">
        <v>8685</v>
      </c>
      <c r="Q468" s="25">
        <v>1226</v>
      </c>
      <c r="R468" t="s">
        <v>436</v>
      </c>
    </row>
    <row r="469" spans="1:18" hidden="1">
      <c r="A469" s="23" t="s">
        <v>959</v>
      </c>
      <c r="B469" s="23" t="s">
        <v>960</v>
      </c>
      <c r="C469" s="23">
        <v>1227</v>
      </c>
      <c r="D469" t="s">
        <v>436</v>
      </c>
      <c r="I469" s="3">
        <f>+IFERROR(VLOOKUP(C469,'Mov 2023 hasta ahora '!$C$2:$D$314,2,FALSE),"NO")</f>
        <v>20</v>
      </c>
      <c r="K469">
        <v>6</v>
      </c>
      <c r="L469" t="s">
        <v>836</v>
      </c>
      <c r="M469">
        <v>24</v>
      </c>
      <c r="O469" s="25" t="s">
        <v>8689</v>
      </c>
      <c r="P469" s="25" t="s">
        <v>8686</v>
      </c>
      <c r="Q469" s="25">
        <v>1227</v>
      </c>
      <c r="R469" t="s">
        <v>436</v>
      </c>
    </row>
    <row r="470" spans="1:18" hidden="1">
      <c r="A470" s="23" t="s">
        <v>961</v>
      </c>
      <c r="B470" s="23" t="s">
        <v>962</v>
      </c>
      <c r="C470" s="23">
        <v>1228</v>
      </c>
      <c r="D470" t="s">
        <v>436</v>
      </c>
      <c r="I470" s="3">
        <f>+IFERROR(VLOOKUP(C470,'Mov 2023 hasta ahora '!$C$2:$D$314,2,FALSE),"NO")</f>
        <v>56</v>
      </c>
      <c r="K470">
        <v>6</v>
      </c>
      <c r="L470" t="s">
        <v>836</v>
      </c>
      <c r="M470">
        <v>24</v>
      </c>
      <c r="O470" s="25" t="s">
        <v>8691</v>
      </c>
      <c r="P470" s="25" t="s">
        <v>8687</v>
      </c>
      <c r="Q470" s="25">
        <v>1228</v>
      </c>
      <c r="R470" t="s">
        <v>436</v>
      </c>
    </row>
    <row r="471" spans="1:18" hidden="1">
      <c r="A471" s="23" t="s">
        <v>963</v>
      </c>
      <c r="B471" s="23" t="s">
        <v>964</v>
      </c>
      <c r="C471" s="23">
        <v>2279</v>
      </c>
      <c r="I471" s="3" t="str">
        <f>+IFERROR(VLOOKUP(C471,'Mov 2023 hasta ahora '!$C$2:$D$314,2,FALSE),"NO")</f>
        <v>NO</v>
      </c>
      <c r="K471">
        <v>6</v>
      </c>
      <c r="L471" t="s">
        <v>836</v>
      </c>
      <c r="M471">
        <v>24</v>
      </c>
      <c r="O471" s="29" t="s">
        <v>9030</v>
      </c>
      <c r="P471" s="25" t="s">
        <v>9029</v>
      </c>
      <c r="Q471" s="25">
        <v>3817</v>
      </c>
      <c r="R471" t="s">
        <v>436</v>
      </c>
    </row>
    <row r="472" spans="1:18" hidden="1">
      <c r="A472">
        <v>4.0199999999999996</v>
      </c>
      <c r="B472" t="s">
        <v>965</v>
      </c>
      <c r="I472" s="3" t="str">
        <f>+IFERROR(VLOOKUP(C472,'Mov 2023 hasta ahora '!$C$2:$D$314,2,FALSE),"NO")</f>
        <v>NO</v>
      </c>
      <c r="K472">
        <v>2</v>
      </c>
      <c r="L472" t="s">
        <v>836</v>
      </c>
      <c r="M472">
        <v>4</v>
      </c>
    </row>
    <row r="473" spans="1:18" hidden="1">
      <c r="A473" t="s">
        <v>966</v>
      </c>
      <c r="B473" t="s">
        <v>967</v>
      </c>
      <c r="I473" s="3" t="str">
        <f>+IFERROR(VLOOKUP(C473,'Mov 2023 hasta ahora '!$C$2:$D$314,2,FALSE),"NO")</f>
        <v>NO</v>
      </c>
      <c r="K473">
        <v>3</v>
      </c>
      <c r="L473" t="s">
        <v>836</v>
      </c>
      <c r="M473">
        <v>10</v>
      </c>
    </row>
    <row r="474" spans="1:18" hidden="1">
      <c r="A474" t="s">
        <v>968</v>
      </c>
      <c r="B474" t="s">
        <v>969</v>
      </c>
      <c r="I474" s="3" t="str">
        <f>+IFERROR(VLOOKUP(C474,'Mov 2023 hasta ahora '!$C$2:$D$314,2,FALSE),"NO")</f>
        <v>NO</v>
      </c>
      <c r="K474">
        <v>4</v>
      </c>
      <c r="L474" t="s">
        <v>836</v>
      </c>
      <c r="M474">
        <v>14</v>
      </c>
    </row>
    <row r="475" spans="1:18" hidden="1">
      <c r="A475" t="s">
        <v>970</v>
      </c>
      <c r="B475" t="s">
        <v>971</v>
      </c>
      <c r="I475" s="3" t="str">
        <f>+IFERROR(VLOOKUP(C475,'Mov 2023 hasta ahora '!$C$2:$D$314,2,FALSE),"NO")</f>
        <v>NO</v>
      </c>
      <c r="K475">
        <v>5</v>
      </c>
      <c r="L475" t="s">
        <v>836</v>
      </c>
      <c r="M475">
        <v>18</v>
      </c>
    </row>
    <row r="476" spans="1:18" hidden="1">
      <c r="A476" s="23" t="s">
        <v>972</v>
      </c>
      <c r="B476" s="23" t="s">
        <v>973</v>
      </c>
      <c r="C476" s="23">
        <v>158</v>
      </c>
      <c r="D476" t="s">
        <v>436</v>
      </c>
      <c r="I476" s="3" t="str">
        <f>+IFERROR(VLOOKUP(C476,'Mov 2023 hasta ahora '!$C$2:$D$314,2,FALSE),"NO")</f>
        <v>NO</v>
      </c>
      <c r="K476">
        <v>6</v>
      </c>
      <c r="L476" t="s">
        <v>836</v>
      </c>
      <c r="M476">
        <v>24</v>
      </c>
      <c r="O476" s="29" t="s">
        <v>8679</v>
      </c>
      <c r="P476" s="25" t="s">
        <v>8677</v>
      </c>
      <c r="Q476" s="25">
        <v>2450</v>
      </c>
      <c r="R476" t="s">
        <v>436</v>
      </c>
    </row>
    <row r="477" spans="1:18" hidden="1">
      <c r="A477" s="23" t="s">
        <v>974</v>
      </c>
      <c r="B477" s="23" t="s">
        <v>975</v>
      </c>
      <c r="C477" s="23">
        <v>1772</v>
      </c>
      <c r="D477" t="s">
        <v>436</v>
      </c>
      <c r="I477" s="3" t="str">
        <f>+IFERROR(VLOOKUP(C477,'Mov 2023 hasta ahora '!$C$2:$D$314,2,FALSE),"NO")</f>
        <v>NO</v>
      </c>
      <c r="K477">
        <v>6</v>
      </c>
      <c r="L477" t="s">
        <v>836</v>
      </c>
      <c r="M477">
        <v>24</v>
      </c>
      <c r="O477" s="29" t="s">
        <v>8844</v>
      </c>
      <c r="P477" s="25" t="s">
        <v>8699</v>
      </c>
      <c r="Q477" s="25">
        <v>1814</v>
      </c>
      <c r="R477" t="s">
        <v>436</v>
      </c>
    </row>
    <row r="478" spans="1:18" hidden="1">
      <c r="A478" s="23" t="s">
        <v>976</v>
      </c>
      <c r="B478" s="23" t="s">
        <v>977</v>
      </c>
      <c r="C478" s="23">
        <v>1780</v>
      </c>
      <c r="D478" t="s">
        <v>436</v>
      </c>
      <c r="I478" s="3" t="str">
        <f>+IFERROR(VLOOKUP(C478,'Mov 2023 hasta ahora '!$C$2:$D$314,2,FALSE),"NO")</f>
        <v>NO</v>
      </c>
      <c r="K478">
        <v>6</v>
      </c>
      <c r="L478" t="s">
        <v>836</v>
      </c>
      <c r="M478">
        <v>24</v>
      </c>
      <c r="O478" s="29" t="s">
        <v>8844</v>
      </c>
      <c r="P478" s="25" t="s">
        <v>8699</v>
      </c>
      <c r="Q478" s="25">
        <v>1814</v>
      </c>
      <c r="R478" t="s">
        <v>436</v>
      </c>
    </row>
    <row r="479" spans="1:18" hidden="1">
      <c r="A479" s="23" t="s">
        <v>978</v>
      </c>
      <c r="B479" s="23" t="s">
        <v>979</v>
      </c>
      <c r="C479" s="23">
        <v>1788</v>
      </c>
      <c r="D479" t="s">
        <v>436</v>
      </c>
      <c r="I479" s="3" t="str">
        <f>+IFERROR(VLOOKUP(C479,'Mov 2023 hasta ahora '!$C$2:$D$314,2,FALSE),"NO")</f>
        <v>NO</v>
      </c>
      <c r="K479">
        <v>6</v>
      </c>
      <c r="L479" t="s">
        <v>836</v>
      </c>
      <c r="M479">
        <v>24</v>
      </c>
      <c r="O479" s="29" t="s">
        <v>8844</v>
      </c>
      <c r="P479" s="25" t="s">
        <v>8699</v>
      </c>
      <c r="Q479" s="25">
        <v>1814</v>
      </c>
      <c r="R479" t="s">
        <v>436</v>
      </c>
    </row>
    <row r="480" spans="1:18" hidden="1">
      <c r="A480" s="23" t="s">
        <v>980</v>
      </c>
      <c r="B480" s="23" t="s">
        <v>981</v>
      </c>
      <c r="C480" s="23">
        <v>1796</v>
      </c>
      <c r="D480" t="s">
        <v>436</v>
      </c>
      <c r="I480" s="3" t="str">
        <f>+IFERROR(VLOOKUP(C480,'Mov 2023 hasta ahora '!$C$2:$D$314,2,FALSE),"NO")</f>
        <v>NO</v>
      </c>
      <c r="K480">
        <v>6</v>
      </c>
      <c r="L480" t="s">
        <v>836</v>
      </c>
      <c r="M480">
        <v>24</v>
      </c>
      <c r="O480" s="29" t="s">
        <v>8678</v>
      </c>
      <c r="P480" s="25" t="s">
        <v>8700</v>
      </c>
      <c r="Q480" s="25">
        <v>1806</v>
      </c>
      <c r="R480" t="s">
        <v>436</v>
      </c>
    </row>
    <row r="481" spans="1:18" hidden="1">
      <c r="A481" s="23" t="s">
        <v>982</v>
      </c>
      <c r="B481" s="23" t="s">
        <v>983</v>
      </c>
      <c r="C481" s="23">
        <v>1805</v>
      </c>
      <c r="D481" t="s">
        <v>436</v>
      </c>
      <c r="I481" s="3" t="str">
        <f>+IFERROR(VLOOKUP(C481,'Mov 2023 hasta ahora '!$C$2:$D$314,2,FALSE),"NO")</f>
        <v>NO</v>
      </c>
      <c r="K481">
        <v>6</v>
      </c>
      <c r="L481" t="s">
        <v>836</v>
      </c>
      <c r="M481">
        <v>24</v>
      </c>
      <c r="O481" s="29" t="s">
        <v>8678</v>
      </c>
      <c r="P481" s="25" t="s">
        <v>8700</v>
      </c>
      <c r="Q481" s="25">
        <v>1806</v>
      </c>
      <c r="R481" t="s">
        <v>436</v>
      </c>
    </row>
    <row r="482" spans="1:18" hidden="1">
      <c r="A482" s="23" t="s">
        <v>984</v>
      </c>
      <c r="B482" s="23" t="s">
        <v>985</v>
      </c>
      <c r="C482" s="23">
        <v>1813</v>
      </c>
      <c r="D482" t="s">
        <v>436</v>
      </c>
      <c r="I482" s="3" t="str">
        <f>+IFERROR(VLOOKUP(C482,'Mov 2023 hasta ahora '!$C$2:$D$314,2,FALSE),"NO")</f>
        <v>NO</v>
      </c>
      <c r="K482">
        <v>6</v>
      </c>
      <c r="L482" t="s">
        <v>836</v>
      </c>
      <c r="M482">
        <v>24</v>
      </c>
      <c r="O482" s="29" t="s">
        <v>8844</v>
      </c>
      <c r="P482" s="25" t="s">
        <v>8699</v>
      </c>
      <c r="Q482" s="25">
        <v>1814</v>
      </c>
      <c r="R482" t="s">
        <v>436</v>
      </c>
    </row>
    <row r="483" spans="1:18" hidden="1">
      <c r="A483" t="s">
        <v>986</v>
      </c>
      <c r="B483" t="s">
        <v>987</v>
      </c>
      <c r="I483" s="3" t="str">
        <f>+IFERROR(VLOOKUP(C483,'Mov 2023 hasta ahora '!$C$2:$D$314,2,FALSE),"NO")</f>
        <v>NO</v>
      </c>
      <c r="K483">
        <v>4</v>
      </c>
      <c r="L483" t="s">
        <v>836</v>
      </c>
      <c r="M483">
        <v>14</v>
      </c>
    </row>
    <row r="484" spans="1:18" hidden="1">
      <c r="A484" t="s">
        <v>988</v>
      </c>
      <c r="B484" t="s">
        <v>989</v>
      </c>
      <c r="I484" s="3" t="str">
        <f>+IFERROR(VLOOKUP(C484,'Mov 2023 hasta ahora '!$C$2:$D$314,2,FALSE),"NO")</f>
        <v>NO</v>
      </c>
      <c r="K484">
        <v>5</v>
      </c>
      <c r="L484" t="s">
        <v>836</v>
      </c>
      <c r="M484">
        <v>18</v>
      </c>
    </row>
    <row r="485" spans="1:18" hidden="1">
      <c r="A485" s="23" t="s">
        <v>990</v>
      </c>
      <c r="B485" s="23" t="s">
        <v>991</v>
      </c>
      <c r="C485" s="23">
        <v>1425</v>
      </c>
      <c r="D485" t="s">
        <v>436</v>
      </c>
      <c r="I485" s="3" t="str">
        <f>+IFERROR(VLOOKUP(C485,'Mov 2023 hasta ahora '!$C$2:$D$314,2,FALSE),"NO")</f>
        <v>NO</v>
      </c>
      <c r="K485">
        <v>6</v>
      </c>
      <c r="L485" t="s">
        <v>836</v>
      </c>
      <c r="M485">
        <v>24</v>
      </c>
      <c r="O485" s="29" t="s">
        <v>8698</v>
      </c>
      <c r="P485" s="25" t="s">
        <v>8692</v>
      </c>
      <c r="Q485" s="25">
        <v>3881</v>
      </c>
      <c r="R485" t="s">
        <v>436</v>
      </c>
    </row>
    <row r="486" spans="1:18" hidden="1">
      <c r="A486" t="s">
        <v>992</v>
      </c>
      <c r="B486" t="s">
        <v>993</v>
      </c>
      <c r="I486" s="3" t="str">
        <f>+IFERROR(VLOOKUP(C486,'Mov 2023 hasta ahora '!$C$2:$D$314,2,FALSE),"NO")</f>
        <v>NO</v>
      </c>
      <c r="K486">
        <v>3</v>
      </c>
      <c r="L486" t="s">
        <v>836</v>
      </c>
      <c r="M486">
        <v>10</v>
      </c>
    </row>
    <row r="487" spans="1:18" hidden="1">
      <c r="A487" t="s">
        <v>994</v>
      </c>
      <c r="B487" t="s">
        <v>995</v>
      </c>
      <c r="I487" s="3" t="str">
        <f>+IFERROR(VLOOKUP(C487,'Mov 2023 hasta ahora '!$C$2:$D$314,2,FALSE),"NO")</f>
        <v>NO</v>
      </c>
      <c r="K487">
        <v>4</v>
      </c>
      <c r="L487" t="s">
        <v>836</v>
      </c>
      <c r="M487">
        <v>14</v>
      </c>
    </row>
    <row r="488" spans="1:18" hidden="1">
      <c r="A488" t="s">
        <v>996</v>
      </c>
      <c r="B488" t="s">
        <v>997</v>
      </c>
      <c r="I488" s="3" t="str">
        <f>+IFERROR(VLOOKUP(C488,'Mov 2023 hasta ahora '!$C$2:$D$314,2,FALSE),"NO")</f>
        <v>NO</v>
      </c>
      <c r="K488">
        <v>5</v>
      </c>
      <c r="L488" t="s">
        <v>836</v>
      </c>
      <c r="M488">
        <v>18</v>
      </c>
    </row>
    <row r="489" spans="1:18" hidden="1">
      <c r="A489" s="23" t="s">
        <v>998</v>
      </c>
      <c r="B489" s="23" t="s">
        <v>999</v>
      </c>
      <c r="C489" s="23">
        <v>159</v>
      </c>
      <c r="D489" t="s">
        <v>436</v>
      </c>
      <c r="I489" s="3" t="str">
        <f>+IFERROR(VLOOKUP(C489,'Mov 2023 hasta ahora '!$C$2:$D$314,2,FALSE),"NO")</f>
        <v>NO</v>
      </c>
      <c r="K489">
        <v>6</v>
      </c>
      <c r="L489" t="s">
        <v>836</v>
      </c>
      <c r="M489">
        <v>24</v>
      </c>
      <c r="O489" s="29" t="s">
        <v>8679</v>
      </c>
      <c r="P489" s="25" t="s">
        <v>8677</v>
      </c>
      <c r="Q489" s="25">
        <v>2450</v>
      </c>
      <c r="R489" t="s">
        <v>436</v>
      </c>
    </row>
    <row r="490" spans="1:18" hidden="1">
      <c r="A490" s="23" t="s">
        <v>1000</v>
      </c>
      <c r="B490" s="23" t="s">
        <v>1001</v>
      </c>
      <c r="C490" s="23">
        <v>1773</v>
      </c>
      <c r="D490" t="s">
        <v>436</v>
      </c>
      <c r="I490" s="3" t="str">
        <f>+IFERROR(VLOOKUP(C490,'Mov 2023 hasta ahora '!$C$2:$D$314,2,FALSE),"NO")</f>
        <v>NO</v>
      </c>
      <c r="K490">
        <v>6</v>
      </c>
      <c r="L490" t="s">
        <v>836</v>
      </c>
      <c r="M490">
        <v>24</v>
      </c>
      <c r="O490" s="29" t="s">
        <v>8844</v>
      </c>
      <c r="P490" s="25" t="s">
        <v>8699</v>
      </c>
      <c r="Q490" s="25">
        <v>1814</v>
      </c>
      <c r="R490" t="s">
        <v>436</v>
      </c>
    </row>
    <row r="491" spans="1:18" hidden="1">
      <c r="A491" s="23" t="s">
        <v>1002</v>
      </c>
      <c r="B491" s="23" t="s">
        <v>1003</v>
      </c>
      <c r="C491" s="23">
        <v>1781</v>
      </c>
      <c r="D491" t="s">
        <v>436</v>
      </c>
      <c r="I491" s="3" t="str">
        <f>+IFERROR(VLOOKUP(C491,'Mov 2023 hasta ahora '!$C$2:$D$314,2,FALSE),"NO")</f>
        <v>NO</v>
      </c>
      <c r="K491">
        <v>6</v>
      </c>
      <c r="L491" t="s">
        <v>836</v>
      </c>
      <c r="M491">
        <v>24</v>
      </c>
      <c r="O491" s="29" t="s">
        <v>8844</v>
      </c>
      <c r="P491" s="25" t="s">
        <v>8699</v>
      </c>
      <c r="Q491" s="25">
        <v>1814</v>
      </c>
      <c r="R491" t="s">
        <v>436</v>
      </c>
    </row>
    <row r="492" spans="1:18" hidden="1">
      <c r="A492" s="23" t="s">
        <v>1004</v>
      </c>
      <c r="B492" s="23" t="s">
        <v>1005</v>
      </c>
      <c r="C492" s="23">
        <v>1789</v>
      </c>
      <c r="D492" t="s">
        <v>436</v>
      </c>
      <c r="I492" s="3" t="str">
        <f>+IFERROR(VLOOKUP(C492,'Mov 2023 hasta ahora '!$C$2:$D$314,2,FALSE),"NO")</f>
        <v>NO</v>
      </c>
      <c r="K492">
        <v>6</v>
      </c>
      <c r="L492" t="s">
        <v>836</v>
      </c>
      <c r="M492">
        <v>24</v>
      </c>
      <c r="O492" s="29" t="s">
        <v>8844</v>
      </c>
      <c r="P492" s="25" t="s">
        <v>8699</v>
      </c>
      <c r="Q492" s="25">
        <v>1814</v>
      </c>
      <c r="R492" t="s">
        <v>436</v>
      </c>
    </row>
    <row r="493" spans="1:18" hidden="1">
      <c r="A493" s="23" t="s">
        <v>1006</v>
      </c>
      <c r="B493" s="23" t="s">
        <v>1007</v>
      </c>
      <c r="C493" s="23">
        <v>1797</v>
      </c>
      <c r="D493" t="s">
        <v>436</v>
      </c>
      <c r="I493" s="3" t="str">
        <f>+IFERROR(VLOOKUP(C493,'Mov 2023 hasta ahora '!$C$2:$D$314,2,FALSE),"NO")</f>
        <v>NO</v>
      </c>
      <c r="K493">
        <v>6</v>
      </c>
      <c r="L493" t="s">
        <v>836</v>
      </c>
      <c r="M493">
        <v>24</v>
      </c>
      <c r="O493" s="29" t="s">
        <v>8678</v>
      </c>
      <c r="P493" s="25" t="s">
        <v>8700</v>
      </c>
      <c r="Q493" s="25">
        <v>1806</v>
      </c>
      <c r="R493" t="s">
        <v>436</v>
      </c>
    </row>
    <row r="494" spans="1:18" hidden="1">
      <c r="A494" s="23" t="s">
        <v>1008</v>
      </c>
      <c r="B494" s="23" t="s">
        <v>1009</v>
      </c>
      <c r="C494" s="23">
        <v>1806</v>
      </c>
      <c r="D494" t="s">
        <v>436</v>
      </c>
      <c r="I494" s="3" t="str">
        <f>+IFERROR(VLOOKUP(C494,'Mov 2023 hasta ahora '!$C$2:$D$314,2,FALSE),"NO")</f>
        <v>NO</v>
      </c>
      <c r="K494">
        <v>6</v>
      </c>
      <c r="L494" t="s">
        <v>836</v>
      </c>
      <c r="M494">
        <v>24</v>
      </c>
      <c r="O494" s="25" t="s">
        <v>8678</v>
      </c>
      <c r="P494" s="25" t="s">
        <v>8700</v>
      </c>
      <c r="Q494" s="25">
        <v>1806</v>
      </c>
      <c r="R494" t="s">
        <v>436</v>
      </c>
    </row>
    <row r="495" spans="1:18" hidden="1">
      <c r="A495" s="23" t="s">
        <v>1010</v>
      </c>
      <c r="B495" s="23" t="s">
        <v>1011</v>
      </c>
      <c r="C495" s="23">
        <v>1814</v>
      </c>
      <c r="D495" t="s">
        <v>436</v>
      </c>
      <c r="I495" s="3" t="str">
        <f>+IFERROR(VLOOKUP(C495,'Mov 2023 hasta ahora '!$C$2:$D$314,2,FALSE),"NO")</f>
        <v>NO</v>
      </c>
      <c r="K495">
        <v>6</v>
      </c>
      <c r="L495" t="s">
        <v>836</v>
      </c>
      <c r="M495">
        <v>24</v>
      </c>
      <c r="O495" s="29" t="s">
        <v>8844</v>
      </c>
      <c r="P495" s="25" t="s">
        <v>8699</v>
      </c>
      <c r="Q495" s="25">
        <v>1814</v>
      </c>
      <c r="R495" t="s">
        <v>436</v>
      </c>
    </row>
    <row r="496" spans="1:18" hidden="1">
      <c r="A496" t="s">
        <v>1012</v>
      </c>
      <c r="B496" t="s">
        <v>1013</v>
      </c>
      <c r="I496" s="3" t="str">
        <f>+IFERROR(VLOOKUP(C496,'Mov 2023 hasta ahora '!$C$2:$D$314,2,FALSE),"NO")</f>
        <v>NO</v>
      </c>
      <c r="K496">
        <v>4</v>
      </c>
      <c r="L496" t="s">
        <v>836</v>
      </c>
      <c r="M496">
        <v>14</v>
      </c>
    </row>
    <row r="497" spans="1:18" hidden="1">
      <c r="A497" t="s">
        <v>1014</v>
      </c>
      <c r="B497" t="s">
        <v>1015</v>
      </c>
      <c r="I497" s="3" t="str">
        <f>+IFERROR(VLOOKUP(C497,'Mov 2023 hasta ahora '!$C$2:$D$314,2,FALSE),"NO")</f>
        <v>NO</v>
      </c>
      <c r="K497">
        <v>5</v>
      </c>
      <c r="L497" t="s">
        <v>836</v>
      </c>
      <c r="M497">
        <v>18</v>
      </c>
    </row>
    <row r="498" spans="1:18" hidden="1">
      <c r="A498" s="23" t="s">
        <v>1016</v>
      </c>
      <c r="B498" s="23" t="s">
        <v>1017</v>
      </c>
      <c r="C498" s="23">
        <v>1426</v>
      </c>
      <c r="D498" t="s">
        <v>436</v>
      </c>
      <c r="I498" s="3" t="str">
        <f>+IFERROR(VLOOKUP(C498,'Mov 2023 hasta ahora '!$C$2:$D$314,2,FALSE),"NO")</f>
        <v>NO</v>
      </c>
      <c r="K498">
        <v>6</v>
      </c>
      <c r="L498" t="s">
        <v>836</v>
      </c>
      <c r="M498">
        <v>24</v>
      </c>
      <c r="O498" s="29" t="s">
        <v>8698</v>
      </c>
      <c r="P498" s="25" t="s">
        <v>8692</v>
      </c>
      <c r="Q498" s="25">
        <v>3881</v>
      </c>
      <c r="R498" t="s">
        <v>436</v>
      </c>
    </row>
    <row r="499" spans="1:18" hidden="1">
      <c r="A499" t="s">
        <v>1018</v>
      </c>
      <c r="B499" t="s">
        <v>1019</v>
      </c>
      <c r="I499" s="3" t="str">
        <f>+IFERROR(VLOOKUP(C499,'Mov 2023 hasta ahora '!$C$2:$D$314,2,FALSE),"NO")</f>
        <v>NO</v>
      </c>
      <c r="K499">
        <v>3</v>
      </c>
      <c r="L499" t="s">
        <v>836</v>
      </c>
      <c r="M499">
        <v>10</v>
      </c>
    </row>
    <row r="500" spans="1:18" hidden="1">
      <c r="A500" t="s">
        <v>1020</v>
      </c>
      <c r="B500" t="s">
        <v>1021</v>
      </c>
      <c r="I500" s="3" t="str">
        <f>+IFERROR(VLOOKUP(C500,'Mov 2023 hasta ahora '!$C$2:$D$314,2,FALSE),"NO")</f>
        <v>NO</v>
      </c>
      <c r="K500">
        <v>4</v>
      </c>
      <c r="L500" t="s">
        <v>836</v>
      </c>
      <c r="M500">
        <v>14</v>
      </c>
    </row>
    <row r="501" spans="1:18" hidden="1">
      <c r="A501" t="s">
        <v>1022</v>
      </c>
      <c r="B501" t="s">
        <v>1023</v>
      </c>
      <c r="I501" s="3" t="str">
        <f>+IFERROR(VLOOKUP(C501,'Mov 2023 hasta ahora '!$C$2:$D$314,2,FALSE),"NO")</f>
        <v>NO</v>
      </c>
      <c r="K501">
        <v>5</v>
      </c>
      <c r="L501" t="s">
        <v>836</v>
      </c>
      <c r="M501">
        <v>18</v>
      </c>
    </row>
    <row r="502" spans="1:18" hidden="1">
      <c r="A502" s="23" t="s">
        <v>1024</v>
      </c>
      <c r="B502" s="23" t="s">
        <v>1025</v>
      </c>
      <c r="C502" s="23">
        <v>160</v>
      </c>
      <c r="D502" t="s">
        <v>436</v>
      </c>
      <c r="I502" s="3" t="str">
        <f>+IFERROR(VLOOKUP(C502,'Mov 2023 hasta ahora '!$C$2:$D$314,2,FALSE),"NO")</f>
        <v>NO</v>
      </c>
      <c r="K502">
        <v>6</v>
      </c>
      <c r="L502" t="s">
        <v>836</v>
      </c>
      <c r="M502">
        <v>24</v>
      </c>
      <c r="O502" s="29" t="s">
        <v>8679</v>
      </c>
      <c r="P502" s="25" t="s">
        <v>8677</v>
      </c>
      <c r="Q502" s="25">
        <v>2450</v>
      </c>
      <c r="R502" t="s">
        <v>436</v>
      </c>
    </row>
    <row r="503" spans="1:18" hidden="1">
      <c r="A503" s="23" t="s">
        <v>1026</v>
      </c>
      <c r="B503" s="23" t="s">
        <v>1027</v>
      </c>
      <c r="C503" s="23">
        <v>1774</v>
      </c>
      <c r="D503" t="s">
        <v>436</v>
      </c>
      <c r="I503" s="3" t="str">
        <f>+IFERROR(VLOOKUP(C503,'Mov 2023 hasta ahora '!$C$2:$D$314,2,FALSE),"NO")</f>
        <v>NO</v>
      </c>
      <c r="K503">
        <v>6</v>
      </c>
      <c r="L503" t="s">
        <v>836</v>
      </c>
      <c r="M503">
        <v>24</v>
      </c>
      <c r="O503" s="29" t="s">
        <v>8844</v>
      </c>
      <c r="P503" s="25" t="s">
        <v>8699</v>
      </c>
      <c r="Q503" s="25">
        <v>1814</v>
      </c>
      <c r="R503" t="s">
        <v>436</v>
      </c>
    </row>
    <row r="504" spans="1:18" hidden="1">
      <c r="A504" s="23" t="s">
        <v>1028</v>
      </c>
      <c r="B504" s="23" t="s">
        <v>1029</v>
      </c>
      <c r="C504" s="23">
        <v>1782</v>
      </c>
      <c r="D504" t="s">
        <v>436</v>
      </c>
      <c r="I504" s="3" t="str">
        <f>+IFERROR(VLOOKUP(C504,'Mov 2023 hasta ahora '!$C$2:$D$314,2,FALSE),"NO")</f>
        <v>NO</v>
      </c>
      <c r="K504">
        <v>6</v>
      </c>
      <c r="L504" t="s">
        <v>836</v>
      </c>
      <c r="M504">
        <v>24</v>
      </c>
      <c r="O504" s="29" t="s">
        <v>8844</v>
      </c>
      <c r="P504" s="25" t="s">
        <v>8699</v>
      </c>
      <c r="Q504" s="25">
        <v>1814</v>
      </c>
      <c r="R504" t="s">
        <v>436</v>
      </c>
    </row>
    <row r="505" spans="1:18" hidden="1">
      <c r="A505" s="23" t="s">
        <v>1030</v>
      </c>
      <c r="B505" s="23" t="s">
        <v>1031</v>
      </c>
      <c r="C505" s="23">
        <v>1790</v>
      </c>
      <c r="D505" t="s">
        <v>436</v>
      </c>
      <c r="I505" s="3" t="str">
        <f>+IFERROR(VLOOKUP(C505,'Mov 2023 hasta ahora '!$C$2:$D$314,2,FALSE),"NO")</f>
        <v>NO</v>
      </c>
      <c r="K505">
        <v>6</v>
      </c>
      <c r="L505" t="s">
        <v>836</v>
      </c>
      <c r="M505">
        <v>24</v>
      </c>
      <c r="O505" s="29" t="s">
        <v>8844</v>
      </c>
      <c r="P505" s="25" t="s">
        <v>8699</v>
      </c>
      <c r="Q505" s="25">
        <v>1814</v>
      </c>
      <c r="R505" t="s">
        <v>436</v>
      </c>
    </row>
    <row r="506" spans="1:18" hidden="1">
      <c r="A506" s="23" t="s">
        <v>1032</v>
      </c>
      <c r="B506" s="23" t="s">
        <v>1033</v>
      </c>
      <c r="C506" s="23">
        <v>1798</v>
      </c>
      <c r="D506" t="s">
        <v>436</v>
      </c>
      <c r="I506" s="3" t="str">
        <f>+IFERROR(VLOOKUP(C506,'Mov 2023 hasta ahora '!$C$2:$D$314,2,FALSE),"NO")</f>
        <v>NO</v>
      </c>
      <c r="K506">
        <v>6</v>
      </c>
      <c r="L506" t="s">
        <v>836</v>
      </c>
      <c r="M506">
        <v>24</v>
      </c>
      <c r="O506" s="29" t="s">
        <v>8678</v>
      </c>
      <c r="P506" s="25" t="s">
        <v>8700</v>
      </c>
      <c r="Q506" s="25">
        <v>1806</v>
      </c>
      <c r="R506" t="s">
        <v>436</v>
      </c>
    </row>
    <row r="507" spans="1:18" hidden="1">
      <c r="A507" s="23" t="s">
        <v>1034</v>
      </c>
      <c r="B507" s="23" t="s">
        <v>1035</v>
      </c>
      <c r="C507" s="23">
        <v>1807</v>
      </c>
      <c r="D507" t="s">
        <v>436</v>
      </c>
      <c r="I507" s="3" t="str">
        <f>+IFERROR(VLOOKUP(C507,'Mov 2023 hasta ahora '!$C$2:$D$314,2,FALSE),"NO")</f>
        <v>NO</v>
      </c>
      <c r="K507">
        <v>6</v>
      </c>
      <c r="L507" t="s">
        <v>836</v>
      </c>
      <c r="M507">
        <v>24</v>
      </c>
      <c r="O507" s="29" t="s">
        <v>8678</v>
      </c>
      <c r="P507" s="25" t="s">
        <v>8700</v>
      </c>
      <c r="Q507" s="25">
        <v>1806</v>
      </c>
      <c r="R507" t="s">
        <v>436</v>
      </c>
    </row>
    <row r="508" spans="1:18" hidden="1">
      <c r="A508" s="23" t="s">
        <v>1036</v>
      </c>
      <c r="B508" s="23" t="s">
        <v>1037</v>
      </c>
      <c r="C508" s="23">
        <v>1815</v>
      </c>
      <c r="D508" t="s">
        <v>436</v>
      </c>
      <c r="I508" s="3" t="str">
        <f>+IFERROR(VLOOKUP(C508,'Mov 2023 hasta ahora '!$C$2:$D$314,2,FALSE),"NO")</f>
        <v>NO</v>
      </c>
      <c r="K508">
        <v>6</v>
      </c>
      <c r="L508" t="s">
        <v>836</v>
      </c>
      <c r="M508">
        <v>24</v>
      </c>
      <c r="O508" s="29" t="s">
        <v>8844</v>
      </c>
      <c r="P508" s="25" t="s">
        <v>8699</v>
      </c>
      <c r="Q508" s="25">
        <v>1814</v>
      </c>
      <c r="R508" t="s">
        <v>436</v>
      </c>
    </row>
    <row r="509" spans="1:18" hidden="1">
      <c r="A509" t="s">
        <v>1038</v>
      </c>
      <c r="B509" t="s">
        <v>1039</v>
      </c>
      <c r="I509" s="3" t="str">
        <f>+IFERROR(VLOOKUP(C509,'Mov 2023 hasta ahora '!$C$2:$D$314,2,FALSE),"NO")</f>
        <v>NO</v>
      </c>
      <c r="K509">
        <v>4</v>
      </c>
      <c r="L509" t="s">
        <v>836</v>
      </c>
      <c r="M509">
        <v>14</v>
      </c>
    </row>
    <row r="510" spans="1:18" hidden="1">
      <c r="A510" t="s">
        <v>1040</v>
      </c>
      <c r="B510" t="s">
        <v>1041</v>
      </c>
      <c r="I510" s="3" t="str">
        <f>+IFERROR(VLOOKUP(C510,'Mov 2023 hasta ahora '!$C$2:$D$314,2,FALSE),"NO")</f>
        <v>NO</v>
      </c>
      <c r="K510">
        <v>5</v>
      </c>
      <c r="L510" t="s">
        <v>836</v>
      </c>
      <c r="M510">
        <v>18</v>
      </c>
    </row>
    <row r="511" spans="1:18" hidden="1">
      <c r="A511" s="23" t="s">
        <v>1042</v>
      </c>
      <c r="B511" s="23" t="s">
        <v>1043</v>
      </c>
      <c r="C511" s="23">
        <v>1427</v>
      </c>
      <c r="D511" t="s">
        <v>436</v>
      </c>
      <c r="I511" s="3" t="str">
        <f>+IFERROR(VLOOKUP(C511,'Mov 2023 hasta ahora '!$C$2:$D$314,2,FALSE),"NO")</f>
        <v>NO</v>
      </c>
      <c r="K511">
        <v>6</v>
      </c>
      <c r="L511" t="s">
        <v>836</v>
      </c>
      <c r="M511">
        <v>24</v>
      </c>
      <c r="O511" s="29" t="s">
        <v>8698</v>
      </c>
      <c r="P511" s="25" t="s">
        <v>8692</v>
      </c>
      <c r="Q511" s="25">
        <v>3881</v>
      </c>
      <c r="R511" t="s">
        <v>436</v>
      </c>
    </row>
    <row r="512" spans="1:18" hidden="1">
      <c r="A512" t="s">
        <v>1044</v>
      </c>
      <c r="B512" t="s">
        <v>1045</v>
      </c>
      <c r="I512" s="3" t="str">
        <f>+IFERROR(VLOOKUP(C512,'Mov 2023 hasta ahora '!$C$2:$D$314,2,FALSE),"NO")</f>
        <v>NO</v>
      </c>
      <c r="K512">
        <v>3</v>
      </c>
      <c r="L512" t="s">
        <v>836</v>
      </c>
      <c r="M512">
        <v>10</v>
      </c>
    </row>
    <row r="513" spans="1:18" hidden="1">
      <c r="A513" t="s">
        <v>1046</v>
      </c>
      <c r="B513" t="s">
        <v>1047</v>
      </c>
      <c r="I513" s="3" t="str">
        <f>+IFERROR(VLOOKUP(C513,'Mov 2023 hasta ahora '!$C$2:$D$314,2,FALSE),"NO")</f>
        <v>NO</v>
      </c>
      <c r="K513">
        <v>4</v>
      </c>
      <c r="L513" t="s">
        <v>836</v>
      </c>
      <c r="M513">
        <v>14</v>
      </c>
    </row>
    <row r="514" spans="1:18" hidden="1">
      <c r="A514" t="s">
        <v>1048</v>
      </c>
      <c r="B514" t="s">
        <v>1049</v>
      </c>
      <c r="I514" s="3" t="str">
        <f>+IFERROR(VLOOKUP(C514,'Mov 2023 hasta ahora '!$C$2:$D$314,2,FALSE),"NO")</f>
        <v>NO</v>
      </c>
      <c r="K514">
        <v>5</v>
      </c>
      <c r="L514" t="s">
        <v>836</v>
      </c>
      <c r="M514">
        <v>18</v>
      </c>
    </row>
    <row r="515" spans="1:18" hidden="1">
      <c r="A515" s="23" t="s">
        <v>1050</v>
      </c>
      <c r="B515" s="23" t="s">
        <v>1051</v>
      </c>
      <c r="C515" s="23">
        <v>161</v>
      </c>
      <c r="D515" t="s">
        <v>436</v>
      </c>
      <c r="I515" s="3" t="str">
        <f>+IFERROR(VLOOKUP(C515,'Mov 2023 hasta ahora '!$C$2:$D$314,2,FALSE),"NO")</f>
        <v>NO</v>
      </c>
      <c r="K515">
        <v>6</v>
      </c>
      <c r="L515" t="s">
        <v>836</v>
      </c>
      <c r="M515">
        <v>24</v>
      </c>
      <c r="O515" s="29" t="s">
        <v>8679</v>
      </c>
      <c r="P515" s="25" t="s">
        <v>8677</v>
      </c>
      <c r="Q515" s="25">
        <v>2450</v>
      </c>
      <c r="R515" t="s">
        <v>436</v>
      </c>
    </row>
    <row r="516" spans="1:18" hidden="1">
      <c r="A516" s="23" t="s">
        <v>1052</v>
      </c>
      <c r="B516" s="23" t="s">
        <v>1053</v>
      </c>
      <c r="C516" s="23">
        <v>1775</v>
      </c>
      <c r="D516" t="s">
        <v>436</v>
      </c>
      <c r="I516" s="3" t="str">
        <f>+IFERROR(VLOOKUP(C516,'Mov 2023 hasta ahora '!$C$2:$D$314,2,FALSE),"NO")</f>
        <v>NO</v>
      </c>
      <c r="K516">
        <v>6</v>
      </c>
      <c r="L516" t="s">
        <v>836</v>
      </c>
      <c r="M516">
        <v>24</v>
      </c>
      <c r="O516" s="29" t="s">
        <v>8844</v>
      </c>
      <c r="P516" s="25" t="s">
        <v>8699</v>
      </c>
      <c r="Q516" s="25">
        <v>1814</v>
      </c>
      <c r="R516" t="s">
        <v>436</v>
      </c>
    </row>
    <row r="517" spans="1:18" hidden="1">
      <c r="A517" s="23" t="s">
        <v>1054</v>
      </c>
      <c r="B517" s="23" t="s">
        <v>1055</v>
      </c>
      <c r="C517" s="23">
        <v>1783</v>
      </c>
      <c r="D517" t="s">
        <v>436</v>
      </c>
      <c r="I517" s="3" t="str">
        <f>+IFERROR(VLOOKUP(C517,'Mov 2023 hasta ahora '!$C$2:$D$314,2,FALSE),"NO")</f>
        <v>NO</v>
      </c>
      <c r="K517">
        <v>6</v>
      </c>
      <c r="L517" t="s">
        <v>836</v>
      </c>
      <c r="M517">
        <v>24</v>
      </c>
      <c r="O517" s="29" t="s">
        <v>8844</v>
      </c>
      <c r="P517" s="25" t="s">
        <v>8699</v>
      </c>
      <c r="Q517" s="25">
        <v>1814</v>
      </c>
      <c r="R517" t="s">
        <v>436</v>
      </c>
    </row>
    <row r="518" spans="1:18" hidden="1">
      <c r="A518" s="23" t="s">
        <v>1056</v>
      </c>
      <c r="B518" s="23" t="s">
        <v>1057</v>
      </c>
      <c r="C518" s="23">
        <v>1791</v>
      </c>
      <c r="D518" t="s">
        <v>436</v>
      </c>
      <c r="I518" s="3" t="str">
        <f>+IFERROR(VLOOKUP(C518,'Mov 2023 hasta ahora '!$C$2:$D$314,2,FALSE),"NO")</f>
        <v>NO</v>
      </c>
      <c r="K518">
        <v>6</v>
      </c>
      <c r="L518" t="s">
        <v>836</v>
      </c>
      <c r="M518">
        <v>24</v>
      </c>
      <c r="O518" s="29" t="s">
        <v>8844</v>
      </c>
      <c r="P518" s="25" t="s">
        <v>8699</v>
      </c>
      <c r="Q518" s="25">
        <v>1814</v>
      </c>
      <c r="R518" t="s">
        <v>436</v>
      </c>
    </row>
    <row r="519" spans="1:18" hidden="1">
      <c r="A519" s="23" t="s">
        <v>1058</v>
      </c>
      <c r="B519" s="23" t="s">
        <v>1059</v>
      </c>
      <c r="C519" s="23">
        <v>1799</v>
      </c>
      <c r="D519" t="s">
        <v>436</v>
      </c>
      <c r="I519" s="3" t="str">
        <f>+IFERROR(VLOOKUP(C519,'Mov 2023 hasta ahora '!$C$2:$D$314,2,FALSE),"NO")</f>
        <v>NO</v>
      </c>
      <c r="K519">
        <v>6</v>
      </c>
      <c r="L519" t="s">
        <v>836</v>
      </c>
      <c r="M519">
        <v>24</v>
      </c>
      <c r="O519" s="29" t="s">
        <v>8678</v>
      </c>
      <c r="P519" s="25" t="s">
        <v>8700</v>
      </c>
      <c r="Q519" s="25">
        <v>1806</v>
      </c>
      <c r="R519" t="s">
        <v>436</v>
      </c>
    </row>
    <row r="520" spans="1:18" hidden="1">
      <c r="A520" s="23" t="s">
        <v>1060</v>
      </c>
      <c r="B520" s="23" t="s">
        <v>1061</v>
      </c>
      <c r="C520" s="23">
        <v>1808</v>
      </c>
      <c r="D520" t="s">
        <v>436</v>
      </c>
      <c r="I520" s="3" t="str">
        <f>+IFERROR(VLOOKUP(C520,'Mov 2023 hasta ahora '!$C$2:$D$314,2,FALSE),"NO")</f>
        <v>NO</v>
      </c>
      <c r="K520">
        <v>6</v>
      </c>
      <c r="L520" t="s">
        <v>836</v>
      </c>
      <c r="M520">
        <v>24</v>
      </c>
      <c r="O520" s="29" t="s">
        <v>8678</v>
      </c>
      <c r="P520" s="25" t="s">
        <v>8700</v>
      </c>
      <c r="Q520" s="25">
        <v>1806</v>
      </c>
      <c r="R520" t="s">
        <v>436</v>
      </c>
    </row>
    <row r="521" spans="1:18" hidden="1">
      <c r="A521" s="23" t="s">
        <v>1062</v>
      </c>
      <c r="B521" s="23" t="s">
        <v>1063</v>
      </c>
      <c r="C521" s="23">
        <v>1816</v>
      </c>
      <c r="D521" t="s">
        <v>436</v>
      </c>
      <c r="I521" s="3" t="str">
        <f>+IFERROR(VLOOKUP(C521,'Mov 2023 hasta ahora '!$C$2:$D$314,2,FALSE),"NO")</f>
        <v>NO</v>
      </c>
      <c r="K521">
        <v>6</v>
      </c>
      <c r="L521" t="s">
        <v>836</v>
      </c>
      <c r="M521">
        <v>24</v>
      </c>
      <c r="O521" s="29" t="s">
        <v>8844</v>
      </c>
      <c r="P521" s="25" t="s">
        <v>8699</v>
      </c>
      <c r="Q521" s="25">
        <v>1814</v>
      </c>
      <c r="R521" t="s">
        <v>436</v>
      </c>
    </row>
    <row r="522" spans="1:18" hidden="1">
      <c r="A522" t="s">
        <v>1064</v>
      </c>
      <c r="B522" t="s">
        <v>1065</v>
      </c>
      <c r="I522" s="3" t="str">
        <f>+IFERROR(VLOOKUP(C522,'Mov 2023 hasta ahora '!$C$2:$D$314,2,FALSE),"NO")</f>
        <v>NO</v>
      </c>
      <c r="K522">
        <v>4</v>
      </c>
      <c r="L522" t="s">
        <v>836</v>
      </c>
      <c r="M522">
        <v>14</v>
      </c>
    </row>
    <row r="523" spans="1:18" hidden="1">
      <c r="A523" t="s">
        <v>1066</v>
      </c>
      <c r="B523" t="s">
        <v>1067</v>
      </c>
      <c r="I523" s="3" t="str">
        <f>+IFERROR(VLOOKUP(C523,'Mov 2023 hasta ahora '!$C$2:$D$314,2,FALSE),"NO")</f>
        <v>NO</v>
      </c>
      <c r="K523">
        <v>5</v>
      </c>
      <c r="L523" t="s">
        <v>836</v>
      </c>
      <c r="M523">
        <v>18</v>
      </c>
    </row>
    <row r="524" spans="1:18" hidden="1">
      <c r="A524" s="23" t="s">
        <v>1068</v>
      </c>
      <c r="B524" s="23" t="s">
        <v>1069</v>
      </c>
      <c r="C524" s="23">
        <v>1428</v>
      </c>
      <c r="D524" t="s">
        <v>436</v>
      </c>
      <c r="I524" s="3" t="str">
        <f>+IFERROR(VLOOKUP(C524,'Mov 2023 hasta ahora '!$C$2:$D$314,2,FALSE),"NO")</f>
        <v>NO</v>
      </c>
      <c r="K524">
        <v>6</v>
      </c>
      <c r="L524" t="s">
        <v>836</v>
      </c>
      <c r="M524">
        <v>24</v>
      </c>
      <c r="O524" s="29" t="s">
        <v>8698</v>
      </c>
      <c r="P524" s="25" t="s">
        <v>8692</v>
      </c>
      <c r="Q524" s="25">
        <v>3881</v>
      </c>
      <c r="R524" t="s">
        <v>436</v>
      </c>
    </row>
    <row r="525" spans="1:18" hidden="1">
      <c r="A525" t="s">
        <v>1070</v>
      </c>
      <c r="B525" t="s">
        <v>1071</v>
      </c>
      <c r="I525" s="3" t="str">
        <f>+IFERROR(VLOOKUP(C525,'Mov 2023 hasta ahora '!$C$2:$D$314,2,FALSE),"NO")</f>
        <v>NO</v>
      </c>
      <c r="K525">
        <v>3</v>
      </c>
      <c r="L525" t="s">
        <v>836</v>
      </c>
      <c r="M525">
        <v>10</v>
      </c>
    </row>
    <row r="526" spans="1:18" hidden="1">
      <c r="A526" t="s">
        <v>1072</v>
      </c>
      <c r="B526" t="s">
        <v>1073</v>
      </c>
      <c r="I526" s="3" t="str">
        <f>+IFERROR(VLOOKUP(C526,'Mov 2023 hasta ahora '!$C$2:$D$314,2,FALSE),"NO")</f>
        <v>NO</v>
      </c>
      <c r="K526">
        <v>4</v>
      </c>
      <c r="L526" t="s">
        <v>836</v>
      </c>
      <c r="M526">
        <v>14</v>
      </c>
    </row>
    <row r="527" spans="1:18" hidden="1">
      <c r="A527" t="s">
        <v>1074</v>
      </c>
      <c r="B527" t="s">
        <v>1075</v>
      </c>
      <c r="I527" s="3" t="str">
        <f>+IFERROR(VLOOKUP(C527,'Mov 2023 hasta ahora '!$C$2:$D$314,2,FALSE),"NO")</f>
        <v>NO</v>
      </c>
      <c r="K527">
        <v>5</v>
      </c>
      <c r="L527" t="s">
        <v>836</v>
      </c>
      <c r="M527">
        <v>18</v>
      </c>
    </row>
    <row r="528" spans="1:18" hidden="1">
      <c r="A528" s="23" t="s">
        <v>1076</v>
      </c>
      <c r="B528" s="23" t="s">
        <v>1077</v>
      </c>
      <c r="C528" s="23">
        <v>162</v>
      </c>
      <c r="D528" t="s">
        <v>436</v>
      </c>
      <c r="I528" s="3" t="str">
        <f>+IFERROR(VLOOKUP(C528,'Mov 2023 hasta ahora '!$C$2:$D$314,2,FALSE),"NO")</f>
        <v>NO</v>
      </c>
      <c r="K528">
        <v>6</v>
      </c>
      <c r="L528" t="s">
        <v>836</v>
      </c>
      <c r="M528">
        <v>24</v>
      </c>
      <c r="O528" s="29" t="s">
        <v>8679</v>
      </c>
      <c r="P528" s="25" t="s">
        <v>8677</v>
      </c>
      <c r="Q528" s="25">
        <v>2450</v>
      </c>
      <c r="R528" t="s">
        <v>436</v>
      </c>
    </row>
    <row r="529" spans="1:18" hidden="1">
      <c r="A529" s="23" t="s">
        <v>1078</v>
      </c>
      <c r="B529" s="23" t="s">
        <v>1079</v>
      </c>
      <c r="C529" s="23">
        <v>1776</v>
      </c>
      <c r="D529" t="s">
        <v>436</v>
      </c>
      <c r="I529" s="3" t="str">
        <f>+IFERROR(VLOOKUP(C529,'Mov 2023 hasta ahora '!$C$2:$D$314,2,FALSE),"NO")</f>
        <v>NO</v>
      </c>
      <c r="K529">
        <v>6</v>
      </c>
      <c r="L529" t="s">
        <v>836</v>
      </c>
      <c r="M529">
        <v>24</v>
      </c>
      <c r="O529" s="29" t="s">
        <v>8844</v>
      </c>
      <c r="P529" s="25" t="s">
        <v>8699</v>
      </c>
      <c r="Q529" s="25">
        <v>1814</v>
      </c>
      <c r="R529" t="s">
        <v>436</v>
      </c>
    </row>
    <row r="530" spans="1:18" hidden="1">
      <c r="A530" s="23" t="s">
        <v>1080</v>
      </c>
      <c r="B530" s="23" t="s">
        <v>1081</v>
      </c>
      <c r="C530" s="23">
        <v>1784</v>
      </c>
      <c r="D530" t="s">
        <v>436</v>
      </c>
      <c r="I530" s="3" t="str">
        <f>+IFERROR(VLOOKUP(C530,'Mov 2023 hasta ahora '!$C$2:$D$314,2,FALSE),"NO")</f>
        <v>NO</v>
      </c>
      <c r="K530">
        <v>6</v>
      </c>
      <c r="L530" t="s">
        <v>836</v>
      </c>
      <c r="M530">
        <v>24</v>
      </c>
      <c r="O530" s="29" t="s">
        <v>8844</v>
      </c>
      <c r="P530" s="25" t="s">
        <v>8699</v>
      </c>
      <c r="Q530" s="25">
        <v>1814</v>
      </c>
      <c r="R530" t="s">
        <v>436</v>
      </c>
    </row>
    <row r="531" spans="1:18" hidden="1">
      <c r="A531" s="23" t="s">
        <v>1082</v>
      </c>
      <c r="B531" s="23" t="s">
        <v>1083</v>
      </c>
      <c r="C531" s="23">
        <v>1792</v>
      </c>
      <c r="D531" t="s">
        <v>436</v>
      </c>
      <c r="I531" s="3" t="str">
        <f>+IFERROR(VLOOKUP(C531,'Mov 2023 hasta ahora '!$C$2:$D$314,2,FALSE),"NO")</f>
        <v>NO</v>
      </c>
      <c r="K531">
        <v>6</v>
      </c>
      <c r="L531" t="s">
        <v>836</v>
      </c>
      <c r="M531">
        <v>24</v>
      </c>
      <c r="O531" s="29" t="s">
        <v>8844</v>
      </c>
      <c r="P531" s="25" t="s">
        <v>8699</v>
      </c>
      <c r="Q531" s="25">
        <v>1814</v>
      </c>
      <c r="R531" t="s">
        <v>436</v>
      </c>
    </row>
    <row r="532" spans="1:18" hidden="1">
      <c r="A532" s="23" t="s">
        <v>1084</v>
      </c>
      <c r="B532" s="23" t="s">
        <v>1085</v>
      </c>
      <c r="C532" s="23">
        <v>1800</v>
      </c>
      <c r="D532" t="s">
        <v>436</v>
      </c>
      <c r="I532" s="3" t="str">
        <f>+IFERROR(VLOOKUP(C532,'Mov 2023 hasta ahora '!$C$2:$D$314,2,FALSE),"NO")</f>
        <v>NO</v>
      </c>
      <c r="K532">
        <v>6</v>
      </c>
      <c r="L532" t="s">
        <v>836</v>
      </c>
      <c r="M532">
        <v>24</v>
      </c>
      <c r="O532" s="29" t="s">
        <v>8678</v>
      </c>
      <c r="P532" s="25" t="s">
        <v>8700</v>
      </c>
      <c r="Q532" s="25">
        <v>1806</v>
      </c>
      <c r="R532" t="s">
        <v>436</v>
      </c>
    </row>
    <row r="533" spans="1:18" hidden="1">
      <c r="A533" s="23" t="s">
        <v>1086</v>
      </c>
      <c r="B533" s="23" t="s">
        <v>1087</v>
      </c>
      <c r="C533" s="23">
        <v>1809</v>
      </c>
      <c r="D533" t="s">
        <v>436</v>
      </c>
      <c r="I533" s="3" t="str">
        <f>+IFERROR(VLOOKUP(C533,'Mov 2023 hasta ahora '!$C$2:$D$314,2,FALSE),"NO")</f>
        <v>NO</v>
      </c>
      <c r="K533">
        <v>6</v>
      </c>
      <c r="L533" t="s">
        <v>836</v>
      </c>
      <c r="M533">
        <v>24</v>
      </c>
      <c r="O533" s="29" t="s">
        <v>8678</v>
      </c>
      <c r="P533" s="25" t="s">
        <v>8700</v>
      </c>
      <c r="Q533" s="25">
        <v>1806</v>
      </c>
      <c r="R533" t="s">
        <v>436</v>
      </c>
    </row>
    <row r="534" spans="1:18" hidden="1">
      <c r="A534" s="23" t="s">
        <v>1088</v>
      </c>
      <c r="B534" s="23" t="s">
        <v>1089</v>
      </c>
      <c r="C534" s="23">
        <v>1817</v>
      </c>
      <c r="D534" t="s">
        <v>436</v>
      </c>
      <c r="I534" s="3" t="str">
        <f>+IFERROR(VLOOKUP(C534,'Mov 2023 hasta ahora '!$C$2:$D$314,2,FALSE),"NO")</f>
        <v>NO</v>
      </c>
      <c r="K534">
        <v>6</v>
      </c>
      <c r="L534" t="s">
        <v>836</v>
      </c>
      <c r="M534">
        <v>24</v>
      </c>
      <c r="O534" s="29" t="s">
        <v>8844</v>
      </c>
      <c r="P534" s="25" t="s">
        <v>8699</v>
      </c>
      <c r="Q534" s="25">
        <v>1814</v>
      </c>
      <c r="R534" t="s">
        <v>436</v>
      </c>
    </row>
    <row r="535" spans="1:18" hidden="1">
      <c r="A535" s="23" t="s">
        <v>1090</v>
      </c>
      <c r="B535" s="23" t="s">
        <v>1091</v>
      </c>
      <c r="C535" s="23">
        <v>2020</v>
      </c>
      <c r="I535" s="3" t="str">
        <f>+IFERROR(VLOOKUP(C535,'Mov 2023 hasta ahora '!$C$2:$D$314,2,FALSE),"NO")</f>
        <v>NO</v>
      </c>
      <c r="K535">
        <v>6</v>
      </c>
      <c r="L535" t="s">
        <v>836</v>
      </c>
      <c r="M535">
        <v>24</v>
      </c>
      <c r="O535" s="29" t="s">
        <v>8844</v>
      </c>
      <c r="P535" s="25" t="s">
        <v>8699</v>
      </c>
      <c r="Q535" s="25">
        <v>1814</v>
      </c>
      <c r="R535" t="s">
        <v>436</v>
      </c>
    </row>
    <row r="536" spans="1:18" hidden="1">
      <c r="A536" t="s">
        <v>1092</v>
      </c>
      <c r="B536" t="s">
        <v>1093</v>
      </c>
      <c r="I536" s="3" t="str">
        <f>+IFERROR(VLOOKUP(C536,'Mov 2023 hasta ahora '!$C$2:$D$314,2,FALSE),"NO")</f>
        <v>NO</v>
      </c>
      <c r="K536">
        <v>4</v>
      </c>
      <c r="L536" t="s">
        <v>836</v>
      </c>
      <c r="M536">
        <v>14</v>
      </c>
    </row>
    <row r="537" spans="1:18" hidden="1">
      <c r="A537" t="s">
        <v>1094</v>
      </c>
      <c r="B537" t="s">
        <v>1095</v>
      </c>
      <c r="I537" s="3" t="str">
        <f>+IFERROR(VLOOKUP(C537,'Mov 2023 hasta ahora '!$C$2:$D$314,2,FALSE),"NO")</f>
        <v>NO</v>
      </c>
      <c r="K537">
        <v>5</v>
      </c>
      <c r="L537" t="s">
        <v>836</v>
      </c>
      <c r="M537">
        <v>18</v>
      </c>
    </row>
    <row r="538" spans="1:18" hidden="1">
      <c r="A538" s="23" t="s">
        <v>1096</v>
      </c>
      <c r="B538" s="23" t="s">
        <v>1097</v>
      </c>
      <c r="C538" s="23">
        <v>1429</v>
      </c>
      <c r="D538" t="s">
        <v>436</v>
      </c>
      <c r="I538" s="3" t="str">
        <f>+IFERROR(VLOOKUP(C538,'Mov 2023 hasta ahora '!$C$2:$D$314,2,FALSE),"NO")</f>
        <v>NO</v>
      </c>
      <c r="K538">
        <v>6</v>
      </c>
      <c r="L538" t="s">
        <v>836</v>
      </c>
      <c r="M538">
        <v>24</v>
      </c>
      <c r="O538" s="29" t="s">
        <v>8698</v>
      </c>
      <c r="P538" s="25" t="s">
        <v>8692</v>
      </c>
      <c r="Q538" s="25">
        <v>3881</v>
      </c>
      <c r="R538" t="s">
        <v>436</v>
      </c>
    </row>
    <row r="539" spans="1:18" hidden="1">
      <c r="A539" t="s">
        <v>1098</v>
      </c>
      <c r="B539" t="s">
        <v>1099</v>
      </c>
      <c r="I539" s="3" t="str">
        <f>+IFERROR(VLOOKUP(C539,'Mov 2023 hasta ahora '!$C$2:$D$314,2,FALSE),"NO")</f>
        <v>NO</v>
      </c>
      <c r="K539">
        <v>3</v>
      </c>
      <c r="L539" t="s">
        <v>836</v>
      </c>
      <c r="M539">
        <v>10</v>
      </c>
    </row>
    <row r="540" spans="1:18" hidden="1">
      <c r="A540" t="s">
        <v>1100</v>
      </c>
      <c r="B540" t="s">
        <v>1101</v>
      </c>
      <c r="I540" s="3" t="str">
        <f>+IFERROR(VLOOKUP(C540,'Mov 2023 hasta ahora '!$C$2:$D$314,2,FALSE),"NO")</f>
        <v>NO</v>
      </c>
      <c r="K540">
        <v>4</v>
      </c>
      <c r="L540" t="s">
        <v>836</v>
      </c>
      <c r="M540">
        <v>14</v>
      </c>
    </row>
    <row r="541" spans="1:18" hidden="1">
      <c r="A541" t="s">
        <v>1102</v>
      </c>
      <c r="B541" t="s">
        <v>1103</v>
      </c>
      <c r="I541" s="3" t="str">
        <f>+IFERROR(VLOOKUP(C541,'Mov 2023 hasta ahora '!$C$2:$D$314,2,FALSE),"NO")</f>
        <v>NO</v>
      </c>
      <c r="K541">
        <v>5</v>
      </c>
      <c r="L541" t="s">
        <v>836</v>
      </c>
      <c r="M541">
        <v>18</v>
      </c>
    </row>
    <row r="542" spans="1:18" hidden="1">
      <c r="A542" s="23" t="s">
        <v>1104</v>
      </c>
      <c r="B542" s="23" t="s">
        <v>1105</v>
      </c>
      <c r="C542" s="23">
        <v>163</v>
      </c>
      <c r="D542" t="s">
        <v>436</v>
      </c>
      <c r="I542" s="3" t="str">
        <f>+IFERROR(VLOOKUP(C542,'Mov 2023 hasta ahora '!$C$2:$D$314,2,FALSE),"NO")</f>
        <v>NO</v>
      </c>
      <c r="K542">
        <v>6</v>
      </c>
      <c r="L542" t="s">
        <v>836</v>
      </c>
      <c r="M542">
        <v>24</v>
      </c>
      <c r="O542" s="29" t="s">
        <v>8679</v>
      </c>
      <c r="P542" s="25" t="s">
        <v>8677</v>
      </c>
      <c r="Q542" s="25">
        <v>2450</v>
      </c>
      <c r="R542" t="s">
        <v>436</v>
      </c>
    </row>
    <row r="543" spans="1:18" hidden="1">
      <c r="A543" s="23" t="s">
        <v>1106</v>
      </c>
      <c r="B543" s="23" t="s">
        <v>1107</v>
      </c>
      <c r="C543" s="23">
        <v>1777</v>
      </c>
      <c r="D543" t="s">
        <v>436</v>
      </c>
      <c r="I543" s="3" t="str">
        <f>+IFERROR(VLOOKUP(C543,'Mov 2023 hasta ahora '!$C$2:$D$314,2,FALSE),"NO")</f>
        <v>NO</v>
      </c>
      <c r="K543">
        <v>6</v>
      </c>
      <c r="L543" t="s">
        <v>836</v>
      </c>
      <c r="M543">
        <v>24</v>
      </c>
      <c r="O543" s="29" t="s">
        <v>8844</v>
      </c>
      <c r="P543" s="25" t="s">
        <v>8699</v>
      </c>
      <c r="Q543" s="25">
        <v>1814</v>
      </c>
      <c r="R543" t="s">
        <v>436</v>
      </c>
    </row>
    <row r="544" spans="1:18" hidden="1">
      <c r="A544" s="23" t="s">
        <v>1108</v>
      </c>
      <c r="B544" s="23" t="s">
        <v>1109</v>
      </c>
      <c r="C544" s="23">
        <v>1785</v>
      </c>
      <c r="D544" t="s">
        <v>436</v>
      </c>
      <c r="I544" s="3" t="str">
        <f>+IFERROR(VLOOKUP(C544,'Mov 2023 hasta ahora '!$C$2:$D$314,2,FALSE),"NO")</f>
        <v>NO</v>
      </c>
      <c r="K544">
        <v>6</v>
      </c>
      <c r="L544" t="s">
        <v>836</v>
      </c>
      <c r="M544">
        <v>24</v>
      </c>
      <c r="O544" s="29" t="s">
        <v>8844</v>
      </c>
      <c r="P544" s="25" t="s">
        <v>8699</v>
      </c>
      <c r="Q544" s="25">
        <v>1814</v>
      </c>
      <c r="R544" t="s">
        <v>436</v>
      </c>
    </row>
    <row r="545" spans="1:18" hidden="1">
      <c r="A545" s="23" t="s">
        <v>1110</v>
      </c>
      <c r="B545" s="23" t="s">
        <v>1111</v>
      </c>
      <c r="C545" s="23">
        <v>1793</v>
      </c>
      <c r="D545" t="s">
        <v>436</v>
      </c>
      <c r="I545" s="3" t="str">
        <f>+IFERROR(VLOOKUP(C545,'Mov 2023 hasta ahora '!$C$2:$D$314,2,FALSE),"NO")</f>
        <v>NO</v>
      </c>
      <c r="K545">
        <v>6</v>
      </c>
      <c r="L545" t="s">
        <v>836</v>
      </c>
      <c r="M545">
        <v>24</v>
      </c>
      <c r="O545" s="29" t="s">
        <v>8844</v>
      </c>
      <c r="P545" s="25" t="s">
        <v>8699</v>
      </c>
      <c r="Q545" s="25">
        <v>1814</v>
      </c>
      <c r="R545" t="s">
        <v>436</v>
      </c>
    </row>
    <row r="546" spans="1:18" hidden="1">
      <c r="A546" s="23" t="s">
        <v>1112</v>
      </c>
      <c r="B546" s="23" t="s">
        <v>1113</v>
      </c>
      <c r="C546" s="23">
        <v>1801</v>
      </c>
      <c r="D546" t="s">
        <v>436</v>
      </c>
      <c r="I546" s="3" t="str">
        <f>+IFERROR(VLOOKUP(C546,'Mov 2023 hasta ahora '!$C$2:$D$314,2,FALSE),"NO")</f>
        <v>NO</v>
      </c>
      <c r="K546">
        <v>6</v>
      </c>
      <c r="L546" t="s">
        <v>836</v>
      </c>
      <c r="M546">
        <v>24</v>
      </c>
      <c r="O546" s="29" t="s">
        <v>8678</v>
      </c>
      <c r="P546" s="25" t="s">
        <v>8700</v>
      </c>
      <c r="Q546" s="25">
        <v>1806</v>
      </c>
      <c r="R546" t="s">
        <v>436</v>
      </c>
    </row>
    <row r="547" spans="1:18" hidden="1">
      <c r="A547" s="23" t="s">
        <v>1114</v>
      </c>
      <c r="B547" s="23" t="s">
        <v>1115</v>
      </c>
      <c r="C547" s="23">
        <v>1810</v>
      </c>
      <c r="D547" t="s">
        <v>436</v>
      </c>
      <c r="I547" s="3" t="str">
        <f>+IFERROR(VLOOKUP(C547,'Mov 2023 hasta ahora '!$C$2:$D$314,2,FALSE),"NO")</f>
        <v>NO</v>
      </c>
      <c r="K547">
        <v>6</v>
      </c>
      <c r="L547" t="s">
        <v>836</v>
      </c>
      <c r="M547">
        <v>24</v>
      </c>
      <c r="O547" s="29" t="s">
        <v>8678</v>
      </c>
      <c r="P547" s="25" t="s">
        <v>8700</v>
      </c>
      <c r="Q547" s="25">
        <v>1806</v>
      </c>
      <c r="R547" t="s">
        <v>436</v>
      </c>
    </row>
    <row r="548" spans="1:18" hidden="1">
      <c r="A548" s="23" t="s">
        <v>1116</v>
      </c>
      <c r="B548" s="23" t="s">
        <v>1117</v>
      </c>
      <c r="C548" s="23">
        <v>1818</v>
      </c>
      <c r="D548" t="s">
        <v>436</v>
      </c>
      <c r="I548" s="3" t="str">
        <f>+IFERROR(VLOOKUP(C548,'Mov 2023 hasta ahora '!$C$2:$D$314,2,FALSE),"NO")</f>
        <v>NO</v>
      </c>
      <c r="K548">
        <v>6</v>
      </c>
      <c r="L548" t="s">
        <v>836</v>
      </c>
      <c r="M548">
        <v>24</v>
      </c>
      <c r="O548" s="29" t="s">
        <v>8844</v>
      </c>
      <c r="P548" s="25" t="s">
        <v>8699</v>
      </c>
      <c r="Q548" s="25">
        <v>1814</v>
      </c>
      <c r="R548" t="s">
        <v>436</v>
      </c>
    </row>
    <row r="549" spans="1:18" hidden="1">
      <c r="A549" s="23" t="s">
        <v>1118</v>
      </c>
      <c r="B549" s="23" t="s">
        <v>1119</v>
      </c>
      <c r="C549" s="23">
        <v>2021</v>
      </c>
      <c r="I549" s="3" t="str">
        <f>+IFERROR(VLOOKUP(C549,'Mov 2023 hasta ahora '!$C$2:$D$314,2,FALSE),"NO")</f>
        <v>NO</v>
      </c>
      <c r="K549">
        <v>6</v>
      </c>
      <c r="L549" t="s">
        <v>836</v>
      </c>
      <c r="M549">
        <v>24</v>
      </c>
      <c r="O549" s="29" t="s">
        <v>8844</v>
      </c>
      <c r="P549" s="25" t="s">
        <v>8699</v>
      </c>
      <c r="Q549" s="25">
        <v>1814</v>
      </c>
      <c r="R549" t="s">
        <v>436</v>
      </c>
    </row>
    <row r="550" spans="1:18" hidden="1">
      <c r="A550" t="s">
        <v>1120</v>
      </c>
      <c r="B550" t="s">
        <v>1121</v>
      </c>
      <c r="I550" s="3" t="str">
        <f>+IFERROR(VLOOKUP(C550,'Mov 2023 hasta ahora '!$C$2:$D$314,2,FALSE),"NO")</f>
        <v>NO</v>
      </c>
      <c r="K550">
        <v>4</v>
      </c>
      <c r="L550" t="s">
        <v>836</v>
      </c>
      <c r="M550">
        <v>14</v>
      </c>
    </row>
    <row r="551" spans="1:18" hidden="1">
      <c r="A551" t="s">
        <v>1122</v>
      </c>
      <c r="B551" t="s">
        <v>1123</v>
      </c>
      <c r="I551" s="3" t="str">
        <f>+IFERROR(VLOOKUP(C551,'Mov 2023 hasta ahora '!$C$2:$D$314,2,FALSE),"NO")</f>
        <v>NO</v>
      </c>
      <c r="K551">
        <v>5</v>
      </c>
      <c r="L551" t="s">
        <v>836</v>
      </c>
      <c r="M551">
        <v>18</v>
      </c>
    </row>
    <row r="552" spans="1:18" hidden="1">
      <c r="A552" s="23" t="s">
        <v>1124</v>
      </c>
      <c r="B552" s="23" t="s">
        <v>1125</v>
      </c>
      <c r="C552" s="23">
        <v>1430</v>
      </c>
      <c r="D552" t="s">
        <v>436</v>
      </c>
      <c r="I552" s="3" t="str">
        <f>+IFERROR(VLOOKUP(C552,'Mov 2023 hasta ahora '!$C$2:$D$314,2,FALSE),"NO")</f>
        <v>NO</v>
      </c>
      <c r="K552">
        <v>6</v>
      </c>
      <c r="L552" t="s">
        <v>836</v>
      </c>
      <c r="M552">
        <v>24</v>
      </c>
      <c r="O552" s="29" t="s">
        <v>8698</v>
      </c>
      <c r="P552" s="25" t="s">
        <v>8692</v>
      </c>
      <c r="Q552" s="25">
        <v>3881</v>
      </c>
      <c r="R552" t="s">
        <v>436</v>
      </c>
    </row>
    <row r="553" spans="1:18" hidden="1">
      <c r="A553" t="s">
        <v>1126</v>
      </c>
      <c r="B553" t="s">
        <v>1127</v>
      </c>
      <c r="I553" s="3" t="str">
        <f>+IFERROR(VLOOKUP(C553,'Mov 2023 hasta ahora '!$C$2:$D$314,2,FALSE),"NO")</f>
        <v>NO</v>
      </c>
      <c r="K553">
        <v>3</v>
      </c>
      <c r="L553" t="s">
        <v>836</v>
      </c>
      <c r="M553">
        <v>10</v>
      </c>
    </row>
    <row r="554" spans="1:18" hidden="1">
      <c r="A554" t="s">
        <v>1128</v>
      </c>
      <c r="B554" t="s">
        <v>1129</v>
      </c>
      <c r="I554" s="3" t="str">
        <f>+IFERROR(VLOOKUP(C554,'Mov 2023 hasta ahora '!$C$2:$D$314,2,FALSE),"NO")</f>
        <v>NO</v>
      </c>
      <c r="K554">
        <v>4</v>
      </c>
      <c r="L554" t="s">
        <v>836</v>
      </c>
      <c r="M554">
        <v>14</v>
      </c>
    </row>
    <row r="555" spans="1:18" hidden="1">
      <c r="A555" t="s">
        <v>1130</v>
      </c>
      <c r="B555" t="s">
        <v>1131</v>
      </c>
      <c r="I555" s="3" t="str">
        <f>+IFERROR(VLOOKUP(C555,'Mov 2023 hasta ahora '!$C$2:$D$314,2,FALSE),"NO")</f>
        <v>NO</v>
      </c>
      <c r="K555">
        <v>5</v>
      </c>
      <c r="L555" t="s">
        <v>836</v>
      </c>
      <c r="M555">
        <v>18</v>
      </c>
    </row>
    <row r="556" spans="1:18" hidden="1">
      <c r="A556" s="23" t="s">
        <v>1132</v>
      </c>
      <c r="B556" s="23" t="s">
        <v>1133</v>
      </c>
      <c r="C556" s="23">
        <v>164</v>
      </c>
      <c r="D556" t="s">
        <v>436</v>
      </c>
      <c r="I556" s="3" t="str">
        <f>+IFERROR(VLOOKUP(C556,'Mov 2023 hasta ahora '!$C$2:$D$314,2,FALSE),"NO")</f>
        <v>NO</v>
      </c>
      <c r="K556">
        <v>6</v>
      </c>
      <c r="L556" t="s">
        <v>836</v>
      </c>
      <c r="M556">
        <v>24</v>
      </c>
      <c r="O556" s="29" t="s">
        <v>8679</v>
      </c>
      <c r="P556" s="25" t="s">
        <v>8677</v>
      </c>
      <c r="Q556" s="25">
        <v>2450</v>
      </c>
      <c r="R556" t="s">
        <v>436</v>
      </c>
    </row>
    <row r="557" spans="1:18" hidden="1">
      <c r="A557" s="23" t="s">
        <v>1134</v>
      </c>
      <c r="B557" s="23" t="s">
        <v>1135</v>
      </c>
      <c r="C557" s="23">
        <v>1778</v>
      </c>
      <c r="D557" t="s">
        <v>436</v>
      </c>
      <c r="I557" s="3" t="str">
        <f>+IFERROR(VLOOKUP(C557,'Mov 2023 hasta ahora '!$C$2:$D$314,2,FALSE),"NO")</f>
        <v>NO</v>
      </c>
      <c r="K557">
        <v>6</v>
      </c>
      <c r="L557" t="s">
        <v>836</v>
      </c>
      <c r="M557">
        <v>24</v>
      </c>
      <c r="O557" s="29" t="s">
        <v>8844</v>
      </c>
      <c r="P557" s="25" t="s">
        <v>8699</v>
      </c>
      <c r="Q557" s="25">
        <v>1814</v>
      </c>
      <c r="R557" t="s">
        <v>436</v>
      </c>
    </row>
    <row r="558" spans="1:18" hidden="1">
      <c r="A558" s="23" t="s">
        <v>1136</v>
      </c>
      <c r="B558" s="23" t="s">
        <v>1137</v>
      </c>
      <c r="C558" s="23">
        <v>1786</v>
      </c>
      <c r="D558" t="s">
        <v>436</v>
      </c>
      <c r="I558" s="3" t="str">
        <f>+IFERROR(VLOOKUP(C558,'Mov 2023 hasta ahora '!$C$2:$D$314,2,FALSE),"NO")</f>
        <v>NO</v>
      </c>
      <c r="K558">
        <v>6</v>
      </c>
      <c r="L558" t="s">
        <v>836</v>
      </c>
      <c r="M558">
        <v>24</v>
      </c>
      <c r="O558" s="29" t="s">
        <v>8844</v>
      </c>
      <c r="P558" s="25" t="s">
        <v>8699</v>
      </c>
      <c r="Q558" s="25">
        <v>1814</v>
      </c>
      <c r="R558" t="s">
        <v>436</v>
      </c>
    </row>
    <row r="559" spans="1:18" hidden="1">
      <c r="A559" s="23" t="s">
        <v>1138</v>
      </c>
      <c r="B559" s="23" t="s">
        <v>1139</v>
      </c>
      <c r="C559" s="23">
        <v>1794</v>
      </c>
      <c r="D559" t="s">
        <v>436</v>
      </c>
      <c r="I559" s="3" t="str">
        <f>+IFERROR(VLOOKUP(C559,'Mov 2023 hasta ahora '!$C$2:$D$314,2,FALSE),"NO")</f>
        <v>NO</v>
      </c>
      <c r="K559">
        <v>6</v>
      </c>
      <c r="L559" t="s">
        <v>836</v>
      </c>
      <c r="M559">
        <v>24</v>
      </c>
      <c r="O559" s="29" t="s">
        <v>8844</v>
      </c>
      <c r="P559" s="25" t="s">
        <v>8699</v>
      </c>
      <c r="Q559" s="25">
        <v>1814</v>
      </c>
      <c r="R559" t="s">
        <v>436</v>
      </c>
    </row>
    <row r="560" spans="1:18" hidden="1">
      <c r="A560" s="23" t="s">
        <v>1140</v>
      </c>
      <c r="B560" s="23" t="s">
        <v>1141</v>
      </c>
      <c r="C560" s="23">
        <v>1802</v>
      </c>
      <c r="D560" t="s">
        <v>436</v>
      </c>
      <c r="I560" s="3" t="str">
        <f>+IFERROR(VLOOKUP(C560,'Mov 2023 hasta ahora '!$C$2:$D$314,2,FALSE),"NO")</f>
        <v>NO</v>
      </c>
      <c r="K560">
        <v>6</v>
      </c>
      <c r="L560" t="s">
        <v>836</v>
      </c>
      <c r="M560">
        <v>24</v>
      </c>
      <c r="O560" s="29" t="s">
        <v>8678</v>
      </c>
      <c r="P560" s="25" t="s">
        <v>8700</v>
      </c>
      <c r="Q560" s="25">
        <v>1806</v>
      </c>
      <c r="R560" t="s">
        <v>436</v>
      </c>
    </row>
    <row r="561" spans="1:18" hidden="1">
      <c r="A561" s="23" t="s">
        <v>1142</v>
      </c>
      <c r="B561" s="23" t="s">
        <v>1143</v>
      </c>
      <c r="C561" s="23">
        <v>1811</v>
      </c>
      <c r="D561" t="s">
        <v>436</v>
      </c>
      <c r="I561" s="3" t="str">
        <f>+IFERROR(VLOOKUP(C561,'Mov 2023 hasta ahora '!$C$2:$D$314,2,FALSE),"NO")</f>
        <v>NO</v>
      </c>
      <c r="K561">
        <v>6</v>
      </c>
      <c r="L561" t="s">
        <v>836</v>
      </c>
      <c r="M561">
        <v>24</v>
      </c>
      <c r="O561" s="29" t="s">
        <v>8678</v>
      </c>
      <c r="P561" s="25" t="s">
        <v>8700</v>
      </c>
      <c r="Q561" s="25">
        <v>1806</v>
      </c>
      <c r="R561" t="s">
        <v>436</v>
      </c>
    </row>
    <row r="562" spans="1:18" hidden="1">
      <c r="A562" s="23" t="s">
        <v>1144</v>
      </c>
      <c r="B562" s="23" t="s">
        <v>1145</v>
      </c>
      <c r="C562" s="23">
        <v>1819</v>
      </c>
      <c r="D562" t="s">
        <v>436</v>
      </c>
      <c r="I562" s="3" t="str">
        <f>+IFERROR(VLOOKUP(C562,'Mov 2023 hasta ahora '!$C$2:$D$314,2,FALSE),"NO")</f>
        <v>NO</v>
      </c>
      <c r="K562">
        <v>6</v>
      </c>
      <c r="L562" t="s">
        <v>836</v>
      </c>
      <c r="M562">
        <v>24</v>
      </c>
      <c r="O562" s="29" t="s">
        <v>8844</v>
      </c>
      <c r="P562" s="25" t="s">
        <v>8699</v>
      </c>
      <c r="Q562" s="25">
        <v>1814</v>
      </c>
      <c r="R562" t="s">
        <v>436</v>
      </c>
    </row>
    <row r="563" spans="1:18" hidden="1">
      <c r="A563" t="s">
        <v>1146</v>
      </c>
      <c r="B563" t="s">
        <v>1147</v>
      </c>
      <c r="I563" s="3" t="str">
        <f>+IFERROR(VLOOKUP(C563,'Mov 2023 hasta ahora '!$C$2:$D$314,2,FALSE),"NO")</f>
        <v>NO</v>
      </c>
      <c r="K563">
        <v>4</v>
      </c>
      <c r="L563" t="s">
        <v>836</v>
      </c>
      <c r="M563">
        <v>14</v>
      </c>
    </row>
    <row r="564" spans="1:18" hidden="1">
      <c r="A564" t="s">
        <v>1148</v>
      </c>
      <c r="B564" t="s">
        <v>1149</v>
      </c>
      <c r="I564" s="3" t="str">
        <f>+IFERROR(VLOOKUP(C564,'Mov 2023 hasta ahora '!$C$2:$D$314,2,FALSE),"NO")</f>
        <v>NO</v>
      </c>
      <c r="K564">
        <v>5</v>
      </c>
      <c r="L564" t="s">
        <v>836</v>
      </c>
      <c r="M564">
        <v>18</v>
      </c>
    </row>
    <row r="565" spans="1:18" hidden="1">
      <c r="A565" s="23" t="s">
        <v>1150</v>
      </c>
      <c r="B565" s="23" t="s">
        <v>1151</v>
      </c>
      <c r="C565" s="23">
        <v>1431</v>
      </c>
      <c r="D565" t="s">
        <v>436</v>
      </c>
      <c r="I565" s="3" t="str">
        <f>+IFERROR(VLOOKUP(C565,'Mov 2023 hasta ahora '!$C$2:$D$314,2,FALSE),"NO")</f>
        <v>NO</v>
      </c>
      <c r="K565">
        <v>6</v>
      </c>
      <c r="L565" t="s">
        <v>836</v>
      </c>
      <c r="M565">
        <v>24</v>
      </c>
      <c r="O565" s="29" t="s">
        <v>8698</v>
      </c>
      <c r="P565" s="25" t="s">
        <v>8692</v>
      </c>
      <c r="Q565" s="25">
        <v>3881</v>
      </c>
      <c r="R565" t="s">
        <v>436</v>
      </c>
    </row>
    <row r="566" spans="1:18" hidden="1">
      <c r="A566" t="s">
        <v>1152</v>
      </c>
      <c r="B566" t="s">
        <v>1153</v>
      </c>
      <c r="I566" s="3" t="str">
        <f>+IFERROR(VLOOKUP(C566,'Mov 2023 hasta ahora '!$C$2:$D$314,2,FALSE),"NO")</f>
        <v>NO</v>
      </c>
      <c r="K566">
        <v>3</v>
      </c>
      <c r="L566" t="s">
        <v>836</v>
      </c>
      <c r="M566">
        <v>10</v>
      </c>
    </row>
    <row r="567" spans="1:18" hidden="1">
      <c r="A567" t="s">
        <v>1154</v>
      </c>
      <c r="B567" t="s">
        <v>1155</v>
      </c>
      <c r="I567" s="3" t="str">
        <f>+IFERROR(VLOOKUP(C567,'Mov 2023 hasta ahora '!$C$2:$D$314,2,FALSE),"NO")</f>
        <v>NO</v>
      </c>
      <c r="K567">
        <v>4</v>
      </c>
      <c r="L567" t="s">
        <v>836</v>
      </c>
      <c r="M567">
        <v>14</v>
      </c>
    </row>
    <row r="568" spans="1:18" hidden="1">
      <c r="A568" t="s">
        <v>1156</v>
      </c>
      <c r="B568" t="s">
        <v>1157</v>
      </c>
      <c r="I568" s="3" t="str">
        <f>+IFERROR(VLOOKUP(C568,'Mov 2023 hasta ahora '!$C$2:$D$314,2,FALSE),"NO")</f>
        <v>NO</v>
      </c>
      <c r="K568">
        <v>5</v>
      </c>
      <c r="L568" t="s">
        <v>836</v>
      </c>
      <c r="M568">
        <v>18</v>
      </c>
    </row>
    <row r="569" spans="1:18" hidden="1">
      <c r="A569" s="23" t="s">
        <v>1158</v>
      </c>
      <c r="B569" s="23" t="s">
        <v>1159</v>
      </c>
      <c r="C569" s="23">
        <v>165</v>
      </c>
      <c r="D569" t="s">
        <v>436</v>
      </c>
      <c r="I569" s="3" t="str">
        <f>+IFERROR(VLOOKUP(C569,'Mov 2023 hasta ahora '!$C$2:$D$314,2,FALSE),"NO")</f>
        <v>NO</v>
      </c>
      <c r="K569">
        <v>6</v>
      </c>
      <c r="L569" t="s">
        <v>836</v>
      </c>
      <c r="M569">
        <v>24</v>
      </c>
      <c r="O569" s="29" t="s">
        <v>8679</v>
      </c>
      <c r="P569" s="25" t="s">
        <v>8677</v>
      </c>
      <c r="Q569" s="25">
        <v>2450</v>
      </c>
      <c r="R569" t="s">
        <v>436</v>
      </c>
    </row>
    <row r="570" spans="1:18" hidden="1">
      <c r="A570" s="23" t="s">
        <v>1160</v>
      </c>
      <c r="B570" s="23" t="s">
        <v>1161</v>
      </c>
      <c r="C570" s="23">
        <v>1779</v>
      </c>
      <c r="D570" t="s">
        <v>436</v>
      </c>
      <c r="I570" s="3" t="str">
        <f>+IFERROR(VLOOKUP(C570,'Mov 2023 hasta ahora '!$C$2:$D$314,2,FALSE),"NO")</f>
        <v>NO</v>
      </c>
      <c r="K570">
        <v>6</v>
      </c>
      <c r="L570" t="s">
        <v>836</v>
      </c>
      <c r="M570">
        <v>24</v>
      </c>
      <c r="O570" s="29" t="s">
        <v>8844</v>
      </c>
      <c r="P570" s="25" t="s">
        <v>8699</v>
      </c>
      <c r="Q570" s="25">
        <v>1814</v>
      </c>
      <c r="R570" t="s">
        <v>436</v>
      </c>
    </row>
    <row r="571" spans="1:18" hidden="1">
      <c r="A571" s="23" t="s">
        <v>1162</v>
      </c>
      <c r="B571" s="23" t="s">
        <v>1163</v>
      </c>
      <c r="C571" s="23">
        <v>1787</v>
      </c>
      <c r="D571" t="s">
        <v>436</v>
      </c>
      <c r="I571" s="3" t="str">
        <f>+IFERROR(VLOOKUP(C571,'Mov 2023 hasta ahora '!$C$2:$D$314,2,FALSE),"NO")</f>
        <v>NO</v>
      </c>
      <c r="K571">
        <v>6</v>
      </c>
      <c r="L571" t="s">
        <v>836</v>
      </c>
      <c r="M571">
        <v>24</v>
      </c>
      <c r="O571" s="29" t="s">
        <v>8844</v>
      </c>
      <c r="P571" s="25" t="s">
        <v>8699</v>
      </c>
      <c r="Q571" s="25">
        <v>1814</v>
      </c>
      <c r="R571" t="s">
        <v>436</v>
      </c>
    </row>
    <row r="572" spans="1:18" hidden="1">
      <c r="A572" s="23" t="s">
        <v>1164</v>
      </c>
      <c r="B572" s="23" t="s">
        <v>1165</v>
      </c>
      <c r="C572" s="23">
        <v>1795</v>
      </c>
      <c r="D572" t="s">
        <v>436</v>
      </c>
      <c r="I572" s="3" t="str">
        <f>+IFERROR(VLOOKUP(C572,'Mov 2023 hasta ahora '!$C$2:$D$314,2,FALSE),"NO")</f>
        <v>NO</v>
      </c>
      <c r="K572">
        <v>6</v>
      </c>
      <c r="L572" t="s">
        <v>836</v>
      </c>
      <c r="M572">
        <v>24</v>
      </c>
      <c r="O572" s="29" t="s">
        <v>8844</v>
      </c>
      <c r="P572" s="25" t="s">
        <v>8699</v>
      </c>
      <c r="Q572" s="25">
        <v>1814</v>
      </c>
      <c r="R572" t="s">
        <v>436</v>
      </c>
    </row>
    <row r="573" spans="1:18" hidden="1">
      <c r="A573" s="23" t="s">
        <v>1166</v>
      </c>
      <c r="B573" s="23" t="s">
        <v>1167</v>
      </c>
      <c r="C573" s="23">
        <v>1803</v>
      </c>
      <c r="D573" t="s">
        <v>436</v>
      </c>
      <c r="I573" s="3" t="str">
        <f>+IFERROR(VLOOKUP(C573,'Mov 2023 hasta ahora '!$C$2:$D$314,2,FALSE),"NO")</f>
        <v>NO</v>
      </c>
      <c r="K573">
        <v>6</v>
      </c>
      <c r="L573" t="s">
        <v>836</v>
      </c>
      <c r="M573">
        <v>24</v>
      </c>
      <c r="O573" s="29" t="s">
        <v>8678</v>
      </c>
      <c r="P573" s="25" t="s">
        <v>8700</v>
      </c>
      <c r="Q573" s="25">
        <v>1806</v>
      </c>
      <c r="R573" t="s">
        <v>436</v>
      </c>
    </row>
    <row r="574" spans="1:18" hidden="1">
      <c r="A574" s="23" t="s">
        <v>1168</v>
      </c>
      <c r="B574" s="23" t="s">
        <v>1169</v>
      </c>
      <c r="C574" s="23">
        <v>1812</v>
      </c>
      <c r="D574" t="s">
        <v>436</v>
      </c>
      <c r="I574" s="3" t="str">
        <f>+IFERROR(VLOOKUP(C574,'Mov 2023 hasta ahora '!$C$2:$D$314,2,FALSE),"NO")</f>
        <v>NO</v>
      </c>
      <c r="K574">
        <v>6</v>
      </c>
      <c r="L574" t="s">
        <v>836</v>
      </c>
      <c r="M574">
        <v>24</v>
      </c>
      <c r="O574" s="29" t="s">
        <v>8678</v>
      </c>
      <c r="P574" s="25" t="s">
        <v>8700</v>
      </c>
      <c r="Q574" s="25">
        <v>1806</v>
      </c>
      <c r="R574" t="s">
        <v>436</v>
      </c>
    </row>
    <row r="575" spans="1:18" hidden="1">
      <c r="A575" s="23" t="s">
        <v>1170</v>
      </c>
      <c r="B575" s="23" t="s">
        <v>1171</v>
      </c>
      <c r="C575" s="23">
        <v>1820</v>
      </c>
      <c r="D575" t="s">
        <v>436</v>
      </c>
      <c r="I575" s="3" t="str">
        <f>+IFERROR(VLOOKUP(C575,'Mov 2023 hasta ahora '!$C$2:$D$314,2,FALSE),"NO")</f>
        <v>NO</v>
      </c>
      <c r="K575">
        <v>6</v>
      </c>
      <c r="L575" t="s">
        <v>836</v>
      </c>
      <c r="M575">
        <v>24</v>
      </c>
      <c r="O575" s="29" t="s">
        <v>8844</v>
      </c>
      <c r="P575" s="25" t="s">
        <v>8699</v>
      </c>
      <c r="Q575" s="25">
        <v>1814</v>
      </c>
      <c r="R575" t="s">
        <v>436</v>
      </c>
    </row>
    <row r="576" spans="1:18" hidden="1">
      <c r="A576" s="23" t="s">
        <v>1172</v>
      </c>
      <c r="B576" s="23" t="s">
        <v>1173</v>
      </c>
      <c r="C576" s="23">
        <v>2022</v>
      </c>
      <c r="I576" s="3" t="str">
        <f>+IFERROR(VLOOKUP(C576,'Mov 2023 hasta ahora '!$C$2:$D$314,2,FALSE),"NO")</f>
        <v>NO</v>
      </c>
      <c r="K576">
        <v>6</v>
      </c>
      <c r="L576" t="s">
        <v>836</v>
      </c>
      <c r="M576">
        <v>24</v>
      </c>
      <c r="O576" s="29" t="s">
        <v>8844</v>
      </c>
      <c r="P576" s="25" t="s">
        <v>8699</v>
      </c>
      <c r="Q576" s="25">
        <v>1814</v>
      </c>
      <c r="R576" t="s">
        <v>436</v>
      </c>
    </row>
    <row r="577" spans="1:18" hidden="1">
      <c r="A577" t="s">
        <v>1174</v>
      </c>
      <c r="B577" t="s">
        <v>1175</v>
      </c>
      <c r="I577" s="3" t="str">
        <f>+IFERROR(VLOOKUP(C577,'Mov 2023 hasta ahora '!$C$2:$D$314,2,FALSE),"NO")</f>
        <v>NO</v>
      </c>
      <c r="K577">
        <v>4</v>
      </c>
      <c r="L577" t="s">
        <v>836</v>
      </c>
      <c r="M577">
        <v>14</v>
      </c>
    </row>
    <row r="578" spans="1:18" hidden="1">
      <c r="A578" t="s">
        <v>1176</v>
      </c>
      <c r="B578" t="s">
        <v>1177</v>
      </c>
      <c r="I578" s="3" t="str">
        <f>+IFERROR(VLOOKUP(C578,'Mov 2023 hasta ahora '!$C$2:$D$314,2,FALSE),"NO")</f>
        <v>NO</v>
      </c>
      <c r="K578">
        <v>5</v>
      </c>
      <c r="L578" t="s">
        <v>836</v>
      </c>
      <c r="M578">
        <v>18</v>
      </c>
    </row>
    <row r="579" spans="1:18" hidden="1">
      <c r="A579" s="23" t="s">
        <v>1178</v>
      </c>
      <c r="B579" s="23" t="s">
        <v>1179</v>
      </c>
      <c r="C579" s="23">
        <v>1432</v>
      </c>
      <c r="D579" t="s">
        <v>436</v>
      </c>
      <c r="I579" s="3" t="str">
        <f>+IFERROR(VLOOKUP(C579,'Mov 2023 hasta ahora '!$C$2:$D$314,2,FALSE),"NO")</f>
        <v>NO</v>
      </c>
      <c r="K579">
        <v>6</v>
      </c>
      <c r="L579" t="s">
        <v>836</v>
      </c>
      <c r="M579">
        <v>24</v>
      </c>
      <c r="O579" s="29" t="s">
        <v>8698</v>
      </c>
      <c r="P579" s="25" t="s">
        <v>8692</v>
      </c>
      <c r="Q579" s="25">
        <v>3881</v>
      </c>
      <c r="R579" t="s">
        <v>436</v>
      </c>
    </row>
    <row r="580" spans="1:18" hidden="1">
      <c r="A580" t="s">
        <v>1180</v>
      </c>
      <c r="B580" t="s">
        <v>1181</v>
      </c>
      <c r="I580" s="3" t="str">
        <f>+IFERROR(VLOOKUP(C580,'Mov 2023 hasta ahora '!$C$2:$D$314,2,FALSE),"NO")</f>
        <v>NO</v>
      </c>
      <c r="K580">
        <v>3</v>
      </c>
      <c r="L580" t="s">
        <v>836</v>
      </c>
      <c r="M580">
        <v>10</v>
      </c>
    </row>
    <row r="581" spans="1:18" hidden="1">
      <c r="A581" t="s">
        <v>1182</v>
      </c>
      <c r="B581" t="s">
        <v>1183</v>
      </c>
      <c r="I581" s="3" t="str">
        <f>+IFERROR(VLOOKUP(C581,'Mov 2023 hasta ahora '!$C$2:$D$314,2,FALSE),"NO")</f>
        <v>NO</v>
      </c>
      <c r="K581">
        <v>4</v>
      </c>
      <c r="L581" t="s">
        <v>836</v>
      </c>
      <c r="M581">
        <v>14</v>
      </c>
    </row>
    <row r="582" spans="1:18" hidden="1">
      <c r="A582" t="s">
        <v>1184</v>
      </c>
      <c r="B582" t="s">
        <v>1185</v>
      </c>
      <c r="I582" s="3" t="str">
        <f>+IFERROR(VLOOKUP(C582,'Mov 2023 hasta ahora '!$C$2:$D$314,2,FALSE),"NO")</f>
        <v>NO</v>
      </c>
      <c r="K582">
        <v>5</v>
      </c>
      <c r="L582" t="s">
        <v>836</v>
      </c>
      <c r="M582">
        <v>18</v>
      </c>
    </row>
    <row r="583" spans="1:18" hidden="1">
      <c r="A583" s="23" t="s">
        <v>1186</v>
      </c>
      <c r="B583" s="23" t="s">
        <v>1187</v>
      </c>
      <c r="C583" s="23">
        <v>167</v>
      </c>
      <c r="D583" t="s">
        <v>436</v>
      </c>
      <c r="I583" s="3" t="str">
        <f>+IFERROR(VLOOKUP(C583,'Mov 2023 hasta ahora '!$C$2:$D$314,2,FALSE),"NO")</f>
        <v>NO</v>
      </c>
      <c r="K583">
        <v>6</v>
      </c>
      <c r="L583" t="s">
        <v>836</v>
      </c>
      <c r="M583">
        <v>24</v>
      </c>
      <c r="O583" s="29" t="s">
        <v>8679</v>
      </c>
      <c r="P583" s="25" t="s">
        <v>8677</v>
      </c>
      <c r="Q583" s="25">
        <v>2450</v>
      </c>
      <c r="R583" t="s">
        <v>436</v>
      </c>
    </row>
    <row r="584" spans="1:18" hidden="1">
      <c r="A584" t="s">
        <v>1188</v>
      </c>
      <c r="B584" t="s">
        <v>1189</v>
      </c>
      <c r="I584" s="3" t="str">
        <f>+IFERROR(VLOOKUP(C584,'Mov 2023 hasta ahora '!$C$2:$D$314,2,FALSE),"NO")</f>
        <v>NO</v>
      </c>
      <c r="K584">
        <v>3</v>
      </c>
      <c r="L584" t="s">
        <v>836</v>
      </c>
      <c r="M584">
        <v>10</v>
      </c>
    </row>
    <row r="585" spans="1:18" hidden="1">
      <c r="A585" t="s">
        <v>1190</v>
      </c>
      <c r="B585" t="s">
        <v>1191</v>
      </c>
      <c r="I585" s="3" t="str">
        <f>+IFERROR(VLOOKUP(C585,'Mov 2023 hasta ahora '!$C$2:$D$314,2,FALSE),"NO")</f>
        <v>NO</v>
      </c>
      <c r="K585">
        <v>4</v>
      </c>
      <c r="L585" t="s">
        <v>836</v>
      </c>
      <c r="M585">
        <v>14</v>
      </c>
    </row>
    <row r="586" spans="1:18" hidden="1">
      <c r="A586" t="s">
        <v>1192</v>
      </c>
      <c r="B586" t="s">
        <v>1193</v>
      </c>
      <c r="I586" s="3" t="str">
        <f>+IFERROR(VLOOKUP(C586,'Mov 2023 hasta ahora '!$C$2:$D$314,2,FALSE),"NO")</f>
        <v>NO</v>
      </c>
      <c r="K586">
        <v>5</v>
      </c>
      <c r="L586" t="s">
        <v>836</v>
      </c>
      <c r="M586">
        <v>18</v>
      </c>
    </row>
    <row r="587" spans="1:18" hidden="1">
      <c r="A587" s="23" t="s">
        <v>1194</v>
      </c>
      <c r="B587" s="23" t="s">
        <v>1195</v>
      </c>
      <c r="C587" s="23">
        <v>168</v>
      </c>
      <c r="D587" t="s">
        <v>436</v>
      </c>
      <c r="I587" s="3" t="str">
        <f>+IFERROR(VLOOKUP(C587,'Mov 2023 hasta ahora '!$C$2:$D$314,2,FALSE),"NO")</f>
        <v>NO</v>
      </c>
      <c r="K587">
        <v>6</v>
      </c>
      <c r="L587" t="s">
        <v>836</v>
      </c>
      <c r="M587">
        <v>24</v>
      </c>
      <c r="O587" s="29" t="s">
        <v>8679</v>
      </c>
      <c r="P587" s="25" t="s">
        <v>8677</v>
      </c>
      <c r="Q587" s="25">
        <v>2450</v>
      </c>
      <c r="R587" t="s">
        <v>436</v>
      </c>
    </row>
    <row r="588" spans="1:18" hidden="1">
      <c r="A588" t="s">
        <v>1196</v>
      </c>
      <c r="B588" t="s">
        <v>1197</v>
      </c>
      <c r="I588" s="3" t="str">
        <f>+IFERROR(VLOOKUP(C588,'Mov 2023 hasta ahora '!$C$2:$D$314,2,FALSE),"NO")</f>
        <v>NO</v>
      </c>
      <c r="K588">
        <v>3</v>
      </c>
      <c r="L588" t="s">
        <v>836</v>
      </c>
      <c r="M588">
        <v>10</v>
      </c>
    </row>
    <row r="589" spans="1:18" hidden="1">
      <c r="A589" t="s">
        <v>1198</v>
      </c>
      <c r="B589" t="s">
        <v>1199</v>
      </c>
      <c r="I589" s="3" t="str">
        <f>+IFERROR(VLOOKUP(C589,'Mov 2023 hasta ahora '!$C$2:$D$314,2,FALSE),"NO")</f>
        <v>NO</v>
      </c>
      <c r="K589">
        <v>4</v>
      </c>
      <c r="L589" t="s">
        <v>836</v>
      </c>
      <c r="M589">
        <v>14</v>
      </c>
    </row>
    <row r="590" spans="1:18" hidden="1">
      <c r="A590" t="s">
        <v>1200</v>
      </c>
      <c r="B590" t="s">
        <v>1201</v>
      </c>
      <c r="I590" s="3" t="str">
        <f>+IFERROR(VLOOKUP(C590,'Mov 2023 hasta ahora '!$C$2:$D$314,2,FALSE),"NO")</f>
        <v>NO</v>
      </c>
      <c r="K590">
        <v>5</v>
      </c>
      <c r="L590" t="s">
        <v>836</v>
      </c>
      <c r="M590">
        <v>18</v>
      </c>
    </row>
    <row r="591" spans="1:18" hidden="1">
      <c r="A591" s="23" t="s">
        <v>1202</v>
      </c>
      <c r="B591" s="23" t="s">
        <v>1203</v>
      </c>
      <c r="C591" s="23">
        <v>1945</v>
      </c>
      <c r="I591" s="3" t="str">
        <f>+IFERROR(VLOOKUP(C591,'Mov 2023 hasta ahora '!$C$2:$D$314,2,FALSE),"NO")</f>
        <v>NO</v>
      </c>
      <c r="K591">
        <v>6</v>
      </c>
      <c r="L591" t="s">
        <v>836</v>
      </c>
      <c r="M591">
        <v>24</v>
      </c>
      <c r="O591" s="29" t="s">
        <v>8679</v>
      </c>
      <c r="P591" s="25" t="s">
        <v>8677</v>
      </c>
      <c r="Q591" s="25">
        <v>2450</v>
      </c>
      <c r="R591" t="s">
        <v>436</v>
      </c>
    </row>
    <row r="592" spans="1:18" hidden="1">
      <c r="A592" s="23" t="s">
        <v>1204</v>
      </c>
      <c r="B592" s="23" t="s">
        <v>1205</v>
      </c>
      <c r="C592" s="23">
        <v>1946</v>
      </c>
      <c r="I592" s="3" t="str">
        <f>+IFERROR(VLOOKUP(C592,'Mov 2023 hasta ahora '!$C$2:$D$314,2,FALSE),"NO")</f>
        <v>NO</v>
      </c>
      <c r="K592">
        <v>6</v>
      </c>
      <c r="L592" t="s">
        <v>836</v>
      </c>
      <c r="M592">
        <v>24</v>
      </c>
      <c r="O592" s="29" t="s">
        <v>8844</v>
      </c>
      <c r="P592" s="25" t="s">
        <v>8699</v>
      </c>
      <c r="Q592" s="25">
        <v>1814</v>
      </c>
      <c r="R592" t="s">
        <v>436</v>
      </c>
    </row>
    <row r="593" spans="1:18" hidden="1">
      <c r="A593" s="23" t="s">
        <v>1206</v>
      </c>
      <c r="B593" s="23" t="s">
        <v>1207</v>
      </c>
      <c r="C593" s="23">
        <v>1947</v>
      </c>
      <c r="I593" s="3" t="str">
        <f>+IFERROR(VLOOKUP(C593,'Mov 2023 hasta ahora '!$C$2:$D$314,2,FALSE),"NO")</f>
        <v>NO</v>
      </c>
      <c r="K593">
        <v>6</v>
      </c>
      <c r="L593" t="s">
        <v>836</v>
      </c>
      <c r="M593">
        <v>24</v>
      </c>
      <c r="O593" s="29" t="s">
        <v>8844</v>
      </c>
      <c r="P593" s="25" t="s">
        <v>8699</v>
      </c>
      <c r="Q593" s="25">
        <v>1814</v>
      </c>
      <c r="R593" t="s">
        <v>436</v>
      </c>
    </row>
    <row r="594" spans="1:18" hidden="1">
      <c r="A594" s="23" t="s">
        <v>1208</v>
      </c>
      <c r="B594" s="23" t="s">
        <v>1209</v>
      </c>
      <c r="C594" s="23">
        <v>1948</v>
      </c>
      <c r="I594" s="3" t="str">
        <f>+IFERROR(VLOOKUP(C594,'Mov 2023 hasta ahora '!$C$2:$D$314,2,FALSE),"NO")</f>
        <v>NO</v>
      </c>
      <c r="K594">
        <v>6</v>
      </c>
      <c r="L594" t="s">
        <v>836</v>
      </c>
      <c r="M594">
        <v>24</v>
      </c>
      <c r="O594" s="29" t="s">
        <v>8844</v>
      </c>
      <c r="P594" s="25" t="s">
        <v>8699</v>
      </c>
      <c r="Q594" s="25">
        <v>1814</v>
      </c>
      <c r="R594" t="s">
        <v>436</v>
      </c>
    </row>
    <row r="595" spans="1:18" hidden="1">
      <c r="A595" s="23" t="s">
        <v>1210</v>
      </c>
      <c r="B595" s="23" t="s">
        <v>1211</v>
      </c>
      <c r="C595" s="23">
        <v>1949</v>
      </c>
      <c r="I595" s="3" t="str">
        <f>+IFERROR(VLOOKUP(C595,'Mov 2023 hasta ahora '!$C$2:$D$314,2,FALSE),"NO")</f>
        <v>NO</v>
      </c>
      <c r="K595">
        <v>6</v>
      </c>
      <c r="L595" t="s">
        <v>836</v>
      </c>
      <c r="M595">
        <v>24</v>
      </c>
      <c r="O595" s="29" t="s">
        <v>8678</v>
      </c>
      <c r="P595" s="25" t="s">
        <v>8700</v>
      </c>
      <c r="Q595" s="25">
        <v>1806</v>
      </c>
      <c r="R595" t="s">
        <v>436</v>
      </c>
    </row>
    <row r="596" spans="1:18" hidden="1">
      <c r="A596" s="23" t="s">
        <v>1212</v>
      </c>
      <c r="B596" s="23" t="s">
        <v>1213</v>
      </c>
      <c r="C596" s="23">
        <v>1898</v>
      </c>
      <c r="I596" s="3" t="str">
        <f>+IFERROR(VLOOKUP(C596,'Mov 2023 hasta ahora '!$C$2:$D$314,2,FALSE),"NO")</f>
        <v>NO</v>
      </c>
      <c r="K596">
        <v>6</v>
      </c>
      <c r="L596" t="s">
        <v>836</v>
      </c>
      <c r="M596">
        <v>24</v>
      </c>
      <c r="O596" s="29" t="s">
        <v>8678</v>
      </c>
      <c r="P596" s="25" t="s">
        <v>8700</v>
      </c>
      <c r="Q596" s="25">
        <v>1806</v>
      </c>
      <c r="R596" t="s">
        <v>436</v>
      </c>
    </row>
    <row r="597" spans="1:18" hidden="1">
      <c r="A597" s="23" t="s">
        <v>1214</v>
      </c>
      <c r="B597" s="23" t="s">
        <v>1215</v>
      </c>
      <c r="C597" s="23">
        <v>1950</v>
      </c>
      <c r="I597" s="3" t="str">
        <f>+IFERROR(VLOOKUP(C597,'Mov 2023 hasta ahora '!$C$2:$D$314,2,FALSE),"NO")</f>
        <v>NO</v>
      </c>
      <c r="K597">
        <v>6</v>
      </c>
      <c r="L597" t="s">
        <v>836</v>
      </c>
      <c r="M597">
        <v>24</v>
      </c>
      <c r="O597" s="29" t="s">
        <v>8844</v>
      </c>
      <c r="P597" s="25" t="s">
        <v>8699</v>
      </c>
      <c r="Q597" s="25">
        <v>1814</v>
      </c>
      <c r="R597" t="s">
        <v>436</v>
      </c>
    </row>
    <row r="598" spans="1:18" hidden="1">
      <c r="A598" s="23" t="s">
        <v>1216</v>
      </c>
      <c r="B598" s="23" t="s">
        <v>1217</v>
      </c>
      <c r="C598" s="23">
        <v>2023</v>
      </c>
      <c r="I598" s="3" t="str">
        <f>+IFERROR(VLOOKUP(C598,'Mov 2023 hasta ahora '!$C$2:$D$314,2,FALSE),"NO")</f>
        <v>NO</v>
      </c>
      <c r="K598">
        <v>6</v>
      </c>
      <c r="L598" t="s">
        <v>836</v>
      </c>
      <c r="M598">
        <v>24</v>
      </c>
      <c r="O598" s="29" t="s">
        <v>8844</v>
      </c>
      <c r="P598" s="25" t="s">
        <v>8699</v>
      </c>
      <c r="Q598" s="25">
        <v>1814</v>
      </c>
      <c r="R598" t="s">
        <v>436</v>
      </c>
    </row>
    <row r="599" spans="1:18" hidden="1">
      <c r="A599" t="s">
        <v>1218</v>
      </c>
      <c r="B599" t="s">
        <v>1219</v>
      </c>
      <c r="I599" s="3" t="str">
        <f>+IFERROR(VLOOKUP(C599,'Mov 2023 hasta ahora '!$C$2:$D$314,2,FALSE),"NO")</f>
        <v>NO</v>
      </c>
      <c r="K599">
        <v>4</v>
      </c>
      <c r="L599" t="s">
        <v>836</v>
      </c>
      <c r="M599">
        <v>14</v>
      </c>
    </row>
    <row r="600" spans="1:18" hidden="1">
      <c r="A600" t="s">
        <v>1220</v>
      </c>
      <c r="B600" t="s">
        <v>1221</v>
      </c>
      <c r="I600" s="3" t="str">
        <f>+IFERROR(VLOOKUP(C600,'Mov 2023 hasta ahora '!$C$2:$D$314,2,FALSE),"NO")</f>
        <v>NO</v>
      </c>
      <c r="K600">
        <v>5</v>
      </c>
      <c r="L600" t="s">
        <v>836</v>
      </c>
      <c r="M600">
        <v>18</v>
      </c>
    </row>
    <row r="601" spans="1:18" hidden="1">
      <c r="A601" s="23" t="s">
        <v>1222</v>
      </c>
      <c r="B601" s="23" t="s">
        <v>1223</v>
      </c>
      <c r="C601" s="23">
        <v>1896</v>
      </c>
      <c r="I601" s="3" t="str">
        <f>+IFERROR(VLOOKUP(C601,'Mov 2023 hasta ahora '!$C$2:$D$314,2,FALSE),"NO")</f>
        <v>NO</v>
      </c>
      <c r="K601">
        <v>6</v>
      </c>
      <c r="L601" t="s">
        <v>836</v>
      </c>
      <c r="M601">
        <v>24</v>
      </c>
      <c r="O601" s="29" t="s">
        <v>8698</v>
      </c>
      <c r="P601" s="25" t="s">
        <v>8692</v>
      </c>
      <c r="Q601" s="25">
        <v>3881</v>
      </c>
      <c r="R601" t="s">
        <v>436</v>
      </c>
    </row>
    <row r="602" spans="1:18" hidden="1">
      <c r="A602" t="s">
        <v>1224</v>
      </c>
      <c r="B602" t="s">
        <v>1225</v>
      </c>
      <c r="I602" s="3" t="str">
        <f>+IFERROR(VLOOKUP(C602,'Mov 2023 hasta ahora '!$C$2:$D$314,2,FALSE),"NO")</f>
        <v>NO</v>
      </c>
      <c r="K602">
        <v>3</v>
      </c>
      <c r="L602" t="s">
        <v>836</v>
      </c>
      <c r="M602">
        <v>10</v>
      </c>
    </row>
    <row r="603" spans="1:18" hidden="1">
      <c r="A603" t="s">
        <v>1226</v>
      </c>
      <c r="B603" t="s">
        <v>1227</v>
      </c>
      <c r="I603" s="3" t="str">
        <f>+IFERROR(VLOOKUP(C603,'Mov 2023 hasta ahora '!$C$2:$D$314,2,FALSE),"NO")</f>
        <v>NO</v>
      </c>
      <c r="K603">
        <v>4</v>
      </c>
      <c r="L603" t="s">
        <v>836</v>
      </c>
      <c r="M603">
        <v>14</v>
      </c>
    </row>
    <row r="604" spans="1:18" hidden="1">
      <c r="A604" t="s">
        <v>1228</v>
      </c>
      <c r="B604" t="s">
        <v>1229</v>
      </c>
      <c r="I604" s="3" t="str">
        <f>+IFERROR(VLOOKUP(C604,'Mov 2023 hasta ahora '!$C$2:$D$314,2,FALSE),"NO")</f>
        <v>NO</v>
      </c>
      <c r="K604">
        <v>5</v>
      </c>
      <c r="L604" t="s">
        <v>836</v>
      </c>
      <c r="M604">
        <v>18</v>
      </c>
    </row>
    <row r="605" spans="1:18" hidden="1">
      <c r="A605" s="23" t="s">
        <v>1230</v>
      </c>
      <c r="B605" s="23" t="s">
        <v>1231</v>
      </c>
      <c r="C605" s="23">
        <v>1899</v>
      </c>
      <c r="I605" s="3" t="str">
        <f>+IFERROR(VLOOKUP(C605,'Mov 2023 hasta ahora '!$C$2:$D$314,2,FALSE),"NO")</f>
        <v>NO</v>
      </c>
      <c r="K605">
        <v>6</v>
      </c>
      <c r="L605" t="s">
        <v>836</v>
      </c>
      <c r="M605">
        <v>24</v>
      </c>
      <c r="O605" s="29" t="s">
        <v>8678</v>
      </c>
      <c r="P605" s="25" t="s">
        <v>8700</v>
      </c>
      <c r="Q605" s="25">
        <v>1806</v>
      </c>
      <c r="R605" t="s">
        <v>436</v>
      </c>
    </row>
    <row r="606" spans="1:18" hidden="1">
      <c r="A606" t="s">
        <v>1232</v>
      </c>
      <c r="B606" t="s">
        <v>1233</v>
      </c>
      <c r="I606" s="3" t="str">
        <f>+IFERROR(VLOOKUP(C606,'Mov 2023 hasta ahora '!$C$2:$D$314,2,FALSE),"NO")</f>
        <v>NO</v>
      </c>
      <c r="K606">
        <v>4</v>
      </c>
      <c r="L606" t="s">
        <v>836</v>
      </c>
      <c r="M606">
        <v>14</v>
      </c>
    </row>
    <row r="607" spans="1:18" hidden="1">
      <c r="A607" t="s">
        <v>1234</v>
      </c>
      <c r="B607" t="s">
        <v>1235</v>
      </c>
      <c r="I607" s="3" t="str">
        <f>+IFERROR(VLOOKUP(C607,'Mov 2023 hasta ahora '!$C$2:$D$314,2,FALSE),"NO")</f>
        <v>NO</v>
      </c>
      <c r="K607">
        <v>5</v>
      </c>
      <c r="L607" t="s">
        <v>836</v>
      </c>
      <c r="M607">
        <v>18</v>
      </c>
    </row>
    <row r="608" spans="1:18" hidden="1">
      <c r="A608" s="23" t="s">
        <v>1236</v>
      </c>
      <c r="B608" s="23" t="s">
        <v>1237</v>
      </c>
      <c r="C608" s="23">
        <v>1897</v>
      </c>
      <c r="I608" s="3" t="str">
        <f>+IFERROR(VLOOKUP(C608,'Mov 2023 hasta ahora '!$C$2:$D$314,2,FALSE),"NO")</f>
        <v>NO</v>
      </c>
      <c r="K608">
        <v>6</v>
      </c>
      <c r="L608" t="s">
        <v>836</v>
      </c>
      <c r="M608">
        <v>24</v>
      </c>
      <c r="O608" s="29" t="s">
        <v>8698</v>
      </c>
      <c r="P608" s="25" t="s">
        <v>8692</v>
      </c>
      <c r="Q608" s="25">
        <v>3881</v>
      </c>
      <c r="R608" t="s">
        <v>436</v>
      </c>
    </row>
    <row r="609" spans="1:18" hidden="1">
      <c r="A609" t="s">
        <v>1238</v>
      </c>
      <c r="B609" t="s">
        <v>1239</v>
      </c>
      <c r="I609" s="3" t="str">
        <f>+IFERROR(VLOOKUP(C609,'Mov 2023 hasta ahora '!$C$2:$D$314,2,FALSE),"NO")</f>
        <v>NO</v>
      </c>
      <c r="K609">
        <v>3</v>
      </c>
      <c r="L609" t="s">
        <v>836</v>
      </c>
      <c r="M609">
        <v>10</v>
      </c>
    </row>
    <row r="610" spans="1:18" hidden="1">
      <c r="A610" t="s">
        <v>1240</v>
      </c>
      <c r="B610" t="s">
        <v>1241</v>
      </c>
      <c r="I610" s="3" t="str">
        <f>+IFERROR(VLOOKUP(C610,'Mov 2023 hasta ahora '!$C$2:$D$314,2,FALSE),"NO")</f>
        <v>NO</v>
      </c>
      <c r="K610">
        <v>4</v>
      </c>
      <c r="L610" t="s">
        <v>836</v>
      </c>
      <c r="M610">
        <v>14</v>
      </c>
    </row>
    <row r="611" spans="1:18" hidden="1">
      <c r="A611" t="s">
        <v>1242</v>
      </c>
      <c r="B611" t="s">
        <v>1243</v>
      </c>
      <c r="I611" s="3" t="str">
        <f>+IFERROR(VLOOKUP(C611,'Mov 2023 hasta ahora '!$C$2:$D$314,2,FALSE),"NO")</f>
        <v>NO</v>
      </c>
      <c r="K611">
        <v>5</v>
      </c>
      <c r="L611" t="s">
        <v>836</v>
      </c>
      <c r="M611">
        <v>18</v>
      </c>
    </row>
    <row r="612" spans="1:18" hidden="1">
      <c r="A612" s="23" t="s">
        <v>1244</v>
      </c>
      <c r="B612" s="23" t="s">
        <v>1245</v>
      </c>
      <c r="C612" s="23">
        <v>2008</v>
      </c>
      <c r="I612" s="3" t="str">
        <f>+IFERROR(VLOOKUP(C612,'Mov 2023 hasta ahora '!$C$2:$D$314,2,FALSE),"NO")</f>
        <v>NO</v>
      </c>
      <c r="K612">
        <v>6</v>
      </c>
      <c r="L612" t="s">
        <v>836</v>
      </c>
      <c r="M612">
        <v>24</v>
      </c>
      <c r="O612" s="29" t="s">
        <v>8679</v>
      </c>
      <c r="P612" s="25" t="s">
        <v>8677</v>
      </c>
      <c r="Q612" s="25">
        <v>2450</v>
      </c>
      <c r="R612" t="s">
        <v>436</v>
      </c>
    </row>
    <row r="613" spans="1:18" hidden="1">
      <c r="A613" s="23" t="s">
        <v>1246</v>
      </c>
      <c r="B613" s="23" t="s">
        <v>1247</v>
      </c>
      <c r="C613" s="23">
        <v>2009</v>
      </c>
      <c r="I613" s="3" t="str">
        <f>+IFERROR(VLOOKUP(C613,'Mov 2023 hasta ahora '!$C$2:$D$314,2,FALSE),"NO")</f>
        <v>NO</v>
      </c>
      <c r="K613">
        <v>6</v>
      </c>
      <c r="L613" t="s">
        <v>836</v>
      </c>
      <c r="M613">
        <v>24</v>
      </c>
      <c r="O613" s="29" t="s">
        <v>8844</v>
      </c>
      <c r="P613" s="25" t="s">
        <v>8699</v>
      </c>
      <c r="Q613" s="25">
        <v>1814</v>
      </c>
      <c r="R613" t="s">
        <v>436</v>
      </c>
    </row>
    <row r="614" spans="1:18" hidden="1">
      <c r="A614" s="23" t="s">
        <v>1248</v>
      </c>
      <c r="B614" s="23" t="s">
        <v>1249</v>
      </c>
      <c r="C614" s="23">
        <v>2010</v>
      </c>
      <c r="I614" s="3" t="str">
        <f>+IFERROR(VLOOKUP(C614,'Mov 2023 hasta ahora '!$C$2:$D$314,2,FALSE),"NO")</f>
        <v>NO</v>
      </c>
      <c r="K614">
        <v>6</v>
      </c>
      <c r="L614" t="s">
        <v>836</v>
      </c>
      <c r="M614">
        <v>24</v>
      </c>
      <c r="O614" s="29" t="s">
        <v>8844</v>
      </c>
      <c r="P614" s="25" t="s">
        <v>8699</v>
      </c>
      <c r="Q614" s="25">
        <v>1814</v>
      </c>
      <c r="R614" t="s">
        <v>436</v>
      </c>
    </row>
    <row r="615" spans="1:18" hidden="1">
      <c r="A615" s="23" t="s">
        <v>1250</v>
      </c>
      <c r="B615" s="23" t="s">
        <v>1251</v>
      </c>
      <c r="C615" s="23">
        <v>2011</v>
      </c>
      <c r="I615" s="3" t="str">
        <f>+IFERROR(VLOOKUP(C615,'Mov 2023 hasta ahora '!$C$2:$D$314,2,FALSE),"NO")</f>
        <v>NO</v>
      </c>
      <c r="K615">
        <v>6</v>
      </c>
      <c r="L615" t="s">
        <v>836</v>
      </c>
      <c r="M615">
        <v>24</v>
      </c>
      <c r="O615" s="29" t="s">
        <v>8844</v>
      </c>
      <c r="P615" s="25" t="s">
        <v>8699</v>
      </c>
      <c r="Q615" s="25">
        <v>1814</v>
      </c>
      <c r="R615" t="s">
        <v>436</v>
      </c>
    </row>
    <row r="616" spans="1:18" hidden="1">
      <c r="A616" s="23" t="s">
        <v>1252</v>
      </c>
      <c r="B616" s="23" t="s">
        <v>1253</v>
      </c>
      <c r="C616" s="23">
        <v>2012</v>
      </c>
      <c r="I616" s="3" t="str">
        <f>+IFERROR(VLOOKUP(C616,'Mov 2023 hasta ahora '!$C$2:$D$314,2,FALSE),"NO")</f>
        <v>NO</v>
      </c>
      <c r="K616">
        <v>6</v>
      </c>
      <c r="L616" t="s">
        <v>836</v>
      </c>
      <c r="M616">
        <v>24</v>
      </c>
      <c r="O616" s="29" t="s">
        <v>8678</v>
      </c>
      <c r="P616" s="25" t="s">
        <v>8700</v>
      </c>
      <c r="Q616" s="25">
        <v>1806</v>
      </c>
      <c r="R616" t="s">
        <v>436</v>
      </c>
    </row>
    <row r="617" spans="1:18" hidden="1">
      <c r="A617" s="23" t="s">
        <v>1254</v>
      </c>
      <c r="B617" s="23" t="s">
        <v>1255</v>
      </c>
      <c r="C617" s="23">
        <v>1968</v>
      </c>
      <c r="I617" s="3" t="str">
        <f>+IFERROR(VLOOKUP(C617,'Mov 2023 hasta ahora '!$C$2:$D$314,2,FALSE),"NO")</f>
        <v>NO</v>
      </c>
      <c r="K617">
        <v>6</v>
      </c>
      <c r="L617" t="s">
        <v>836</v>
      </c>
      <c r="M617">
        <v>24</v>
      </c>
      <c r="O617" s="29" t="s">
        <v>8678</v>
      </c>
      <c r="P617" s="25" t="s">
        <v>8700</v>
      </c>
      <c r="Q617" s="25">
        <v>1806</v>
      </c>
      <c r="R617" t="s">
        <v>436</v>
      </c>
    </row>
    <row r="618" spans="1:18" hidden="1">
      <c r="A618" s="23" t="s">
        <v>1256</v>
      </c>
      <c r="B618" s="23" t="s">
        <v>1257</v>
      </c>
      <c r="C618" s="23">
        <v>2013</v>
      </c>
      <c r="I618" s="3" t="str">
        <f>+IFERROR(VLOOKUP(C618,'Mov 2023 hasta ahora '!$C$2:$D$314,2,FALSE),"NO")</f>
        <v>NO</v>
      </c>
      <c r="K618">
        <v>6</v>
      </c>
      <c r="L618" t="s">
        <v>836</v>
      </c>
      <c r="M618">
        <v>24</v>
      </c>
      <c r="O618" s="29" t="s">
        <v>8844</v>
      </c>
      <c r="P618" s="25" t="s">
        <v>8699</v>
      </c>
      <c r="Q618" s="25">
        <v>1814</v>
      </c>
      <c r="R618" t="s">
        <v>436</v>
      </c>
    </row>
    <row r="619" spans="1:18" hidden="1">
      <c r="A619" s="23" t="s">
        <v>1258</v>
      </c>
      <c r="B619" s="23" t="s">
        <v>1259</v>
      </c>
      <c r="C619" s="23">
        <v>2024</v>
      </c>
      <c r="I619" s="3" t="str">
        <f>+IFERROR(VLOOKUP(C619,'Mov 2023 hasta ahora '!$C$2:$D$314,2,FALSE),"NO")</f>
        <v>NO</v>
      </c>
      <c r="K619">
        <v>6</v>
      </c>
      <c r="L619" t="s">
        <v>836</v>
      </c>
      <c r="M619">
        <v>24</v>
      </c>
      <c r="O619" s="29" t="s">
        <v>8844</v>
      </c>
      <c r="P619" s="25" t="s">
        <v>8699</v>
      </c>
      <c r="Q619" s="25">
        <v>1814</v>
      </c>
      <c r="R619" t="s">
        <v>436</v>
      </c>
    </row>
    <row r="620" spans="1:18" hidden="1">
      <c r="A620" t="s">
        <v>1260</v>
      </c>
      <c r="B620" t="s">
        <v>1261</v>
      </c>
      <c r="I620" s="3" t="str">
        <f>+IFERROR(VLOOKUP(C620,'Mov 2023 hasta ahora '!$C$2:$D$314,2,FALSE),"NO")</f>
        <v>NO</v>
      </c>
      <c r="K620">
        <v>4</v>
      </c>
      <c r="L620" t="s">
        <v>836</v>
      </c>
      <c r="M620">
        <v>14</v>
      </c>
    </row>
    <row r="621" spans="1:18" hidden="1">
      <c r="A621" t="s">
        <v>1262</v>
      </c>
      <c r="B621" t="s">
        <v>1263</v>
      </c>
      <c r="I621" s="3" t="str">
        <f>+IFERROR(VLOOKUP(C621,'Mov 2023 hasta ahora '!$C$2:$D$314,2,FALSE),"NO")</f>
        <v>NO</v>
      </c>
      <c r="K621">
        <v>5</v>
      </c>
      <c r="L621" t="s">
        <v>836</v>
      </c>
      <c r="M621">
        <v>18</v>
      </c>
    </row>
    <row r="622" spans="1:18" hidden="1">
      <c r="A622" s="23" t="s">
        <v>1264</v>
      </c>
      <c r="B622" s="23" t="s">
        <v>1265</v>
      </c>
      <c r="C622" s="23">
        <v>1969</v>
      </c>
      <c r="I622" s="3" t="str">
        <f>+IFERROR(VLOOKUP(C622,'Mov 2023 hasta ahora '!$C$2:$D$314,2,FALSE),"NO")</f>
        <v>NO</v>
      </c>
      <c r="K622">
        <v>6</v>
      </c>
      <c r="L622" t="s">
        <v>836</v>
      </c>
      <c r="M622">
        <v>24</v>
      </c>
      <c r="O622" s="29" t="s">
        <v>8698</v>
      </c>
      <c r="P622" s="25" t="s">
        <v>8692</v>
      </c>
      <c r="Q622" s="25">
        <v>3881</v>
      </c>
      <c r="R622" t="s">
        <v>436</v>
      </c>
    </row>
    <row r="623" spans="1:18" hidden="1">
      <c r="A623" s="23" t="s">
        <v>1266</v>
      </c>
      <c r="B623" s="23" t="s">
        <v>1267</v>
      </c>
      <c r="C623" s="23">
        <v>2025</v>
      </c>
      <c r="I623" s="3" t="str">
        <f>+IFERROR(VLOOKUP(C623,'Mov 2023 hasta ahora '!$C$2:$D$314,2,FALSE),"NO")</f>
        <v>NO</v>
      </c>
      <c r="K623">
        <v>6</v>
      </c>
      <c r="L623" t="s">
        <v>836</v>
      </c>
      <c r="M623">
        <v>24</v>
      </c>
      <c r="O623" s="29" t="s">
        <v>8678</v>
      </c>
      <c r="P623" s="25" t="s">
        <v>8700</v>
      </c>
      <c r="Q623" s="25">
        <v>1806</v>
      </c>
      <c r="R623" t="s">
        <v>436</v>
      </c>
    </row>
    <row r="624" spans="1:18" hidden="1">
      <c r="A624" t="s">
        <v>1268</v>
      </c>
      <c r="B624" t="s">
        <v>1269</v>
      </c>
      <c r="I624" s="3" t="str">
        <f>+IFERROR(VLOOKUP(C624,'Mov 2023 hasta ahora '!$C$2:$D$314,2,FALSE),"NO")</f>
        <v>NO</v>
      </c>
      <c r="K624">
        <v>3</v>
      </c>
      <c r="L624" t="s">
        <v>836</v>
      </c>
      <c r="M624">
        <v>10</v>
      </c>
    </row>
    <row r="625" spans="1:18" hidden="1">
      <c r="A625" t="s">
        <v>1270</v>
      </c>
      <c r="B625" t="s">
        <v>1271</v>
      </c>
      <c r="I625" s="3" t="str">
        <f>+IFERROR(VLOOKUP(C625,'Mov 2023 hasta ahora '!$C$2:$D$314,2,FALSE),"NO")</f>
        <v>NO</v>
      </c>
      <c r="K625">
        <v>4</v>
      </c>
      <c r="L625" t="s">
        <v>836</v>
      </c>
      <c r="M625">
        <v>14</v>
      </c>
    </row>
    <row r="626" spans="1:18" hidden="1">
      <c r="A626" t="s">
        <v>1272</v>
      </c>
      <c r="B626" t="s">
        <v>1273</v>
      </c>
      <c r="I626" s="3" t="str">
        <f>+IFERROR(VLOOKUP(C626,'Mov 2023 hasta ahora '!$C$2:$D$314,2,FALSE),"NO")</f>
        <v>NO</v>
      </c>
      <c r="K626">
        <v>5</v>
      </c>
      <c r="L626" t="s">
        <v>836</v>
      </c>
      <c r="M626">
        <v>18</v>
      </c>
    </row>
    <row r="627" spans="1:18" hidden="1">
      <c r="A627" s="23" t="s">
        <v>1274</v>
      </c>
      <c r="B627" s="23" t="s">
        <v>1275</v>
      </c>
      <c r="C627" s="23">
        <v>2029</v>
      </c>
      <c r="I627" s="3" t="str">
        <f>+IFERROR(VLOOKUP(C627,'Mov 2023 hasta ahora '!$C$2:$D$314,2,FALSE),"NO")</f>
        <v>NO</v>
      </c>
      <c r="K627">
        <v>6</v>
      </c>
      <c r="L627" t="s">
        <v>836</v>
      </c>
      <c r="M627">
        <v>24</v>
      </c>
      <c r="O627" s="29" t="s">
        <v>8679</v>
      </c>
      <c r="P627" s="25" t="s">
        <v>8677</v>
      </c>
      <c r="Q627" s="25">
        <v>2450</v>
      </c>
      <c r="R627" t="s">
        <v>436</v>
      </c>
    </row>
    <row r="628" spans="1:18" hidden="1">
      <c r="A628" s="23" t="s">
        <v>1276</v>
      </c>
      <c r="B628" s="23" t="s">
        <v>1277</v>
      </c>
      <c r="C628" s="23">
        <v>2030</v>
      </c>
      <c r="I628" s="3">
        <f>+IFERROR(VLOOKUP(C628,'Mov 2023 hasta ahora '!$C$2:$D$314,2,FALSE),"NO")</f>
        <v>2</v>
      </c>
      <c r="K628">
        <v>6</v>
      </c>
      <c r="L628" t="s">
        <v>836</v>
      </c>
      <c r="M628">
        <v>24</v>
      </c>
      <c r="O628" s="29" t="s">
        <v>8943</v>
      </c>
      <c r="P628" s="25" t="s">
        <v>8842</v>
      </c>
      <c r="Q628" s="25">
        <v>2030</v>
      </c>
      <c r="R628" t="s">
        <v>436</v>
      </c>
    </row>
    <row r="629" spans="1:18" hidden="1">
      <c r="A629" s="23" t="s">
        <v>1278</v>
      </c>
      <c r="B629" s="23" t="s">
        <v>1279</v>
      </c>
      <c r="C629" s="23">
        <v>2031</v>
      </c>
      <c r="I629" s="3">
        <f>+IFERROR(VLOOKUP(C629,'Mov 2023 hasta ahora '!$C$2:$D$314,2,FALSE),"NO")</f>
        <v>2</v>
      </c>
      <c r="K629">
        <v>6</v>
      </c>
      <c r="L629" t="s">
        <v>836</v>
      </c>
      <c r="M629">
        <v>24</v>
      </c>
      <c r="O629" s="29" t="s">
        <v>8943</v>
      </c>
      <c r="P629" s="25" t="s">
        <v>8842</v>
      </c>
      <c r="Q629" s="25">
        <v>2030</v>
      </c>
      <c r="R629" t="s">
        <v>436</v>
      </c>
    </row>
    <row r="630" spans="1:18" hidden="1">
      <c r="A630" s="23" t="s">
        <v>1280</v>
      </c>
      <c r="B630" s="23" t="s">
        <v>1281</v>
      </c>
      <c r="C630" s="23">
        <v>2032</v>
      </c>
      <c r="I630" s="3" t="str">
        <f>+IFERROR(VLOOKUP(C630,'Mov 2023 hasta ahora '!$C$2:$D$314,2,FALSE),"NO")</f>
        <v>NO</v>
      </c>
      <c r="K630">
        <v>6</v>
      </c>
      <c r="L630" t="s">
        <v>836</v>
      </c>
      <c r="M630">
        <v>24</v>
      </c>
      <c r="O630" s="29" t="s">
        <v>8844</v>
      </c>
      <c r="P630" s="25" t="s">
        <v>8699</v>
      </c>
      <c r="Q630" s="25">
        <v>1814</v>
      </c>
      <c r="R630" t="s">
        <v>436</v>
      </c>
    </row>
    <row r="631" spans="1:18" hidden="1">
      <c r="A631" s="23" t="s">
        <v>1282</v>
      </c>
      <c r="B631" s="23" t="s">
        <v>1283</v>
      </c>
      <c r="C631" s="23">
        <v>2033</v>
      </c>
      <c r="I631" s="3" t="str">
        <f>+IFERROR(VLOOKUP(C631,'Mov 2023 hasta ahora '!$C$2:$D$314,2,FALSE),"NO")</f>
        <v>NO</v>
      </c>
      <c r="K631">
        <v>6</v>
      </c>
      <c r="L631" t="s">
        <v>836</v>
      </c>
      <c r="M631">
        <v>24</v>
      </c>
      <c r="O631" s="29" t="s">
        <v>8678</v>
      </c>
      <c r="P631" s="25" t="s">
        <v>8700</v>
      </c>
      <c r="Q631" s="25">
        <v>1806</v>
      </c>
      <c r="R631" t="s">
        <v>436</v>
      </c>
    </row>
    <row r="632" spans="1:18" hidden="1">
      <c r="A632" s="23" t="s">
        <v>1284</v>
      </c>
      <c r="B632" s="23" t="s">
        <v>1285</v>
      </c>
      <c r="C632" s="23">
        <v>2034</v>
      </c>
      <c r="I632" s="3" t="str">
        <f>+IFERROR(VLOOKUP(C632,'Mov 2023 hasta ahora '!$C$2:$D$314,2,FALSE),"NO")</f>
        <v>NO</v>
      </c>
      <c r="K632">
        <v>6</v>
      </c>
      <c r="L632" t="s">
        <v>836</v>
      </c>
      <c r="M632">
        <v>24</v>
      </c>
      <c r="O632" s="29" t="s">
        <v>8678</v>
      </c>
      <c r="P632" s="25" t="s">
        <v>8700</v>
      </c>
      <c r="Q632" s="25">
        <v>1806</v>
      </c>
      <c r="R632" t="s">
        <v>436</v>
      </c>
    </row>
    <row r="633" spans="1:18" hidden="1">
      <c r="A633" s="23" t="s">
        <v>1286</v>
      </c>
      <c r="B633" s="23" t="s">
        <v>1287</v>
      </c>
      <c r="C633" s="23">
        <v>2035</v>
      </c>
      <c r="I633" s="3" t="str">
        <f>+IFERROR(VLOOKUP(C633,'Mov 2023 hasta ahora '!$C$2:$D$314,2,FALSE),"NO")</f>
        <v>NO</v>
      </c>
      <c r="K633">
        <v>6</v>
      </c>
      <c r="L633" t="s">
        <v>836</v>
      </c>
      <c r="M633">
        <v>24</v>
      </c>
      <c r="O633" s="29" t="s">
        <v>8844</v>
      </c>
      <c r="P633" s="25" t="s">
        <v>8699</v>
      </c>
      <c r="Q633" s="25">
        <v>1814</v>
      </c>
      <c r="R633" t="s">
        <v>436</v>
      </c>
    </row>
    <row r="634" spans="1:18" hidden="1">
      <c r="A634" s="23" t="s">
        <v>1288</v>
      </c>
      <c r="B634" s="23" t="s">
        <v>1289</v>
      </c>
      <c r="C634" s="23">
        <v>2320</v>
      </c>
      <c r="I634" s="3">
        <f>+IFERROR(VLOOKUP(C634,'Mov 2023 hasta ahora '!$C$2:$D$314,2,FALSE),"NO")</f>
        <v>2</v>
      </c>
      <c r="K634">
        <v>6</v>
      </c>
      <c r="L634" t="s">
        <v>836</v>
      </c>
      <c r="M634">
        <v>24</v>
      </c>
      <c r="O634" s="29" t="s">
        <v>8943</v>
      </c>
      <c r="P634" s="25" t="s">
        <v>8842</v>
      </c>
      <c r="Q634" s="25">
        <v>2030</v>
      </c>
      <c r="R634" t="s">
        <v>436</v>
      </c>
    </row>
    <row r="635" spans="1:18" hidden="1">
      <c r="A635" t="s">
        <v>1290</v>
      </c>
      <c r="B635" t="s">
        <v>1291</v>
      </c>
      <c r="I635" s="3" t="str">
        <f>+IFERROR(VLOOKUP(C635,'Mov 2023 hasta ahora '!$C$2:$D$314,2,FALSE),"NO")</f>
        <v>NO</v>
      </c>
      <c r="K635">
        <v>4</v>
      </c>
      <c r="L635" t="s">
        <v>836</v>
      </c>
      <c r="M635">
        <v>14</v>
      </c>
    </row>
    <row r="636" spans="1:18" hidden="1">
      <c r="A636" t="s">
        <v>1292</v>
      </c>
      <c r="B636" t="s">
        <v>1293</v>
      </c>
      <c r="I636" s="3" t="str">
        <f>+IFERROR(VLOOKUP(C636,'Mov 2023 hasta ahora '!$C$2:$D$314,2,FALSE),"NO")</f>
        <v>NO</v>
      </c>
      <c r="K636">
        <v>5</v>
      </c>
      <c r="L636" t="s">
        <v>836</v>
      </c>
      <c r="M636">
        <v>18</v>
      </c>
    </row>
    <row r="637" spans="1:18" hidden="1">
      <c r="A637" s="23" t="s">
        <v>1294</v>
      </c>
      <c r="B637" s="23" t="s">
        <v>1295</v>
      </c>
      <c r="C637" s="23">
        <v>2276</v>
      </c>
      <c r="I637" s="3" t="str">
        <f>+IFERROR(VLOOKUP(C637,'Mov 2023 hasta ahora '!$C$2:$D$314,2,FALSE),"NO")</f>
        <v>NO</v>
      </c>
      <c r="K637">
        <v>6</v>
      </c>
      <c r="L637" t="s">
        <v>836</v>
      </c>
      <c r="M637">
        <v>24</v>
      </c>
      <c r="O637" s="29" t="s">
        <v>8698</v>
      </c>
      <c r="P637" s="25" t="s">
        <v>8692</v>
      </c>
      <c r="Q637" s="25">
        <v>3881</v>
      </c>
      <c r="R637" t="s">
        <v>436</v>
      </c>
    </row>
    <row r="638" spans="1:18" hidden="1">
      <c r="A638" t="s">
        <v>1296</v>
      </c>
      <c r="B638" t="s">
        <v>1297</v>
      </c>
      <c r="I638" s="3" t="str">
        <f>+IFERROR(VLOOKUP(C638,'Mov 2023 hasta ahora '!$C$2:$D$314,2,FALSE),"NO")</f>
        <v>NO</v>
      </c>
      <c r="K638">
        <v>3</v>
      </c>
      <c r="L638" t="s">
        <v>836</v>
      </c>
      <c r="M638">
        <v>10</v>
      </c>
    </row>
    <row r="639" spans="1:18" hidden="1">
      <c r="A639" t="s">
        <v>1298</v>
      </c>
      <c r="B639" t="s">
        <v>1299</v>
      </c>
      <c r="I639" s="3" t="str">
        <f>+IFERROR(VLOOKUP(C639,'Mov 2023 hasta ahora '!$C$2:$D$314,2,FALSE),"NO")</f>
        <v>NO</v>
      </c>
      <c r="K639">
        <v>4</v>
      </c>
      <c r="L639" t="s">
        <v>836</v>
      </c>
      <c r="M639">
        <v>14</v>
      </c>
    </row>
    <row r="640" spans="1:18" hidden="1">
      <c r="A640" t="s">
        <v>1300</v>
      </c>
      <c r="B640" t="s">
        <v>1301</v>
      </c>
      <c r="I640" s="3" t="str">
        <f>+IFERROR(VLOOKUP(C640,'Mov 2023 hasta ahora '!$C$2:$D$314,2,FALSE),"NO")</f>
        <v>NO</v>
      </c>
      <c r="K640">
        <v>5</v>
      </c>
      <c r="L640" t="s">
        <v>836</v>
      </c>
      <c r="M640">
        <v>18</v>
      </c>
    </row>
    <row r="641" spans="1:18" hidden="1">
      <c r="A641" s="23" t="s">
        <v>1302</v>
      </c>
      <c r="B641" s="23" t="s">
        <v>1303</v>
      </c>
      <c r="C641" s="23">
        <v>2060</v>
      </c>
      <c r="I641" s="3" t="str">
        <f>+IFERROR(VLOOKUP(C641,'Mov 2023 hasta ahora '!$C$2:$D$314,2,FALSE),"NO")</f>
        <v>NO</v>
      </c>
      <c r="K641">
        <v>6</v>
      </c>
      <c r="L641" t="s">
        <v>836</v>
      </c>
      <c r="M641">
        <v>24</v>
      </c>
      <c r="O641" s="29" t="s">
        <v>8679</v>
      </c>
      <c r="P641" s="25" t="s">
        <v>8677</v>
      </c>
      <c r="Q641" s="25">
        <v>2450</v>
      </c>
      <c r="R641" t="s">
        <v>436</v>
      </c>
    </row>
    <row r="642" spans="1:18" hidden="1">
      <c r="A642" s="23" t="s">
        <v>1304</v>
      </c>
      <c r="B642" s="23" t="s">
        <v>1305</v>
      </c>
      <c r="C642" s="23">
        <v>2061</v>
      </c>
      <c r="I642" s="3" t="str">
        <f>+IFERROR(VLOOKUP(C642,'Mov 2023 hasta ahora '!$C$2:$D$314,2,FALSE),"NO")</f>
        <v>NO</v>
      </c>
      <c r="K642">
        <v>6</v>
      </c>
      <c r="L642" t="s">
        <v>836</v>
      </c>
      <c r="M642">
        <v>24</v>
      </c>
      <c r="O642" s="29" t="s">
        <v>8844</v>
      </c>
      <c r="P642" s="25" t="s">
        <v>8699</v>
      </c>
      <c r="Q642" s="25">
        <v>1814</v>
      </c>
      <c r="R642" t="s">
        <v>436</v>
      </c>
    </row>
    <row r="643" spans="1:18" hidden="1">
      <c r="A643" s="23" t="s">
        <v>1306</v>
      </c>
      <c r="B643" s="23" t="s">
        <v>1307</v>
      </c>
      <c r="C643" s="23">
        <v>2062</v>
      </c>
      <c r="I643" s="3" t="str">
        <f>+IFERROR(VLOOKUP(C643,'Mov 2023 hasta ahora '!$C$2:$D$314,2,FALSE),"NO")</f>
        <v>NO</v>
      </c>
      <c r="K643">
        <v>6</v>
      </c>
      <c r="L643" t="s">
        <v>836</v>
      </c>
      <c r="M643">
        <v>24</v>
      </c>
      <c r="O643" s="29" t="s">
        <v>8844</v>
      </c>
      <c r="P643" s="25" t="s">
        <v>8699</v>
      </c>
      <c r="Q643" s="25">
        <v>1814</v>
      </c>
      <c r="R643" t="s">
        <v>436</v>
      </c>
    </row>
    <row r="644" spans="1:18" hidden="1">
      <c r="A644" s="23" t="s">
        <v>1308</v>
      </c>
      <c r="B644" s="23" t="s">
        <v>1309</v>
      </c>
      <c r="C644" s="23">
        <v>2063</v>
      </c>
      <c r="I644" s="3" t="str">
        <f>+IFERROR(VLOOKUP(C644,'Mov 2023 hasta ahora '!$C$2:$D$314,2,FALSE),"NO")</f>
        <v>NO</v>
      </c>
      <c r="K644">
        <v>6</v>
      </c>
      <c r="L644" t="s">
        <v>836</v>
      </c>
      <c r="M644">
        <v>24</v>
      </c>
      <c r="O644" s="29" t="s">
        <v>8844</v>
      </c>
      <c r="P644" s="25" t="s">
        <v>8699</v>
      </c>
      <c r="Q644" s="25">
        <v>1814</v>
      </c>
      <c r="R644" t="s">
        <v>436</v>
      </c>
    </row>
    <row r="645" spans="1:18" hidden="1">
      <c r="A645" s="23" t="s">
        <v>1310</v>
      </c>
      <c r="B645" s="23" t="s">
        <v>1311</v>
      </c>
      <c r="C645" s="23">
        <v>2064</v>
      </c>
      <c r="I645" s="3" t="str">
        <f>+IFERROR(VLOOKUP(C645,'Mov 2023 hasta ahora '!$C$2:$D$314,2,FALSE),"NO")</f>
        <v>NO</v>
      </c>
      <c r="K645">
        <v>6</v>
      </c>
      <c r="L645" t="s">
        <v>836</v>
      </c>
      <c r="M645">
        <v>24</v>
      </c>
      <c r="O645" s="29" t="s">
        <v>8678</v>
      </c>
      <c r="P645" s="25" t="s">
        <v>8700</v>
      </c>
      <c r="Q645" s="25">
        <v>1806</v>
      </c>
      <c r="R645" t="s">
        <v>436</v>
      </c>
    </row>
    <row r="646" spans="1:18" hidden="1">
      <c r="A646" s="23" t="s">
        <v>1312</v>
      </c>
      <c r="B646" s="23" t="s">
        <v>1313</v>
      </c>
      <c r="C646" s="23">
        <v>2065</v>
      </c>
      <c r="I646" s="3" t="str">
        <f>+IFERROR(VLOOKUP(C646,'Mov 2023 hasta ahora '!$C$2:$D$314,2,FALSE),"NO")</f>
        <v>NO</v>
      </c>
      <c r="K646">
        <v>6</v>
      </c>
      <c r="L646" t="s">
        <v>836</v>
      </c>
      <c r="M646">
        <v>24</v>
      </c>
      <c r="O646" s="29" t="s">
        <v>8678</v>
      </c>
      <c r="P646" s="25" t="s">
        <v>8700</v>
      </c>
      <c r="Q646" s="25">
        <v>1806</v>
      </c>
      <c r="R646" t="s">
        <v>436</v>
      </c>
    </row>
    <row r="647" spans="1:18" hidden="1">
      <c r="A647" s="23" t="s">
        <v>1314</v>
      </c>
      <c r="B647" s="23" t="s">
        <v>1315</v>
      </c>
      <c r="C647" s="23">
        <v>2066</v>
      </c>
      <c r="I647" s="3" t="str">
        <f>+IFERROR(VLOOKUP(C647,'Mov 2023 hasta ahora '!$C$2:$D$314,2,FALSE),"NO")</f>
        <v>NO</v>
      </c>
      <c r="K647">
        <v>6</v>
      </c>
      <c r="L647" t="s">
        <v>836</v>
      </c>
      <c r="M647">
        <v>24</v>
      </c>
      <c r="O647" s="29" t="s">
        <v>8844</v>
      </c>
      <c r="P647" s="25" t="s">
        <v>8699</v>
      </c>
      <c r="Q647" s="25">
        <v>1814</v>
      </c>
      <c r="R647" t="s">
        <v>436</v>
      </c>
    </row>
    <row r="648" spans="1:18" hidden="1">
      <c r="A648" t="s">
        <v>1316</v>
      </c>
      <c r="B648" t="s">
        <v>1317</v>
      </c>
      <c r="I648" s="3" t="str">
        <f>+IFERROR(VLOOKUP(C648,'Mov 2023 hasta ahora '!$C$2:$D$314,2,FALSE),"NO")</f>
        <v>NO</v>
      </c>
      <c r="K648">
        <v>4</v>
      </c>
      <c r="L648" t="s">
        <v>836</v>
      </c>
      <c r="M648">
        <v>14</v>
      </c>
    </row>
    <row r="649" spans="1:18" hidden="1">
      <c r="A649" t="s">
        <v>1318</v>
      </c>
      <c r="B649" t="s">
        <v>1319</v>
      </c>
      <c r="I649" s="3" t="str">
        <f>+IFERROR(VLOOKUP(C649,'Mov 2023 hasta ahora '!$C$2:$D$314,2,FALSE),"NO")</f>
        <v>NO</v>
      </c>
      <c r="K649">
        <v>5</v>
      </c>
      <c r="L649" t="s">
        <v>836</v>
      </c>
      <c r="M649">
        <v>18</v>
      </c>
    </row>
    <row r="650" spans="1:18" hidden="1">
      <c r="A650" s="23" t="s">
        <v>1320</v>
      </c>
      <c r="B650" s="23" t="s">
        <v>1321</v>
      </c>
      <c r="C650" s="23">
        <v>2067</v>
      </c>
      <c r="I650" s="3" t="str">
        <f>+IFERROR(VLOOKUP(C650,'Mov 2023 hasta ahora '!$C$2:$D$314,2,FALSE),"NO")</f>
        <v>NO</v>
      </c>
      <c r="K650">
        <v>6</v>
      </c>
      <c r="L650" t="s">
        <v>836</v>
      </c>
      <c r="M650">
        <v>24</v>
      </c>
      <c r="O650" s="29" t="s">
        <v>8698</v>
      </c>
      <c r="P650" s="25" t="s">
        <v>8692</v>
      </c>
      <c r="Q650" s="25">
        <v>3881</v>
      </c>
      <c r="R650" t="s">
        <v>436</v>
      </c>
    </row>
    <row r="651" spans="1:18" hidden="1">
      <c r="A651" t="s">
        <v>1322</v>
      </c>
      <c r="B651" t="s">
        <v>1323</v>
      </c>
      <c r="I651" s="3" t="str">
        <f>+IFERROR(VLOOKUP(C651,'Mov 2023 hasta ahora '!$C$2:$D$314,2,FALSE),"NO")</f>
        <v>NO</v>
      </c>
      <c r="K651">
        <v>3</v>
      </c>
      <c r="L651" t="s">
        <v>836</v>
      </c>
      <c r="M651">
        <v>10</v>
      </c>
    </row>
    <row r="652" spans="1:18" hidden="1">
      <c r="A652" t="s">
        <v>1324</v>
      </c>
      <c r="B652" t="s">
        <v>1325</v>
      </c>
      <c r="I652" s="3" t="str">
        <f>+IFERROR(VLOOKUP(C652,'Mov 2023 hasta ahora '!$C$2:$D$314,2,FALSE),"NO")</f>
        <v>NO</v>
      </c>
      <c r="K652">
        <v>4</v>
      </c>
      <c r="L652" t="s">
        <v>836</v>
      </c>
      <c r="M652">
        <v>14</v>
      </c>
    </row>
    <row r="653" spans="1:18" hidden="1">
      <c r="A653" t="s">
        <v>1326</v>
      </c>
      <c r="B653" t="s">
        <v>1327</v>
      </c>
      <c r="I653" s="3" t="str">
        <f>+IFERROR(VLOOKUP(C653,'Mov 2023 hasta ahora '!$C$2:$D$314,2,FALSE),"NO")</f>
        <v>NO</v>
      </c>
      <c r="K653">
        <v>5</v>
      </c>
      <c r="L653" t="s">
        <v>836</v>
      </c>
      <c r="M653">
        <v>18</v>
      </c>
    </row>
    <row r="654" spans="1:18" hidden="1">
      <c r="A654" s="23" t="s">
        <v>1328</v>
      </c>
      <c r="B654" s="23" t="s">
        <v>1329</v>
      </c>
      <c r="C654" s="23">
        <v>2068</v>
      </c>
      <c r="I654" s="3" t="str">
        <f>+IFERROR(VLOOKUP(C654,'Mov 2023 hasta ahora '!$C$2:$D$314,2,FALSE),"NO")</f>
        <v>NO</v>
      </c>
      <c r="K654">
        <v>6</v>
      </c>
      <c r="L654" t="s">
        <v>836</v>
      </c>
      <c r="M654">
        <v>24</v>
      </c>
      <c r="O654" s="29" t="s">
        <v>8679</v>
      </c>
      <c r="P654" s="25" t="s">
        <v>8677</v>
      </c>
      <c r="Q654" s="25">
        <v>2450</v>
      </c>
      <c r="R654" t="s">
        <v>436</v>
      </c>
    </row>
    <row r="655" spans="1:18" hidden="1">
      <c r="A655" s="23" t="s">
        <v>1330</v>
      </c>
      <c r="B655" s="23" t="s">
        <v>1331</v>
      </c>
      <c r="C655" s="23">
        <v>2069</v>
      </c>
      <c r="I655" s="3" t="str">
        <f>+IFERROR(VLOOKUP(C655,'Mov 2023 hasta ahora '!$C$2:$D$314,2,FALSE),"NO")</f>
        <v>NO</v>
      </c>
      <c r="K655">
        <v>6</v>
      </c>
      <c r="L655" t="s">
        <v>836</v>
      </c>
      <c r="M655">
        <v>24</v>
      </c>
      <c r="O655" s="29" t="s">
        <v>8844</v>
      </c>
      <c r="P655" s="25" t="s">
        <v>8699</v>
      </c>
      <c r="Q655" s="25">
        <v>1814</v>
      </c>
      <c r="R655" t="s">
        <v>436</v>
      </c>
    </row>
    <row r="656" spans="1:18" hidden="1">
      <c r="A656" s="23" t="s">
        <v>1332</v>
      </c>
      <c r="B656" s="23" t="s">
        <v>1333</v>
      </c>
      <c r="C656" s="23">
        <v>2070</v>
      </c>
      <c r="I656" s="3" t="str">
        <f>+IFERROR(VLOOKUP(C656,'Mov 2023 hasta ahora '!$C$2:$D$314,2,FALSE),"NO")</f>
        <v>NO</v>
      </c>
      <c r="K656">
        <v>6</v>
      </c>
      <c r="L656" t="s">
        <v>836</v>
      </c>
      <c r="M656">
        <v>24</v>
      </c>
      <c r="O656" s="29" t="s">
        <v>8844</v>
      </c>
      <c r="P656" s="25" t="s">
        <v>8699</v>
      </c>
      <c r="Q656" s="25">
        <v>1814</v>
      </c>
      <c r="R656" t="s">
        <v>436</v>
      </c>
    </row>
    <row r="657" spans="1:18" hidden="1">
      <c r="A657" s="23" t="s">
        <v>1334</v>
      </c>
      <c r="B657" s="23" t="s">
        <v>1335</v>
      </c>
      <c r="C657" s="23">
        <v>2071</v>
      </c>
      <c r="I657" s="3" t="str">
        <f>+IFERROR(VLOOKUP(C657,'Mov 2023 hasta ahora '!$C$2:$D$314,2,FALSE),"NO")</f>
        <v>NO</v>
      </c>
      <c r="K657">
        <v>6</v>
      </c>
      <c r="L657" t="s">
        <v>836</v>
      </c>
      <c r="M657">
        <v>24</v>
      </c>
      <c r="O657" s="29" t="s">
        <v>8844</v>
      </c>
      <c r="P657" s="25" t="s">
        <v>8699</v>
      </c>
      <c r="Q657" s="25">
        <v>1814</v>
      </c>
      <c r="R657" t="s">
        <v>436</v>
      </c>
    </row>
    <row r="658" spans="1:18" hidden="1">
      <c r="A658" s="23" t="s">
        <v>1336</v>
      </c>
      <c r="B658" s="23" t="s">
        <v>1337</v>
      </c>
      <c r="C658" s="23">
        <v>2072</v>
      </c>
      <c r="I658" s="3" t="str">
        <f>+IFERROR(VLOOKUP(C658,'Mov 2023 hasta ahora '!$C$2:$D$314,2,FALSE),"NO")</f>
        <v>NO</v>
      </c>
      <c r="K658">
        <v>6</v>
      </c>
      <c r="L658" t="s">
        <v>836</v>
      </c>
      <c r="M658">
        <v>24</v>
      </c>
      <c r="O658" s="29" t="s">
        <v>8678</v>
      </c>
      <c r="P658" s="25" t="s">
        <v>8700</v>
      </c>
      <c r="Q658" s="25">
        <v>1806</v>
      </c>
      <c r="R658" t="s">
        <v>436</v>
      </c>
    </row>
    <row r="659" spans="1:18" hidden="1">
      <c r="A659" s="23" t="s">
        <v>1338</v>
      </c>
      <c r="B659" s="23" t="s">
        <v>1339</v>
      </c>
      <c r="C659" s="23">
        <v>2073</v>
      </c>
      <c r="I659" s="3" t="str">
        <f>+IFERROR(VLOOKUP(C659,'Mov 2023 hasta ahora '!$C$2:$D$314,2,FALSE),"NO")</f>
        <v>NO</v>
      </c>
      <c r="K659">
        <v>6</v>
      </c>
      <c r="L659" t="s">
        <v>836</v>
      </c>
      <c r="M659">
        <v>24</v>
      </c>
      <c r="O659" s="29" t="s">
        <v>8678</v>
      </c>
      <c r="P659" s="25" t="s">
        <v>8700</v>
      </c>
      <c r="Q659" s="25">
        <v>1806</v>
      </c>
      <c r="R659" t="s">
        <v>436</v>
      </c>
    </row>
    <row r="660" spans="1:18" hidden="1">
      <c r="A660" s="23" t="s">
        <v>1340</v>
      </c>
      <c r="B660" s="23" t="s">
        <v>1341</v>
      </c>
      <c r="C660" s="23">
        <v>2074</v>
      </c>
      <c r="I660" s="3" t="str">
        <f>+IFERROR(VLOOKUP(C660,'Mov 2023 hasta ahora '!$C$2:$D$314,2,FALSE),"NO")</f>
        <v>NO</v>
      </c>
      <c r="K660">
        <v>6</v>
      </c>
      <c r="L660" t="s">
        <v>836</v>
      </c>
      <c r="M660">
        <v>24</v>
      </c>
      <c r="O660" s="29" t="s">
        <v>8844</v>
      </c>
      <c r="P660" s="25" t="s">
        <v>8699</v>
      </c>
      <c r="Q660" s="25">
        <v>1814</v>
      </c>
      <c r="R660" t="s">
        <v>436</v>
      </c>
    </row>
    <row r="661" spans="1:18" hidden="1">
      <c r="A661" s="23" t="s">
        <v>1342</v>
      </c>
      <c r="B661" s="23" t="s">
        <v>1343</v>
      </c>
      <c r="C661" s="23">
        <v>2130</v>
      </c>
      <c r="I661" s="3" t="str">
        <f>+IFERROR(VLOOKUP(C661,'Mov 2023 hasta ahora '!$C$2:$D$314,2,FALSE),"NO")</f>
        <v>NO</v>
      </c>
      <c r="K661">
        <v>6</v>
      </c>
      <c r="L661" t="s">
        <v>836</v>
      </c>
      <c r="M661">
        <v>24</v>
      </c>
      <c r="O661" s="29" t="s">
        <v>8844</v>
      </c>
      <c r="P661" s="25" t="s">
        <v>8699</v>
      </c>
      <c r="Q661" s="25">
        <v>1814</v>
      </c>
      <c r="R661" t="s">
        <v>436</v>
      </c>
    </row>
    <row r="662" spans="1:18" hidden="1">
      <c r="A662" t="s">
        <v>1344</v>
      </c>
      <c r="B662" t="s">
        <v>1291</v>
      </c>
      <c r="I662" s="3" t="str">
        <f>+IFERROR(VLOOKUP(C662,'Mov 2023 hasta ahora '!$C$2:$D$314,2,FALSE),"NO")</f>
        <v>NO</v>
      </c>
      <c r="K662">
        <v>4</v>
      </c>
      <c r="L662" t="s">
        <v>836</v>
      </c>
      <c r="M662">
        <v>14</v>
      </c>
    </row>
    <row r="663" spans="1:18" hidden="1">
      <c r="A663" t="s">
        <v>1345</v>
      </c>
      <c r="B663" t="s">
        <v>1293</v>
      </c>
      <c r="I663" s="3" t="str">
        <f>+IFERROR(VLOOKUP(C663,'Mov 2023 hasta ahora '!$C$2:$D$314,2,FALSE),"NO")</f>
        <v>NO</v>
      </c>
      <c r="K663">
        <v>5</v>
      </c>
      <c r="L663" t="s">
        <v>836</v>
      </c>
      <c r="M663">
        <v>18</v>
      </c>
    </row>
    <row r="664" spans="1:18" hidden="1">
      <c r="A664" s="23" t="s">
        <v>1346</v>
      </c>
      <c r="B664" s="23" t="s">
        <v>1347</v>
      </c>
      <c r="C664" s="23">
        <v>2075</v>
      </c>
      <c r="I664" s="3" t="str">
        <f>+IFERROR(VLOOKUP(C664,'Mov 2023 hasta ahora '!$C$2:$D$314,2,FALSE),"NO")</f>
        <v>NO</v>
      </c>
      <c r="K664">
        <v>6</v>
      </c>
      <c r="L664" t="s">
        <v>836</v>
      </c>
      <c r="M664">
        <v>24</v>
      </c>
      <c r="O664" s="29" t="s">
        <v>8698</v>
      </c>
      <c r="P664" s="25" t="s">
        <v>8692</v>
      </c>
      <c r="Q664" s="25">
        <v>3881</v>
      </c>
      <c r="R664" t="s">
        <v>436</v>
      </c>
    </row>
    <row r="665" spans="1:18" hidden="1">
      <c r="A665" t="s">
        <v>1348</v>
      </c>
      <c r="B665" t="s">
        <v>1349</v>
      </c>
      <c r="I665" s="3" t="str">
        <f>+IFERROR(VLOOKUP(C665,'Mov 2023 hasta ahora '!$C$2:$D$314,2,FALSE),"NO")</f>
        <v>NO</v>
      </c>
      <c r="K665">
        <v>3</v>
      </c>
      <c r="L665" t="s">
        <v>836</v>
      </c>
      <c r="M665">
        <v>10</v>
      </c>
    </row>
    <row r="666" spans="1:18" hidden="1">
      <c r="A666" t="s">
        <v>1350</v>
      </c>
      <c r="B666" t="s">
        <v>1351</v>
      </c>
      <c r="I666" s="3" t="str">
        <f>+IFERROR(VLOOKUP(C666,'Mov 2023 hasta ahora '!$C$2:$D$314,2,FALSE),"NO")</f>
        <v>NO</v>
      </c>
      <c r="K666">
        <v>4</v>
      </c>
      <c r="L666" t="s">
        <v>836</v>
      </c>
      <c r="M666">
        <v>14</v>
      </c>
    </row>
    <row r="667" spans="1:18" hidden="1">
      <c r="A667" t="s">
        <v>1352</v>
      </c>
      <c r="B667" t="s">
        <v>1353</v>
      </c>
      <c r="I667" s="3" t="str">
        <f>+IFERROR(VLOOKUP(C667,'Mov 2023 hasta ahora '!$C$2:$D$314,2,FALSE),"NO")</f>
        <v>NO</v>
      </c>
      <c r="K667">
        <v>5</v>
      </c>
      <c r="L667" t="s">
        <v>836</v>
      </c>
      <c r="M667">
        <v>18</v>
      </c>
    </row>
    <row r="668" spans="1:18" hidden="1">
      <c r="A668" s="23" t="s">
        <v>1354</v>
      </c>
      <c r="B668" s="23" t="s">
        <v>1355</v>
      </c>
      <c r="C668" s="23">
        <v>2136</v>
      </c>
      <c r="I668" s="3" t="str">
        <f>+IFERROR(VLOOKUP(C668,'Mov 2023 hasta ahora '!$C$2:$D$314,2,FALSE),"NO")</f>
        <v>NO</v>
      </c>
      <c r="K668">
        <v>6</v>
      </c>
      <c r="L668" t="s">
        <v>836</v>
      </c>
      <c r="M668">
        <v>24</v>
      </c>
      <c r="O668" s="29" t="s">
        <v>8679</v>
      </c>
      <c r="P668" s="25" t="s">
        <v>8677</v>
      </c>
      <c r="Q668" s="25">
        <v>2450</v>
      </c>
      <c r="R668" t="s">
        <v>436</v>
      </c>
    </row>
    <row r="669" spans="1:18" hidden="1">
      <c r="A669" s="23" t="s">
        <v>1356</v>
      </c>
      <c r="B669" s="23" t="s">
        <v>1357</v>
      </c>
      <c r="C669" s="23">
        <v>2137</v>
      </c>
      <c r="I669" s="3" t="str">
        <f>+IFERROR(VLOOKUP(C669,'Mov 2023 hasta ahora '!$C$2:$D$314,2,FALSE),"NO")</f>
        <v>NO</v>
      </c>
      <c r="K669">
        <v>6</v>
      </c>
      <c r="L669" t="s">
        <v>836</v>
      </c>
      <c r="M669">
        <v>24</v>
      </c>
      <c r="O669" s="29" t="s">
        <v>8844</v>
      </c>
      <c r="P669" s="25" t="s">
        <v>8699</v>
      </c>
      <c r="Q669" s="25">
        <v>1814</v>
      </c>
      <c r="R669" t="s">
        <v>436</v>
      </c>
    </row>
    <row r="670" spans="1:18" hidden="1">
      <c r="A670" s="23" t="s">
        <v>1358</v>
      </c>
      <c r="B670" s="23" t="s">
        <v>1359</v>
      </c>
      <c r="C670" s="23">
        <v>2138</v>
      </c>
      <c r="I670" s="3" t="str">
        <f>+IFERROR(VLOOKUP(C670,'Mov 2023 hasta ahora '!$C$2:$D$314,2,FALSE),"NO")</f>
        <v>NO</v>
      </c>
      <c r="K670">
        <v>6</v>
      </c>
      <c r="L670" t="s">
        <v>836</v>
      </c>
      <c r="M670">
        <v>24</v>
      </c>
      <c r="O670" s="29" t="s">
        <v>8844</v>
      </c>
      <c r="P670" s="25" t="s">
        <v>8699</v>
      </c>
      <c r="Q670" s="25">
        <v>1814</v>
      </c>
      <c r="R670" t="s">
        <v>436</v>
      </c>
    </row>
    <row r="671" spans="1:18" hidden="1">
      <c r="A671" s="23" t="s">
        <v>1360</v>
      </c>
      <c r="B671" s="23" t="s">
        <v>1361</v>
      </c>
      <c r="C671" s="23">
        <v>2139</v>
      </c>
      <c r="I671" s="3" t="str">
        <f>+IFERROR(VLOOKUP(C671,'Mov 2023 hasta ahora '!$C$2:$D$314,2,FALSE),"NO")</f>
        <v>NO</v>
      </c>
      <c r="K671">
        <v>6</v>
      </c>
      <c r="L671" t="s">
        <v>836</v>
      </c>
      <c r="M671">
        <v>24</v>
      </c>
      <c r="O671" s="29" t="s">
        <v>8844</v>
      </c>
      <c r="P671" s="25" t="s">
        <v>8699</v>
      </c>
      <c r="Q671" s="25">
        <v>1814</v>
      </c>
      <c r="R671" t="s">
        <v>436</v>
      </c>
    </row>
    <row r="672" spans="1:18" hidden="1">
      <c r="A672" s="23" t="s">
        <v>1362</v>
      </c>
      <c r="B672" s="23" t="s">
        <v>1363</v>
      </c>
      <c r="C672" s="23">
        <v>2140</v>
      </c>
      <c r="I672" s="3" t="str">
        <f>+IFERROR(VLOOKUP(C672,'Mov 2023 hasta ahora '!$C$2:$D$314,2,FALSE),"NO")</f>
        <v>NO</v>
      </c>
      <c r="K672">
        <v>6</v>
      </c>
      <c r="L672" t="s">
        <v>836</v>
      </c>
      <c r="M672">
        <v>24</v>
      </c>
      <c r="O672" s="29" t="s">
        <v>8678</v>
      </c>
      <c r="P672" s="25" t="s">
        <v>8700</v>
      </c>
      <c r="Q672" s="25">
        <v>1806</v>
      </c>
      <c r="R672" t="s">
        <v>436</v>
      </c>
    </row>
    <row r="673" spans="1:18" hidden="1">
      <c r="A673" s="23" t="s">
        <v>1364</v>
      </c>
      <c r="B673" s="23" t="s">
        <v>1365</v>
      </c>
      <c r="C673" s="23">
        <v>2141</v>
      </c>
      <c r="I673" s="3" t="str">
        <f>+IFERROR(VLOOKUP(C673,'Mov 2023 hasta ahora '!$C$2:$D$314,2,FALSE),"NO")</f>
        <v>NO</v>
      </c>
      <c r="K673">
        <v>6</v>
      </c>
      <c r="L673" t="s">
        <v>836</v>
      </c>
      <c r="M673">
        <v>24</v>
      </c>
      <c r="O673" s="29" t="s">
        <v>8678</v>
      </c>
      <c r="P673" s="25" t="s">
        <v>8700</v>
      </c>
      <c r="Q673" s="25">
        <v>1806</v>
      </c>
      <c r="R673" t="s">
        <v>436</v>
      </c>
    </row>
    <row r="674" spans="1:18" hidden="1">
      <c r="A674" s="23" t="s">
        <v>1366</v>
      </c>
      <c r="B674" s="23" t="s">
        <v>1367</v>
      </c>
      <c r="C674" s="23">
        <v>2142</v>
      </c>
      <c r="I674" s="3" t="str">
        <f>+IFERROR(VLOOKUP(C674,'Mov 2023 hasta ahora '!$C$2:$D$314,2,FALSE),"NO")</f>
        <v>NO</v>
      </c>
      <c r="K674">
        <v>6</v>
      </c>
      <c r="L674" t="s">
        <v>836</v>
      </c>
      <c r="M674">
        <v>24</v>
      </c>
      <c r="O674" s="29" t="s">
        <v>8844</v>
      </c>
      <c r="P674" s="25" t="s">
        <v>8699</v>
      </c>
      <c r="Q674" s="25">
        <v>1814</v>
      </c>
      <c r="R674" t="s">
        <v>436</v>
      </c>
    </row>
    <row r="675" spans="1:18" hidden="1">
      <c r="A675" s="23" t="s">
        <v>1368</v>
      </c>
      <c r="B675" s="23" t="s">
        <v>1369</v>
      </c>
      <c r="C675" s="23">
        <v>2143</v>
      </c>
      <c r="I675" s="3" t="str">
        <f>+IFERROR(VLOOKUP(C675,'Mov 2023 hasta ahora '!$C$2:$D$314,2,FALSE),"NO")</f>
        <v>NO</v>
      </c>
      <c r="K675">
        <v>6</v>
      </c>
      <c r="L675" t="s">
        <v>836</v>
      </c>
      <c r="M675">
        <v>24</v>
      </c>
      <c r="O675" s="29" t="s">
        <v>8844</v>
      </c>
      <c r="P675" s="25" t="s">
        <v>8699</v>
      </c>
      <c r="Q675" s="25">
        <v>1814</v>
      </c>
      <c r="R675" t="s">
        <v>436</v>
      </c>
    </row>
    <row r="676" spans="1:18" hidden="1">
      <c r="A676" t="s">
        <v>1370</v>
      </c>
      <c r="B676" t="s">
        <v>1371</v>
      </c>
      <c r="I676" s="3" t="str">
        <f>+IFERROR(VLOOKUP(C676,'Mov 2023 hasta ahora '!$C$2:$D$314,2,FALSE),"NO")</f>
        <v>NO</v>
      </c>
      <c r="K676">
        <v>4</v>
      </c>
      <c r="L676" t="s">
        <v>836</v>
      </c>
      <c r="M676">
        <v>14</v>
      </c>
    </row>
    <row r="677" spans="1:18" hidden="1">
      <c r="A677" t="s">
        <v>1372</v>
      </c>
      <c r="B677" t="s">
        <v>1373</v>
      </c>
      <c r="I677" s="3" t="str">
        <f>+IFERROR(VLOOKUP(C677,'Mov 2023 hasta ahora '!$C$2:$D$314,2,FALSE),"NO")</f>
        <v>NO</v>
      </c>
      <c r="K677">
        <v>5</v>
      </c>
      <c r="L677" t="s">
        <v>836</v>
      </c>
      <c r="M677">
        <v>18</v>
      </c>
    </row>
    <row r="678" spans="1:18" hidden="1">
      <c r="A678" s="23" t="s">
        <v>1374</v>
      </c>
      <c r="B678" s="23" t="s">
        <v>1375</v>
      </c>
      <c r="C678" s="23">
        <v>2144</v>
      </c>
      <c r="I678" s="3" t="str">
        <f>+IFERROR(VLOOKUP(C678,'Mov 2023 hasta ahora '!$C$2:$D$314,2,FALSE),"NO")</f>
        <v>NO</v>
      </c>
      <c r="K678">
        <v>6</v>
      </c>
      <c r="L678" t="s">
        <v>836</v>
      </c>
      <c r="M678">
        <v>24</v>
      </c>
      <c r="O678" s="29" t="s">
        <v>8698</v>
      </c>
      <c r="P678" s="25" t="s">
        <v>8692</v>
      </c>
      <c r="Q678" s="25">
        <v>3881</v>
      </c>
      <c r="R678" t="s">
        <v>436</v>
      </c>
    </row>
    <row r="679" spans="1:18" hidden="1">
      <c r="A679" s="23" t="s">
        <v>1376</v>
      </c>
      <c r="B679" s="23" t="s">
        <v>1377</v>
      </c>
      <c r="C679" s="23">
        <v>2145</v>
      </c>
      <c r="I679" s="3" t="str">
        <f>+IFERROR(VLOOKUP(C679,'Mov 2023 hasta ahora '!$C$2:$D$314,2,FALSE),"NO")</f>
        <v>NO</v>
      </c>
      <c r="K679">
        <v>6</v>
      </c>
      <c r="L679" t="s">
        <v>836</v>
      </c>
      <c r="M679">
        <v>24</v>
      </c>
      <c r="O679" s="29" t="s">
        <v>8678</v>
      </c>
      <c r="P679" s="25" t="s">
        <v>8700</v>
      </c>
      <c r="Q679" s="25">
        <v>1806</v>
      </c>
      <c r="R679" t="s">
        <v>436</v>
      </c>
    </row>
    <row r="680" spans="1:18" hidden="1">
      <c r="A680" t="s">
        <v>1378</v>
      </c>
      <c r="B680" t="s">
        <v>1379</v>
      </c>
      <c r="I680" s="3" t="str">
        <f>+IFERROR(VLOOKUP(C680,'Mov 2023 hasta ahora '!$C$2:$D$314,2,FALSE),"NO")</f>
        <v>NO</v>
      </c>
      <c r="K680">
        <v>3</v>
      </c>
      <c r="L680" t="s">
        <v>836</v>
      </c>
      <c r="M680">
        <v>10</v>
      </c>
    </row>
    <row r="681" spans="1:18" hidden="1">
      <c r="A681" t="s">
        <v>1380</v>
      </c>
      <c r="B681" t="s">
        <v>1381</v>
      </c>
      <c r="I681" s="3" t="str">
        <f>+IFERROR(VLOOKUP(C681,'Mov 2023 hasta ahora '!$C$2:$D$314,2,FALSE),"NO")</f>
        <v>NO</v>
      </c>
      <c r="K681">
        <v>4</v>
      </c>
      <c r="L681" t="s">
        <v>836</v>
      </c>
      <c r="M681">
        <v>14</v>
      </c>
    </row>
    <row r="682" spans="1:18" hidden="1">
      <c r="A682" t="s">
        <v>1382</v>
      </c>
      <c r="B682" t="s">
        <v>1383</v>
      </c>
      <c r="I682" s="3" t="str">
        <f>+IFERROR(VLOOKUP(C682,'Mov 2023 hasta ahora '!$C$2:$D$314,2,FALSE),"NO")</f>
        <v>NO</v>
      </c>
      <c r="K682">
        <v>5</v>
      </c>
      <c r="L682" t="s">
        <v>836</v>
      </c>
      <c r="M682">
        <v>18</v>
      </c>
    </row>
    <row r="683" spans="1:18" hidden="1">
      <c r="A683" s="23" t="s">
        <v>1384</v>
      </c>
      <c r="B683" s="23" t="s">
        <v>1385</v>
      </c>
      <c r="C683" s="23">
        <v>2268</v>
      </c>
      <c r="I683" s="3" t="str">
        <f>+IFERROR(VLOOKUP(C683,'Mov 2023 hasta ahora '!$C$2:$D$314,2,FALSE),"NO")</f>
        <v>NO</v>
      </c>
      <c r="K683">
        <v>6</v>
      </c>
      <c r="L683" t="s">
        <v>836</v>
      </c>
      <c r="M683">
        <v>24</v>
      </c>
      <c r="O683" s="29" t="s">
        <v>8679</v>
      </c>
      <c r="P683" s="25" t="s">
        <v>8677</v>
      </c>
      <c r="Q683" s="25">
        <v>2450</v>
      </c>
      <c r="R683" t="s">
        <v>436</v>
      </c>
    </row>
    <row r="684" spans="1:18" hidden="1">
      <c r="A684" s="23" t="s">
        <v>1386</v>
      </c>
      <c r="B684" s="23" t="s">
        <v>1387</v>
      </c>
      <c r="C684" s="23">
        <v>2269</v>
      </c>
      <c r="I684" s="3" t="str">
        <f>+IFERROR(VLOOKUP(C684,'Mov 2023 hasta ahora '!$C$2:$D$314,2,FALSE),"NO")</f>
        <v>NO</v>
      </c>
      <c r="K684">
        <v>6</v>
      </c>
      <c r="L684" t="s">
        <v>836</v>
      </c>
      <c r="M684">
        <v>24</v>
      </c>
      <c r="O684" s="29" t="s">
        <v>8844</v>
      </c>
      <c r="P684" s="25" t="s">
        <v>8699</v>
      </c>
      <c r="Q684" s="25">
        <v>1814</v>
      </c>
      <c r="R684" t="s">
        <v>436</v>
      </c>
    </row>
    <row r="685" spans="1:18" hidden="1">
      <c r="A685" s="23" t="s">
        <v>1388</v>
      </c>
      <c r="B685" s="23" t="s">
        <v>1389</v>
      </c>
      <c r="C685" s="23">
        <v>2270</v>
      </c>
      <c r="I685" s="3" t="str">
        <f>+IFERROR(VLOOKUP(C685,'Mov 2023 hasta ahora '!$C$2:$D$314,2,FALSE),"NO")</f>
        <v>NO</v>
      </c>
      <c r="K685">
        <v>6</v>
      </c>
      <c r="L685" t="s">
        <v>836</v>
      </c>
      <c r="M685">
        <v>24</v>
      </c>
      <c r="O685" s="29" t="s">
        <v>8844</v>
      </c>
      <c r="P685" s="25" t="s">
        <v>8699</v>
      </c>
      <c r="Q685" s="25">
        <v>1814</v>
      </c>
      <c r="R685" t="s">
        <v>436</v>
      </c>
    </row>
    <row r="686" spans="1:18" hidden="1">
      <c r="A686" s="23" t="s">
        <v>1390</v>
      </c>
      <c r="B686" s="23" t="s">
        <v>1391</v>
      </c>
      <c r="C686" s="23">
        <v>2271</v>
      </c>
      <c r="I686" s="3" t="str">
        <f>+IFERROR(VLOOKUP(C686,'Mov 2023 hasta ahora '!$C$2:$D$314,2,FALSE),"NO")</f>
        <v>NO</v>
      </c>
      <c r="K686">
        <v>6</v>
      </c>
      <c r="L686" t="s">
        <v>836</v>
      </c>
      <c r="M686">
        <v>24</v>
      </c>
      <c r="O686" s="29" t="s">
        <v>8844</v>
      </c>
      <c r="P686" s="25" t="s">
        <v>8699</v>
      </c>
      <c r="Q686" s="25">
        <v>1814</v>
      </c>
      <c r="R686" t="s">
        <v>436</v>
      </c>
    </row>
    <row r="687" spans="1:18" hidden="1">
      <c r="A687" s="23" t="s">
        <v>1392</v>
      </c>
      <c r="B687" s="23" t="s">
        <v>1393</v>
      </c>
      <c r="C687" s="23">
        <v>2272</v>
      </c>
      <c r="I687" s="3" t="str">
        <f>+IFERROR(VLOOKUP(C687,'Mov 2023 hasta ahora '!$C$2:$D$314,2,FALSE),"NO")</f>
        <v>NO</v>
      </c>
      <c r="K687">
        <v>6</v>
      </c>
      <c r="L687" t="s">
        <v>836</v>
      </c>
      <c r="M687">
        <v>24</v>
      </c>
      <c r="O687" s="29" t="s">
        <v>8678</v>
      </c>
      <c r="P687" s="25" t="s">
        <v>8700</v>
      </c>
      <c r="Q687" s="25">
        <v>1806</v>
      </c>
      <c r="R687" t="s">
        <v>436</v>
      </c>
    </row>
    <row r="688" spans="1:18" hidden="1">
      <c r="A688" s="23" t="s">
        <v>1394</v>
      </c>
      <c r="B688" s="23" t="s">
        <v>1395</v>
      </c>
      <c r="C688" s="23">
        <v>2273</v>
      </c>
      <c r="I688" s="3" t="str">
        <f>+IFERROR(VLOOKUP(C688,'Mov 2023 hasta ahora '!$C$2:$D$314,2,FALSE),"NO")</f>
        <v>NO</v>
      </c>
      <c r="K688">
        <v>6</v>
      </c>
      <c r="L688" t="s">
        <v>836</v>
      </c>
      <c r="M688">
        <v>24</v>
      </c>
      <c r="O688" s="29" t="s">
        <v>8678</v>
      </c>
      <c r="P688" s="25" t="s">
        <v>8700</v>
      </c>
      <c r="Q688" s="25">
        <v>1806</v>
      </c>
      <c r="R688" t="s">
        <v>436</v>
      </c>
    </row>
    <row r="689" spans="1:18" hidden="1">
      <c r="A689" s="23" t="s">
        <v>1396</v>
      </c>
      <c r="B689" s="23" t="s">
        <v>1397</v>
      </c>
      <c r="C689" s="23">
        <v>2274</v>
      </c>
      <c r="I689" s="3" t="str">
        <f>+IFERROR(VLOOKUP(C689,'Mov 2023 hasta ahora '!$C$2:$D$314,2,FALSE),"NO")</f>
        <v>NO</v>
      </c>
      <c r="K689">
        <v>6</v>
      </c>
      <c r="L689" t="s">
        <v>836</v>
      </c>
      <c r="M689">
        <v>24</v>
      </c>
      <c r="O689" s="29" t="s">
        <v>8844</v>
      </c>
      <c r="P689" s="25" t="s">
        <v>8699</v>
      </c>
      <c r="Q689" s="25">
        <v>1814</v>
      </c>
      <c r="R689" t="s">
        <v>436</v>
      </c>
    </row>
    <row r="690" spans="1:18" hidden="1">
      <c r="A690" s="23" t="s">
        <v>1398</v>
      </c>
      <c r="B690" s="23" t="s">
        <v>1399</v>
      </c>
      <c r="C690" s="23">
        <v>2275</v>
      </c>
      <c r="I690" s="3" t="str">
        <f>+IFERROR(VLOOKUP(C690,'Mov 2023 hasta ahora '!$C$2:$D$314,2,FALSE),"NO")</f>
        <v>NO</v>
      </c>
      <c r="K690">
        <v>6</v>
      </c>
      <c r="L690" t="s">
        <v>836</v>
      </c>
      <c r="M690">
        <v>24</v>
      </c>
      <c r="O690" s="29" t="s">
        <v>8844</v>
      </c>
      <c r="P690" s="25" t="s">
        <v>8699</v>
      </c>
      <c r="Q690" s="25">
        <v>1814</v>
      </c>
      <c r="R690" t="s">
        <v>436</v>
      </c>
    </row>
    <row r="691" spans="1:18" hidden="1">
      <c r="A691" t="s">
        <v>1400</v>
      </c>
      <c r="B691" t="s">
        <v>1401</v>
      </c>
      <c r="I691" s="3" t="str">
        <f>+IFERROR(VLOOKUP(C691,'Mov 2023 hasta ahora '!$C$2:$D$314,2,FALSE),"NO")</f>
        <v>NO</v>
      </c>
      <c r="K691">
        <v>3</v>
      </c>
      <c r="L691" t="s">
        <v>836</v>
      </c>
      <c r="M691">
        <v>10</v>
      </c>
    </row>
    <row r="692" spans="1:18" hidden="1">
      <c r="A692" t="s">
        <v>1402</v>
      </c>
      <c r="B692" t="s">
        <v>1403</v>
      </c>
      <c r="I692" s="3" t="str">
        <f>+IFERROR(VLOOKUP(C692,'Mov 2023 hasta ahora '!$C$2:$D$314,2,FALSE),"NO")</f>
        <v>NO</v>
      </c>
      <c r="K692">
        <v>4</v>
      </c>
      <c r="L692" t="s">
        <v>836</v>
      </c>
      <c r="M692">
        <v>14</v>
      </c>
    </row>
    <row r="693" spans="1:18" hidden="1">
      <c r="A693" t="s">
        <v>1404</v>
      </c>
      <c r="B693" t="s">
        <v>1405</v>
      </c>
      <c r="I693" s="3" t="str">
        <f>+IFERROR(VLOOKUP(C693,'Mov 2023 hasta ahora '!$C$2:$D$314,2,FALSE),"NO")</f>
        <v>NO</v>
      </c>
      <c r="K693">
        <v>5</v>
      </c>
      <c r="L693" t="s">
        <v>836</v>
      </c>
      <c r="M693">
        <v>18</v>
      </c>
    </row>
    <row r="694" spans="1:18" hidden="1">
      <c r="A694" s="23" t="s">
        <v>1406</v>
      </c>
      <c r="B694" s="23" t="s">
        <v>1407</v>
      </c>
      <c r="C694" s="23">
        <v>2499</v>
      </c>
      <c r="I694" s="3" t="str">
        <f>+IFERROR(VLOOKUP(C694,'Mov 2023 hasta ahora '!$C$2:$D$314,2,FALSE),"NO")</f>
        <v>NO</v>
      </c>
      <c r="K694">
        <v>6</v>
      </c>
      <c r="L694" t="s">
        <v>836</v>
      </c>
      <c r="M694">
        <v>24</v>
      </c>
      <c r="O694" s="29" t="s">
        <v>8679</v>
      </c>
      <c r="P694" s="25" t="s">
        <v>8677</v>
      </c>
      <c r="Q694" s="25">
        <v>2450</v>
      </c>
      <c r="R694" t="s">
        <v>436</v>
      </c>
    </row>
    <row r="695" spans="1:18" hidden="1">
      <c r="A695" s="23" t="s">
        <v>1408</v>
      </c>
      <c r="B695" s="23" t="s">
        <v>1409</v>
      </c>
      <c r="C695" s="23">
        <v>2500</v>
      </c>
      <c r="I695" s="3" t="str">
        <f>+IFERROR(VLOOKUP(C695,'Mov 2023 hasta ahora '!$C$2:$D$314,2,FALSE),"NO")</f>
        <v>NO</v>
      </c>
      <c r="K695">
        <v>6</v>
      </c>
      <c r="L695" t="s">
        <v>836</v>
      </c>
      <c r="M695">
        <v>24</v>
      </c>
      <c r="O695" s="29" t="s">
        <v>8844</v>
      </c>
      <c r="P695" s="25" t="s">
        <v>8699</v>
      </c>
      <c r="Q695" s="25">
        <v>1814</v>
      </c>
      <c r="R695" t="s">
        <v>436</v>
      </c>
    </row>
    <row r="696" spans="1:18" hidden="1">
      <c r="A696" s="23" t="s">
        <v>1410</v>
      </c>
      <c r="B696" s="23" t="s">
        <v>1411</v>
      </c>
      <c r="C696" s="23">
        <v>2501</v>
      </c>
      <c r="I696" s="3" t="str">
        <f>+IFERROR(VLOOKUP(C696,'Mov 2023 hasta ahora '!$C$2:$D$314,2,FALSE),"NO")</f>
        <v>NO</v>
      </c>
      <c r="K696">
        <v>6</v>
      </c>
      <c r="L696" t="s">
        <v>836</v>
      </c>
      <c r="M696">
        <v>24</v>
      </c>
      <c r="O696" s="29" t="s">
        <v>8844</v>
      </c>
      <c r="P696" s="25" t="s">
        <v>8699</v>
      </c>
      <c r="Q696" s="25">
        <v>1814</v>
      </c>
      <c r="R696" t="s">
        <v>436</v>
      </c>
    </row>
    <row r="697" spans="1:18" hidden="1">
      <c r="A697" s="23" t="s">
        <v>1412</v>
      </c>
      <c r="B697" s="23" t="s">
        <v>1413</v>
      </c>
      <c r="C697" s="23">
        <v>2502</v>
      </c>
      <c r="I697" s="3" t="str">
        <f>+IFERROR(VLOOKUP(C697,'Mov 2023 hasta ahora '!$C$2:$D$314,2,FALSE),"NO")</f>
        <v>NO</v>
      </c>
      <c r="K697">
        <v>6</v>
      </c>
      <c r="L697" t="s">
        <v>836</v>
      </c>
      <c r="M697">
        <v>24</v>
      </c>
      <c r="O697" s="29" t="s">
        <v>8844</v>
      </c>
      <c r="P697" s="25" t="s">
        <v>8699</v>
      </c>
      <c r="Q697" s="25">
        <v>1814</v>
      </c>
      <c r="R697" t="s">
        <v>436</v>
      </c>
    </row>
    <row r="698" spans="1:18" hidden="1">
      <c r="A698" s="23" t="s">
        <v>1414</v>
      </c>
      <c r="B698" s="23" t="s">
        <v>1415</v>
      </c>
      <c r="C698" s="23">
        <v>2503</v>
      </c>
      <c r="I698" s="3" t="str">
        <f>+IFERROR(VLOOKUP(C698,'Mov 2023 hasta ahora '!$C$2:$D$314,2,FALSE),"NO")</f>
        <v>NO</v>
      </c>
      <c r="K698">
        <v>6</v>
      </c>
      <c r="L698" t="s">
        <v>836</v>
      </c>
      <c r="M698">
        <v>24</v>
      </c>
      <c r="O698" s="29" t="s">
        <v>8678</v>
      </c>
      <c r="P698" s="25" t="s">
        <v>8700</v>
      </c>
      <c r="Q698" s="25">
        <v>1806</v>
      </c>
      <c r="R698" t="s">
        <v>436</v>
      </c>
    </row>
    <row r="699" spans="1:18" hidden="1">
      <c r="A699" s="23" t="s">
        <v>1416</v>
      </c>
      <c r="B699" s="23" t="s">
        <v>1417</v>
      </c>
      <c r="C699" s="23">
        <v>2504</v>
      </c>
      <c r="I699" s="3" t="str">
        <f>+IFERROR(VLOOKUP(C699,'Mov 2023 hasta ahora '!$C$2:$D$314,2,FALSE),"NO")</f>
        <v>NO</v>
      </c>
      <c r="K699">
        <v>6</v>
      </c>
      <c r="L699" t="s">
        <v>836</v>
      </c>
      <c r="M699">
        <v>24</v>
      </c>
      <c r="O699" s="29" t="s">
        <v>8678</v>
      </c>
      <c r="P699" s="25" t="s">
        <v>8700</v>
      </c>
      <c r="Q699" s="25">
        <v>1806</v>
      </c>
      <c r="R699" t="s">
        <v>436</v>
      </c>
    </row>
    <row r="700" spans="1:18" hidden="1">
      <c r="A700" s="23" t="s">
        <v>1418</v>
      </c>
      <c r="B700" s="23" t="s">
        <v>1419</v>
      </c>
      <c r="C700" s="23">
        <v>2505</v>
      </c>
      <c r="I700" s="3" t="str">
        <f>+IFERROR(VLOOKUP(C700,'Mov 2023 hasta ahora '!$C$2:$D$314,2,FALSE),"NO")</f>
        <v>NO</v>
      </c>
      <c r="K700">
        <v>6</v>
      </c>
      <c r="L700" t="s">
        <v>836</v>
      </c>
      <c r="M700">
        <v>24</v>
      </c>
      <c r="O700" s="29" t="s">
        <v>8844</v>
      </c>
      <c r="P700" s="25" t="s">
        <v>8699</v>
      </c>
      <c r="Q700" s="25">
        <v>1814</v>
      </c>
      <c r="R700" t="s">
        <v>436</v>
      </c>
    </row>
    <row r="701" spans="1:18" hidden="1">
      <c r="A701" s="23" t="s">
        <v>1420</v>
      </c>
      <c r="B701" s="23" t="s">
        <v>1421</v>
      </c>
      <c r="C701" s="23">
        <v>2506</v>
      </c>
      <c r="I701" s="3" t="str">
        <f>+IFERROR(VLOOKUP(C701,'Mov 2023 hasta ahora '!$C$2:$D$314,2,FALSE),"NO")</f>
        <v>NO</v>
      </c>
      <c r="K701">
        <v>6</v>
      </c>
      <c r="L701" t="s">
        <v>836</v>
      </c>
      <c r="M701">
        <v>24</v>
      </c>
      <c r="O701" s="29" t="s">
        <v>8844</v>
      </c>
      <c r="P701" s="25" t="s">
        <v>8699</v>
      </c>
      <c r="Q701" s="25">
        <v>1814</v>
      </c>
      <c r="R701" t="s">
        <v>436</v>
      </c>
    </row>
    <row r="702" spans="1:18" hidden="1">
      <c r="A702" t="s">
        <v>1422</v>
      </c>
      <c r="B702" t="s">
        <v>1423</v>
      </c>
      <c r="I702" s="3" t="str">
        <f>+IFERROR(VLOOKUP(C702,'Mov 2023 hasta ahora '!$C$2:$D$314,2,FALSE),"NO")</f>
        <v>NO</v>
      </c>
      <c r="K702">
        <v>4</v>
      </c>
      <c r="L702" t="s">
        <v>836</v>
      </c>
      <c r="M702">
        <v>14</v>
      </c>
    </row>
    <row r="703" spans="1:18" hidden="1">
      <c r="A703" t="s">
        <v>1424</v>
      </c>
      <c r="B703" t="s">
        <v>1425</v>
      </c>
      <c r="I703" s="3" t="str">
        <f>+IFERROR(VLOOKUP(C703,'Mov 2023 hasta ahora '!$C$2:$D$314,2,FALSE),"NO")</f>
        <v>NO</v>
      </c>
      <c r="K703">
        <v>5</v>
      </c>
      <c r="L703" t="s">
        <v>836</v>
      </c>
      <c r="M703">
        <v>18</v>
      </c>
    </row>
    <row r="704" spans="1:18" hidden="1">
      <c r="A704" s="23" t="s">
        <v>1426</v>
      </c>
      <c r="B704" s="23" t="s">
        <v>1427</v>
      </c>
      <c r="C704" s="23">
        <v>2326</v>
      </c>
      <c r="I704" s="3" t="str">
        <f>+IFERROR(VLOOKUP(C704,'Mov 2023 hasta ahora '!$C$2:$D$314,2,FALSE),"NO")</f>
        <v>NO</v>
      </c>
      <c r="K704">
        <v>6</v>
      </c>
      <c r="L704" t="s">
        <v>836</v>
      </c>
      <c r="M704">
        <v>24</v>
      </c>
      <c r="O704" s="29" t="s">
        <v>8698</v>
      </c>
      <c r="P704" s="25" t="s">
        <v>8692</v>
      </c>
      <c r="Q704" s="25">
        <v>3881</v>
      </c>
      <c r="R704" t="s">
        <v>436</v>
      </c>
    </row>
    <row r="705" spans="1:18" hidden="1">
      <c r="A705" s="23" t="s">
        <v>1428</v>
      </c>
      <c r="B705" s="23" t="s">
        <v>1429</v>
      </c>
      <c r="C705" s="23">
        <v>2327</v>
      </c>
      <c r="I705" s="3" t="str">
        <f>+IFERROR(VLOOKUP(C705,'Mov 2023 hasta ahora '!$C$2:$D$314,2,FALSE),"NO")</f>
        <v>NO</v>
      </c>
      <c r="K705">
        <v>6</v>
      </c>
      <c r="L705" t="s">
        <v>836</v>
      </c>
      <c r="M705">
        <v>24</v>
      </c>
      <c r="O705" s="29" t="s">
        <v>8678</v>
      </c>
      <c r="P705" s="25" t="s">
        <v>8700</v>
      </c>
      <c r="Q705" s="25">
        <v>1806</v>
      </c>
      <c r="R705" t="s">
        <v>436</v>
      </c>
    </row>
    <row r="706" spans="1:18" hidden="1">
      <c r="A706" t="s">
        <v>1430</v>
      </c>
      <c r="B706" t="s">
        <v>1431</v>
      </c>
      <c r="I706" s="3" t="str">
        <f>+IFERROR(VLOOKUP(C706,'Mov 2023 hasta ahora '!$C$2:$D$314,2,FALSE),"NO")</f>
        <v>NO</v>
      </c>
      <c r="K706">
        <v>3</v>
      </c>
      <c r="L706" t="s">
        <v>836</v>
      </c>
      <c r="M706">
        <v>10</v>
      </c>
    </row>
    <row r="707" spans="1:18" hidden="1">
      <c r="A707" t="s">
        <v>1432</v>
      </c>
      <c r="B707" t="s">
        <v>1433</v>
      </c>
      <c r="I707" s="3" t="str">
        <f>+IFERROR(VLOOKUP(C707,'Mov 2023 hasta ahora '!$C$2:$D$314,2,FALSE),"NO")</f>
        <v>NO</v>
      </c>
      <c r="K707">
        <v>4</v>
      </c>
      <c r="L707" t="s">
        <v>836</v>
      </c>
      <c r="M707">
        <v>14</v>
      </c>
    </row>
    <row r="708" spans="1:18" hidden="1">
      <c r="A708" t="s">
        <v>1434</v>
      </c>
      <c r="B708" t="s">
        <v>1435</v>
      </c>
      <c r="I708" s="3" t="str">
        <f>+IFERROR(VLOOKUP(C708,'Mov 2023 hasta ahora '!$C$2:$D$314,2,FALSE),"NO")</f>
        <v>NO</v>
      </c>
      <c r="K708">
        <v>5</v>
      </c>
      <c r="L708" t="s">
        <v>836</v>
      </c>
      <c r="M708">
        <v>18</v>
      </c>
    </row>
    <row r="709" spans="1:18" hidden="1">
      <c r="A709" s="23" t="s">
        <v>1436</v>
      </c>
      <c r="B709" s="23" t="s">
        <v>1437</v>
      </c>
      <c r="C709" s="23">
        <v>2330</v>
      </c>
      <c r="I709" s="3" t="str">
        <f>+IFERROR(VLOOKUP(C709,'Mov 2023 hasta ahora '!$C$2:$D$314,2,FALSE),"NO")</f>
        <v>NO</v>
      </c>
      <c r="K709">
        <v>6</v>
      </c>
      <c r="L709" t="s">
        <v>836</v>
      </c>
      <c r="M709">
        <v>24</v>
      </c>
      <c r="O709" s="29" t="s">
        <v>8679</v>
      </c>
      <c r="P709" s="25" t="s">
        <v>8677</v>
      </c>
      <c r="Q709" s="25">
        <v>2450</v>
      </c>
      <c r="R709" t="s">
        <v>436</v>
      </c>
    </row>
    <row r="710" spans="1:18" hidden="1">
      <c r="A710" t="s">
        <v>1438</v>
      </c>
      <c r="B710" t="s">
        <v>1439</v>
      </c>
      <c r="I710" s="3" t="str">
        <f>+IFERROR(VLOOKUP(C710,'Mov 2023 hasta ahora '!$C$2:$D$314,2,FALSE),"NO")</f>
        <v>NO</v>
      </c>
      <c r="K710">
        <v>3</v>
      </c>
      <c r="L710" t="s">
        <v>836</v>
      </c>
      <c r="M710">
        <v>10</v>
      </c>
    </row>
    <row r="711" spans="1:18" hidden="1">
      <c r="A711" t="s">
        <v>1440</v>
      </c>
      <c r="B711" t="s">
        <v>1441</v>
      </c>
      <c r="I711" s="3" t="str">
        <f>+IFERROR(VLOOKUP(C711,'Mov 2023 hasta ahora '!$C$2:$D$314,2,FALSE),"NO")</f>
        <v>NO</v>
      </c>
      <c r="K711">
        <v>4</v>
      </c>
      <c r="L711" t="s">
        <v>836</v>
      </c>
      <c r="M711">
        <v>14</v>
      </c>
    </row>
    <row r="712" spans="1:18" hidden="1">
      <c r="A712" t="s">
        <v>1442</v>
      </c>
      <c r="B712" t="s">
        <v>1443</v>
      </c>
      <c r="I712" s="3" t="str">
        <f>+IFERROR(VLOOKUP(C712,'Mov 2023 hasta ahora '!$C$2:$D$314,2,FALSE),"NO")</f>
        <v>NO</v>
      </c>
      <c r="K712">
        <v>5</v>
      </c>
      <c r="L712" t="s">
        <v>836</v>
      </c>
      <c r="M712">
        <v>18</v>
      </c>
    </row>
    <row r="713" spans="1:18" hidden="1">
      <c r="A713" s="23" t="s">
        <v>1444</v>
      </c>
      <c r="B713" s="23" t="s">
        <v>1445</v>
      </c>
      <c r="C713" s="23">
        <v>2331</v>
      </c>
      <c r="I713" s="3" t="str">
        <f>+IFERROR(VLOOKUP(C713,'Mov 2023 hasta ahora '!$C$2:$D$314,2,FALSE),"NO")</f>
        <v>NO</v>
      </c>
      <c r="K713">
        <v>6</v>
      </c>
      <c r="L713" t="s">
        <v>836</v>
      </c>
      <c r="M713">
        <v>24</v>
      </c>
      <c r="O713" s="29" t="s">
        <v>8679</v>
      </c>
      <c r="P713" s="25" t="s">
        <v>8677</v>
      </c>
      <c r="Q713" s="25">
        <v>2450</v>
      </c>
      <c r="R713" t="s">
        <v>436</v>
      </c>
    </row>
    <row r="714" spans="1:18" hidden="1">
      <c r="A714" t="s">
        <v>1446</v>
      </c>
      <c r="B714" t="s">
        <v>1447</v>
      </c>
      <c r="I714" s="3" t="str">
        <f>+IFERROR(VLOOKUP(C714,'Mov 2023 hasta ahora '!$C$2:$D$314,2,FALSE),"NO")</f>
        <v>NO</v>
      </c>
      <c r="K714">
        <v>3</v>
      </c>
      <c r="L714" t="s">
        <v>836</v>
      </c>
      <c r="M714">
        <v>10</v>
      </c>
    </row>
    <row r="715" spans="1:18" hidden="1">
      <c r="A715" t="s">
        <v>1448</v>
      </c>
      <c r="B715" t="s">
        <v>1449</v>
      </c>
      <c r="I715" s="3" t="str">
        <f>+IFERROR(VLOOKUP(C715,'Mov 2023 hasta ahora '!$C$2:$D$314,2,FALSE),"NO")</f>
        <v>NO</v>
      </c>
      <c r="K715">
        <v>4</v>
      </c>
      <c r="L715" t="s">
        <v>836</v>
      </c>
      <c r="M715">
        <v>14</v>
      </c>
    </row>
    <row r="716" spans="1:18" hidden="1">
      <c r="A716" t="s">
        <v>1450</v>
      </c>
      <c r="B716" t="s">
        <v>1451</v>
      </c>
      <c r="I716" s="3" t="str">
        <f>+IFERROR(VLOOKUP(C716,'Mov 2023 hasta ahora '!$C$2:$D$314,2,FALSE),"NO")</f>
        <v>NO</v>
      </c>
      <c r="K716">
        <v>5</v>
      </c>
      <c r="L716" t="s">
        <v>836</v>
      </c>
      <c r="M716">
        <v>18</v>
      </c>
    </row>
    <row r="717" spans="1:18" hidden="1">
      <c r="A717" s="23" t="s">
        <v>1452</v>
      </c>
      <c r="B717" s="23" t="s">
        <v>1453</v>
      </c>
      <c r="C717" s="23">
        <v>2332</v>
      </c>
      <c r="I717" s="3" t="str">
        <f>+IFERROR(VLOOKUP(C717,'Mov 2023 hasta ahora '!$C$2:$D$314,2,FALSE),"NO")</f>
        <v>NO</v>
      </c>
      <c r="K717">
        <v>6</v>
      </c>
      <c r="L717" t="s">
        <v>836</v>
      </c>
      <c r="M717">
        <v>24</v>
      </c>
      <c r="O717" s="29" t="s">
        <v>8679</v>
      </c>
      <c r="P717" s="25" t="s">
        <v>8677</v>
      </c>
      <c r="Q717" s="25">
        <v>2450</v>
      </c>
      <c r="R717" t="s">
        <v>436</v>
      </c>
    </row>
    <row r="718" spans="1:18" hidden="1">
      <c r="A718" t="s">
        <v>1454</v>
      </c>
      <c r="B718" t="s">
        <v>1455</v>
      </c>
      <c r="I718" s="3" t="str">
        <f>+IFERROR(VLOOKUP(C718,'Mov 2023 hasta ahora '!$C$2:$D$314,2,FALSE),"NO")</f>
        <v>NO</v>
      </c>
      <c r="K718">
        <v>3</v>
      </c>
      <c r="L718" t="s">
        <v>836</v>
      </c>
      <c r="M718">
        <v>10</v>
      </c>
    </row>
    <row r="719" spans="1:18" hidden="1">
      <c r="A719" t="s">
        <v>1456</v>
      </c>
      <c r="B719" t="s">
        <v>1457</v>
      </c>
      <c r="I719" s="3" t="str">
        <f>+IFERROR(VLOOKUP(C719,'Mov 2023 hasta ahora '!$C$2:$D$314,2,FALSE),"NO")</f>
        <v>NO</v>
      </c>
      <c r="K719">
        <v>4</v>
      </c>
      <c r="L719" t="s">
        <v>836</v>
      </c>
      <c r="M719">
        <v>14</v>
      </c>
    </row>
    <row r="720" spans="1:18" hidden="1">
      <c r="A720" t="s">
        <v>1458</v>
      </c>
      <c r="B720" t="s">
        <v>1459</v>
      </c>
      <c r="I720" s="3" t="str">
        <f>+IFERROR(VLOOKUP(C720,'Mov 2023 hasta ahora '!$C$2:$D$314,2,FALSE),"NO")</f>
        <v>NO</v>
      </c>
      <c r="K720">
        <v>5</v>
      </c>
      <c r="L720" t="s">
        <v>836</v>
      </c>
      <c r="M720">
        <v>18</v>
      </c>
    </row>
    <row r="721" spans="1:18" hidden="1">
      <c r="A721" s="23" t="s">
        <v>1460</v>
      </c>
      <c r="B721" s="23" t="s">
        <v>1461</v>
      </c>
      <c r="C721" s="23">
        <v>2477</v>
      </c>
      <c r="I721" s="3" t="str">
        <f>+IFERROR(VLOOKUP(C721,'Mov 2023 hasta ahora '!$C$2:$D$314,2,FALSE),"NO")</f>
        <v>NO</v>
      </c>
      <c r="K721">
        <v>6</v>
      </c>
      <c r="L721" t="s">
        <v>836</v>
      </c>
      <c r="M721">
        <v>24</v>
      </c>
      <c r="O721" s="29" t="s">
        <v>8679</v>
      </c>
      <c r="P721" s="25" t="s">
        <v>8677</v>
      </c>
      <c r="Q721" s="25">
        <v>2450</v>
      </c>
      <c r="R721" t="s">
        <v>436</v>
      </c>
    </row>
    <row r="722" spans="1:18" hidden="1">
      <c r="A722" t="s">
        <v>1462</v>
      </c>
      <c r="B722" t="s">
        <v>1463</v>
      </c>
      <c r="I722" s="3" t="str">
        <f>+IFERROR(VLOOKUP(C722,'Mov 2023 hasta ahora '!$C$2:$D$314,2,FALSE),"NO")</f>
        <v>NO</v>
      </c>
      <c r="K722">
        <v>3</v>
      </c>
      <c r="L722" t="s">
        <v>836</v>
      </c>
      <c r="M722">
        <v>10</v>
      </c>
    </row>
    <row r="723" spans="1:18" hidden="1">
      <c r="A723" t="s">
        <v>1464</v>
      </c>
      <c r="B723" t="s">
        <v>1465</v>
      </c>
      <c r="I723" s="3" t="str">
        <f>+IFERROR(VLOOKUP(C723,'Mov 2023 hasta ahora '!$C$2:$D$314,2,FALSE),"NO")</f>
        <v>NO</v>
      </c>
      <c r="K723">
        <v>4</v>
      </c>
      <c r="L723" t="s">
        <v>836</v>
      </c>
      <c r="M723">
        <v>14</v>
      </c>
    </row>
    <row r="724" spans="1:18" hidden="1">
      <c r="A724" t="s">
        <v>1466</v>
      </c>
      <c r="B724" t="s">
        <v>1467</v>
      </c>
      <c r="I724" s="3" t="str">
        <f>+IFERROR(VLOOKUP(C724,'Mov 2023 hasta ahora '!$C$2:$D$314,2,FALSE),"NO")</f>
        <v>NO</v>
      </c>
      <c r="K724">
        <v>5</v>
      </c>
      <c r="L724" t="s">
        <v>836</v>
      </c>
      <c r="M724">
        <v>18</v>
      </c>
    </row>
    <row r="725" spans="1:18" hidden="1">
      <c r="A725" s="23" t="s">
        <v>1468</v>
      </c>
      <c r="B725" s="23" t="s">
        <v>1469</v>
      </c>
      <c r="C725" s="23">
        <v>2507</v>
      </c>
      <c r="I725" s="3" t="str">
        <f>+IFERROR(VLOOKUP(C725,'Mov 2023 hasta ahora '!$C$2:$D$314,2,FALSE),"NO")</f>
        <v>NO</v>
      </c>
      <c r="K725">
        <v>6</v>
      </c>
      <c r="L725" t="s">
        <v>836</v>
      </c>
      <c r="M725">
        <v>24</v>
      </c>
      <c r="O725" s="29" t="s">
        <v>8679</v>
      </c>
      <c r="P725" s="25" t="s">
        <v>8677</v>
      </c>
      <c r="Q725" s="25">
        <v>2450</v>
      </c>
      <c r="R725" t="s">
        <v>436</v>
      </c>
    </row>
    <row r="726" spans="1:18" hidden="1">
      <c r="A726" s="23" t="s">
        <v>1470</v>
      </c>
      <c r="B726" s="23" t="s">
        <v>1471</v>
      </c>
      <c r="C726" s="23">
        <v>2508</v>
      </c>
      <c r="I726" s="3" t="str">
        <f>+IFERROR(VLOOKUP(C726,'Mov 2023 hasta ahora '!$C$2:$D$314,2,FALSE),"NO")</f>
        <v>NO</v>
      </c>
      <c r="K726">
        <v>6</v>
      </c>
      <c r="L726" t="s">
        <v>836</v>
      </c>
      <c r="M726">
        <v>24</v>
      </c>
      <c r="O726" s="29" t="s">
        <v>8844</v>
      </c>
      <c r="P726" s="25" t="s">
        <v>8699</v>
      </c>
      <c r="Q726" s="25">
        <v>1814</v>
      </c>
      <c r="R726" t="s">
        <v>436</v>
      </c>
    </row>
    <row r="727" spans="1:18" hidden="1">
      <c r="A727" s="23" t="s">
        <v>1472</v>
      </c>
      <c r="B727" s="23" t="s">
        <v>1473</v>
      </c>
      <c r="C727" s="23">
        <v>2509</v>
      </c>
      <c r="I727" s="3" t="str">
        <f>+IFERROR(VLOOKUP(C727,'Mov 2023 hasta ahora '!$C$2:$D$314,2,FALSE),"NO")</f>
        <v>NO</v>
      </c>
      <c r="K727">
        <v>6</v>
      </c>
      <c r="L727" t="s">
        <v>836</v>
      </c>
      <c r="M727">
        <v>24</v>
      </c>
      <c r="O727" s="29" t="s">
        <v>8844</v>
      </c>
      <c r="P727" s="25" t="s">
        <v>8699</v>
      </c>
      <c r="Q727" s="25">
        <v>1814</v>
      </c>
      <c r="R727" t="s">
        <v>436</v>
      </c>
    </row>
    <row r="728" spans="1:18" hidden="1">
      <c r="A728" s="23" t="s">
        <v>1474</v>
      </c>
      <c r="B728" s="23" t="s">
        <v>1475</v>
      </c>
      <c r="C728" s="23">
        <v>2510</v>
      </c>
      <c r="I728" s="3" t="str">
        <f>+IFERROR(VLOOKUP(C728,'Mov 2023 hasta ahora '!$C$2:$D$314,2,FALSE),"NO")</f>
        <v>NO</v>
      </c>
      <c r="K728">
        <v>6</v>
      </c>
      <c r="L728" t="s">
        <v>836</v>
      </c>
      <c r="M728">
        <v>24</v>
      </c>
      <c r="O728" s="29" t="s">
        <v>8844</v>
      </c>
      <c r="P728" s="25" t="s">
        <v>8699</v>
      </c>
      <c r="Q728" s="25">
        <v>1814</v>
      </c>
      <c r="R728" t="s">
        <v>436</v>
      </c>
    </row>
    <row r="729" spans="1:18" hidden="1">
      <c r="A729" s="23" t="s">
        <v>1476</v>
      </c>
      <c r="B729" s="23" t="s">
        <v>1477</v>
      </c>
      <c r="C729" s="23">
        <v>2511</v>
      </c>
      <c r="I729" s="3" t="str">
        <f>+IFERROR(VLOOKUP(C729,'Mov 2023 hasta ahora '!$C$2:$D$314,2,FALSE),"NO")</f>
        <v>NO</v>
      </c>
      <c r="K729">
        <v>6</v>
      </c>
      <c r="L729" t="s">
        <v>836</v>
      </c>
      <c r="M729">
        <v>24</v>
      </c>
      <c r="O729" s="29" t="s">
        <v>8678</v>
      </c>
      <c r="P729" s="25" t="s">
        <v>8700</v>
      </c>
      <c r="Q729" s="25">
        <v>1806</v>
      </c>
      <c r="R729" t="s">
        <v>436</v>
      </c>
    </row>
    <row r="730" spans="1:18" hidden="1">
      <c r="A730" s="23" t="s">
        <v>1478</v>
      </c>
      <c r="B730" s="23" t="s">
        <v>1479</v>
      </c>
      <c r="C730" s="23">
        <v>2512</v>
      </c>
      <c r="I730" s="3" t="str">
        <f>+IFERROR(VLOOKUP(C730,'Mov 2023 hasta ahora '!$C$2:$D$314,2,FALSE),"NO")</f>
        <v>NO</v>
      </c>
      <c r="K730">
        <v>6</v>
      </c>
      <c r="L730" t="s">
        <v>836</v>
      </c>
      <c r="M730">
        <v>24</v>
      </c>
      <c r="O730" s="29" t="s">
        <v>8678</v>
      </c>
      <c r="P730" s="25" t="s">
        <v>8700</v>
      </c>
      <c r="Q730" s="25">
        <v>1806</v>
      </c>
      <c r="R730" t="s">
        <v>436</v>
      </c>
    </row>
    <row r="731" spans="1:18" hidden="1">
      <c r="A731" s="23" t="s">
        <v>1480</v>
      </c>
      <c r="B731" s="23" t="s">
        <v>1481</v>
      </c>
      <c r="C731" s="23">
        <v>2513</v>
      </c>
      <c r="I731" s="3" t="str">
        <f>+IFERROR(VLOOKUP(C731,'Mov 2023 hasta ahora '!$C$2:$D$314,2,FALSE),"NO")</f>
        <v>NO</v>
      </c>
      <c r="K731">
        <v>6</v>
      </c>
      <c r="L731" t="s">
        <v>836</v>
      </c>
      <c r="M731">
        <v>24</v>
      </c>
      <c r="O731" s="29" t="s">
        <v>8844</v>
      </c>
      <c r="P731" s="25" t="s">
        <v>8699</v>
      </c>
      <c r="Q731" s="25">
        <v>1814</v>
      </c>
      <c r="R731" t="s">
        <v>436</v>
      </c>
    </row>
    <row r="732" spans="1:18" hidden="1">
      <c r="A732" s="23" t="s">
        <v>1482</v>
      </c>
      <c r="B732" s="23" t="s">
        <v>1483</v>
      </c>
      <c r="C732" s="23">
        <v>2514</v>
      </c>
      <c r="I732" s="3" t="str">
        <f>+IFERROR(VLOOKUP(C732,'Mov 2023 hasta ahora '!$C$2:$D$314,2,FALSE),"NO")</f>
        <v>NO</v>
      </c>
      <c r="K732">
        <v>6</v>
      </c>
      <c r="L732" t="s">
        <v>836</v>
      </c>
      <c r="M732">
        <v>24</v>
      </c>
      <c r="O732" s="29" t="s">
        <v>8844</v>
      </c>
      <c r="P732" s="25" t="s">
        <v>8699</v>
      </c>
      <c r="Q732" s="25">
        <v>1814</v>
      </c>
      <c r="R732" t="s">
        <v>436</v>
      </c>
    </row>
    <row r="733" spans="1:18" hidden="1">
      <c r="A733" t="s">
        <v>1484</v>
      </c>
      <c r="B733" t="s">
        <v>1485</v>
      </c>
      <c r="I733" s="3" t="str">
        <f>+IFERROR(VLOOKUP(C733,'Mov 2023 hasta ahora '!$C$2:$D$314,2,FALSE),"NO")</f>
        <v>NO</v>
      </c>
      <c r="K733">
        <v>4</v>
      </c>
      <c r="L733" t="s">
        <v>836</v>
      </c>
      <c r="M733">
        <v>14</v>
      </c>
    </row>
    <row r="734" spans="1:18" hidden="1">
      <c r="A734" t="s">
        <v>1486</v>
      </c>
      <c r="B734" t="s">
        <v>1487</v>
      </c>
      <c r="I734" s="3" t="str">
        <f>+IFERROR(VLOOKUP(C734,'Mov 2023 hasta ahora '!$C$2:$D$314,2,FALSE),"NO")</f>
        <v>NO</v>
      </c>
      <c r="K734">
        <v>5</v>
      </c>
      <c r="L734" t="s">
        <v>836</v>
      </c>
      <c r="M734">
        <v>18</v>
      </c>
    </row>
    <row r="735" spans="1:18" hidden="1">
      <c r="A735" s="23" t="s">
        <v>1488</v>
      </c>
      <c r="B735" s="23" t="s">
        <v>1489</v>
      </c>
      <c r="C735" s="23">
        <v>2515</v>
      </c>
      <c r="I735" s="3" t="str">
        <f>+IFERROR(VLOOKUP(C735,'Mov 2023 hasta ahora '!$C$2:$D$314,2,FALSE),"NO")</f>
        <v>NO</v>
      </c>
      <c r="K735">
        <v>6</v>
      </c>
      <c r="L735" t="s">
        <v>836</v>
      </c>
      <c r="M735">
        <v>24</v>
      </c>
      <c r="O735" s="29" t="s">
        <v>8698</v>
      </c>
      <c r="P735" s="25" t="s">
        <v>8692</v>
      </c>
      <c r="Q735" s="25">
        <v>3881</v>
      </c>
      <c r="R735" t="s">
        <v>436</v>
      </c>
    </row>
    <row r="736" spans="1:18" hidden="1">
      <c r="A736" t="s">
        <v>1490</v>
      </c>
      <c r="B736" t="s">
        <v>1491</v>
      </c>
      <c r="I736" s="3" t="str">
        <f>+IFERROR(VLOOKUP(C736,'Mov 2023 hasta ahora '!$C$2:$D$314,2,FALSE),"NO")</f>
        <v>NO</v>
      </c>
      <c r="K736">
        <v>3</v>
      </c>
      <c r="L736" t="s">
        <v>836</v>
      </c>
      <c r="M736">
        <v>10</v>
      </c>
    </row>
    <row r="737" spans="1:18" hidden="1">
      <c r="A737" t="s">
        <v>1492</v>
      </c>
      <c r="B737" t="s">
        <v>1493</v>
      </c>
      <c r="I737" s="3" t="str">
        <f>+IFERROR(VLOOKUP(C737,'Mov 2023 hasta ahora '!$C$2:$D$314,2,FALSE),"NO")</f>
        <v>NO</v>
      </c>
      <c r="K737">
        <v>4</v>
      </c>
      <c r="L737" t="s">
        <v>836</v>
      </c>
      <c r="M737">
        <v>14</v>
      </c>
    </row>
    <row r="738" spans="1:18" hidden="1">
      <c r="A738" t="s">
        <v>1494</v>
      </c>
      <c r="B738" t="s">
        <v>1495</v>
      </c>
      <c r="I738" s="3" t="str">
        <f>+IFERROR(VLOOKUP(C738,'Mov 2023 hasta ahora '!$C$2:$D$314,2,FALSE),"NO")</f>
        <v>NO</v>
      </c>
      <c r="K738">
        <v>5</v>
      </c>
      <c r="L738" t="s">
        <v>836</v>
      </c>
      <c r="M738">
        <v>18</v>
      </c>
    </row>
    <row r="739" spans="1:18" hidden="1">
      <c r="A739" s="23" t="s">
        <v>1496</v>
      </c>
      <c r="B739" s="23" t="s">
        <v>1497</v>
      </c>
      <c r="C739" s="23">
        <v>2562</v>
      </c>
      <c r="I739" s="3" t="str">
        <f>+IFERROR(VLOOKUP(C739,'Mov 2023 hasta ahora '!$C$2:$D$314,2,FALSE),"NO")</f>
        <v>NO</v>
      </c>
      <c r="K739">
        <v>6</v>
      </c>
      <c r="L739" t="s">
        <v>836</v>
      </c>
      <c r="M739">
        <v>24</v>
      </c>
      <c r="O739" s="29" t="s">
        <v>8679</v>
      </c>
      <c r="P739" s="25" t="s">
        <v>8677</v>
      </c>
      <c r="Q739" s="25">
        <v>2450</v>
      </c>
      <c r="R739" t="s">
        <v>436</v>
      </c>
    </row>
    <row r="740" spans="1:18" hidden="1">
      <c r="A740" t="s">
        <v>1498</v>
      </c>
      <c r="B740" t="s">
        <v>1499</v>
      </c>
      <c r="I740" s="3" t="str">
        <f>+IFERROR(VLOOKUP(C740,'Mov 2023 hasta ahora '!$C$2:$D$314,2,FALSE),"NO")</f>
        <v>NO</v>
      </c>
      <c r="K740">
        <v>3</v>
      </c>
      <c r="L740" t="s">
        <v>836</v>
      </c>
      <c r="M740">
        <v>10</v>
      </c>
    </row>
    <row r="741" spans="1:18" hidden="1">
      <c r="A741" t="s">
        <v>1500</v>
      </c>
      <c r="B741" t="s">
        <v>1501</v>
      </c>
      <c r="I741" s="3" t="str">
        <f>+IFERROR(VLOOKUP(C741,'Mov 2023 hasta ahora '!$C$2:$D$314,2,FALSE),"NO")</f>
        <v>NO</v>
      </c>
      <c r="K741">
        <v>4</v>
      </c>
      <c r="L741" t="s">
        <v>836</v>
      </c>
      <c r="M741">
        <v>14</v>
      </c>
    </row>
    <row r="742" spans="1:18" hidden="1">
      <c r="A742" t="s">
        <v>1502</v>
      </c>
      <c r="B742" t="s">
        <v>1503</v>
      </c>
      <c r="I742" s="3" t="str">
        <f>+IFERROR(VLOOKUP(C742,'Mov 2023 hasta ahora '!$C$2:$D$314,2,FALSE),"NO")</f>
        <v>NO</v>
      </c>
      <c r="K742">
        <v>5</v>
      </c>
      <c r="L742" t="s">
        <v>836</v>
      </c>
      <c r="M742">
        <v>18</v>
      </c>
    </row>
    <row r="743" spans="1:18" hidden="1">
      <c r="A743" s="23" t="s">
        <v>1504</v>
      </c>
      <c r="B743" s="23" t="s">
        <v>1505</v>
      </c>
      <c r="C743" s="23">
        <v>2600</v>
      </c>
      <c r="I743" s="3" t="str">
        <f>+IFERROR(VLOOKUP(C743,'Mov 2023 hasta ahora '!$C$2:$D$314,2,FALSE),"NO")</f>
        <v>NO</v>
      </c>
      <c r="K743">
        <v>6</v>
      </c>
      <c r="L743" t="s">
        <v>836</v>
      </c>
      <c r="M743">
        <v>24</v>
      </c>
      <c r="O743" s="29" t="s">
        <v>8679</v>
      </c>
      <c r="P743" s="25" t="s">
        <v>8677</v>
      </c>
      <c r="Q743" s="25">
        <v>2450</v>
      </c>
      <c r="R743" t="s">
        <v>436</v>
      </c>
    </row>
    <row r="744" spans="1:18" hidden="1">
      <c r="A744" s="23" t="s">
        <v>1506</v>
      </c>
      <c r="B744" s="23" t="s">
        <v>1507</v>
      </c>
      <c r="C744" s="23">
        <v>2601</v>
      </c>
      <c r="I744" s="3" t="str">
        <f>+IFERROR(VLOOKUP(C744,'Mov 2023 hasta ahora '!$C$2:$D$314,2,FALSE),"NO")</f>
        <v>NO</v>
      </c>
      <c r="K744">
        <v>6</v>
      </c>
      <c r="L744" t="s">
        <v>836</v>
      </c>
      <c r="M744">
        <v>24</v>
      </c>
      <c r="O744" s="29" t="s">
        <v>8678</v>
      </c>
      <c r="P744" s="25" t="s">
        <v>8700</v>
      </c>
      <c r="Q744" s="25">
        <v>1806</v>
      </c>
      <c r="R744" t="s">
        <v>436</v>
      </c>
    </row>
    <row r="745" spans="1:18" hidden="1">
      <c r="A745" t="s">
        <v>1508</v>
      </c>
      <c r="B745" t="s">
        <v>1509</v>
      </c>
      <c r="I745" s="3" t="str">
        <f>+IFERROR(VLOOKUP(C745,'Mov 2023 hasta ahora '!$C$2:$D$314,2,FALSE),"NO")</f>
        <v>NO</v>
      </c>
      <c r="K745">
        <v>3</v>
      </c>
      <c r="L745" t="s">
        <v>836</v>
      </c>
      <c r="M745">
        <v>10</v>
      </c>
    </row>
    <row r="746" spans="1:18" hidden="1">
      <c r="A746" t="s">
        <v>1510</v>
      </c>
      <c r="B746" t="s">
        <v>1511</v>
      </c>
      <c r="I746" s="3" t="str">
        <f>+IFERROR(VLOOKUP(C746,'Mov 2023 hasta ahora '!$C$2:$D$314,2,FALSE),"NO")</f>
        <v>NO</v>
      </c>
      <c r="K746">
        <v>4</v>
      </c>
      <c r="L746" t="s">
        <v>836</v>
      </c>
      <c r="M746">
        <v>14</v>
      </c>
    </row>
    <row r="747" spans="1:18" hidden="1">
      <c r="A747" t="s">
        <v>1512</v>
      </c>
      <c r="B747" t="s">
        <v>1513</v>
      </c>
      <c r="I747" s="3" t="str">
        <f>+IFERROR(VLOOKUP(C747,'Mov 2023 hasta ahora '!$C$2:$D$314,2,FALSE),"NO")</f>
        <v>NO</v>
      </c>
      <c r="K747">
        <v>5</v>
      </c>
      <c r="L747" t="s">
        <v>836</v>
      </c>
      <c r="M747">
        <v>18</v>
      </c>
    </row>
    <row r="748" spans="1:18" hidden="1">
      <c r="A748" s="23" t="s">
        <v>1514</v>
      </c>
      <c r="B748" s="23" t="s">
        <v>1515</v>
      </c>
      <c r="C748" s="23">
        <v>2753</v>
      </c>
      <c r="I748" s="3" t="str">
        <f>+IFERROR(VLOOKUP(C748,'Mov 2023 hasta ahora '!$C$2:$D$314,2,FALSE),"NO")</f>
        <v>NO</v>
      </c>
      <c r="K748">
        <v>6</v>
      </c>
      <c r="L748" t="s">
        <v>836</v>
      </c>
      <c r="M748">
        <v>24</v>
      </c>
      <c r="O748" s="29" t="s">
        <v>8679</v>
      </c>
      <c r="P748" s="25" t="s">
        <v>8677</v>
      </c>
      <c r="Q748" s="25">
        <v>2450</v>
      </c>
      <c r="R748" t="s">
        <v>436</v>
      </c>
    </row>
    <row r="749" spans="1:18" hidden="1">
      <c r="A749" t="s">
        <v>1516</v>
      </c>
      <c r="B749" t="s">
        <v>1517</v>
      </c>
      <c r="I749" s="3" t="str">
        <f>+IFERROR(VLOOKUP(C749,'Mov 2023 hasta ahora '!$C$2:$D$314,2,FALSE),"NO")</f>
        <v>NO</v>
      </c>
      <c r="K749">
        <v>3</v>
      </c>
      <c r="L749" t="s">
        <v>836</v>
      </c>
      <c r="M749">
        <v>10</v>
      </c>
    </row>
    <row r="750" spans="1:18" hidden="1">
      <c r="A750" t="s">
        <v>1518</v>
      </c>
      <c r="B750" t="s">
        <v>1519</v>
      </c>
      <c r="I750" s="3" t="str">
        <f>+IFERROR(VLOOKUP(C750,'Mov 2023 hasta ahora '!$C$2:$D$314,2,FALSE),"NO")</f>
        <v>NO</v>
      </c>
      <c r="K750">
        <v>4</v>
      </c>
      <c r="L750" t="s">
        <v>836</v>
      </c>
      <c r="M750">
        <v>14</v>
      </c>
    </row>
    <row r="751" spans="1:18" hidden="1">
      <c r="A751" t="s">
        <v>1520</v>
      </c>
      <c r="B751" t="s">
        <v>1521</v>
      </c>
      <c r="I751" s="3" t="str">
        <f>+IFERROR(VLOOKUP(C751,'Mov 2023 hasta ahora '!$C$2:$D$314,2,FALSE),"NO")</f>
        <v>NO</v>
      </c>
      <c r="K751">
        <v>5</v>
      </c>
      <c r="L751" t="s">
        <v>836</v>
      </c>
      <c r="M751">
        <v>18</v>
      </c>
    </row>
    <row r="752" spans="1:18" hidden="1">
      <c r="A752" s="23" t="s">
        <v>1522</v>
      </c>
      <c r="B752" s="23" t="s">
        <v>1523</v>
      </c>
      <c r="C752" s="23">
        <v>2752</v>
      </c>
      <c r="I752" s="3" t="str">
        <f>+IFERROR(VLOOKUP(C752,'Mov 2023 hasta ahora '!$C$2:$D$314,2,FALSE),"NO")</f>
        <v>NO</v>
      </c>
      <c r="K752">
        <v>6</v>
      </c>
      <c r="L752" t="s">
        <v>836</v>
      </c>
      <c r="M752">
        <v>24</v>
      </c>
      <c r="O752" s="29" t="s">
        <v>8679</v>
      </c>
      <c r="P752" s="25" t="s">
        <v>8677</v>
      </c>
      <c r="Q752" s="25">
        <v>2450</v>
      </c>
      <c r="R752" t="s">
        <v>436</v>
      </c>
    </row>
    <row r="753" spans="1:18" hidden="1">
      <c r="A753" t="s">
        <v>1524</v>
      </c>
      <c r="B753" t="s">
        <v>1525</v>
      </c>
      <c r="I753" s="3" t="str">
        <f>+IFERROR(VLOOKUP(C753,'Mov 2023 hasta ahora '!$C$2:$D$314,2,FALSE),"NO")</f>
        <v>NO</v>
      </c>
      <c r="K753">
        <v>3</v>
      </c>
      <c r="L753" t="s">
        <v>836</v>
      </c>
      <c r="M753">
        <v>10</v>
      </c>
    </row>
    <row r="754" spans="1:18" hidden="1">
      <c r="A754" t="s">
        <v>1526</v>
      </c>
      <c r="B754" t="s">
        <v>1527</v>
      </c>
      <c r="I754" s="3" t="str">
        <f>+IFERROR(VLOOKUP(C754,'Mov 2023 hasta ahora '!$C$2:$D$314,2,FALSE),"NO")</f>
        <v>NO</v>
      </c>
      <c r="K754">
        <v>4</v>
      </c>
      <c r="L754" t="s">
        <v>836</v>
      </c>
      <c r="M754">
        <v>14</v>
      </c>
    </row>
    <row r="755" spans="1:18" hidden="1">
      <c r="A755" t="s">
        <v>1528</v>
      </c>
      <c r="B755" t="s">
        <v>1529</v>
      </c>
      <c r="I755" s="3" t="str">
        <f>+IFERROR(VLOOKUP(C755,'Mov 2023 hasta ahora '!$C$2:$D$314,2,FALSE),"NO")</f>
        <v>NO</v>
      </c>
      <c r="K755">
        <v>5</v>
      </c>
      <c r="L755" t="s">
        <v>836</v>
      </c>
      <c r="M755">
        <v>18</v>
      </c>
    </row>
    <row r="756" spans="1:18" hidden="1">
      <c r="A756" s="23" t="s">
        <v>1530</v>
      </c>
      <c r="B756" s="23" t="s">
        <v>1531</v>
      </c>
      <c r="C756" s="23">
        <v>2823</v>
      </c>
      <c r="I756" s="3" t="str">
        <f>+IFERROR(VLOOKUP(C756,'Mov 2023 hasta ahora '!$C$2:$D$314,2,FALSE),"NO")</f>
        <v>NO</v>
      </c>
      <c r="K756">
        <v>6</v>
      </c>
      <c r="L756" t="s">
        <v>836</v>
      </c>
      <c r="M756">
        <v>24</v>
      </c>
      <c r="O756" s="29" t="s">
        <v>8679</v>
      </c>
      <c r="P756" s="25" t="s">
        <v>8677</v>
      </c>
      <c r="Q756" s="25">
        <v>2450</v>
      </c>
      <c r="R756" t="s">
        <v>436</v>
      </c>
    </row>
    <row r="757" spans="1:18" hidden="1">
      <c r="A757" t="s">
        <v>1532</v>
      </c>
      <c r="B757" t="s">
        <v>1533</v>
      </c>
      <c r="I757" s="3" t="str">
        <f>+IFERROR(VLOOKUP(C757,'Mov 2023 hasta ahora '!$C$2:$D$314,2,FALSE),"NO")</f>
        <v>NO</v>
      </c>
      <c r="K757">
        <v>3</v>
      </c>
      <c r="L757" t="s">
        <v>836</v>
      </c>
      <c r="M757">
        <v>10</v>
      </c>
    </row>
    <row r="758" spans="1:18" hidden="1">
      <c r="A758" t="s">
        <v>1534</v>
      </c>
      <c r="B758" t="s">
        <v>1535</v>
      </c>
      <c r="I758" s="3" t="str">
        <f>+IFERROR(VLOOKUP(C758,'Mov 2023 hasta ahora '!$C$2:$D$314,2,FALSE),"NO")</f>
        <v>NO</v>
      </c>
      <c r="K758">
        <v>4</v>
      </c>
      <c r="L758" t="s">
        <v>836</v>
      </c>
      <c r="M758">
        <v>14</v>
      </c>
    </row>
    <row r="759" spans="1:18" hidden="1">
      <c r="A759" t="s">
        <v>1536</v>
      </c>
      <c r="B759" t="s">
        <v>1537</v>
      </c>
      <c r="I759" s="3" t="str">
        <f>+IFERROR(VLOOKUP(C759,'Mov 2023 hasta ahora '!$C$2:$D$314,2,FALSE),"NO")</f>
        <v>NO</v>
      </c>
      <c r="K759">
        <v>5</v>
      </c>
      <c r="L759" t="s">
        <v>836</v>
      </c>
      <c r="M759">
        <v>18</v>
      </c>
    </row>
    <row r="760" spans="1:18" hidden="1">
      <c r="A760" s="23" t="s">
        <v>1538</v>
      </c>
      <c r="B760" s="23" t="s">
        <v>1539</v>
      </c>
      <c r="C760" s="23">
        <v>2867</v>
      </c>
      <c r="I760" s="3" t="str">
        <f>+IFERROR(VLOOKUP(C760,'Mov 2023 hasta ahora '!$C$2:$D$314,2,FALSE),"NO")</f>
        <v>NO</v>
      </c>
      <c r="K760">
        <v>6</v>
      </c>
      <c r="L760" t="s">
        <v>836</v>
      </c>
      <c r="M760">
        <v>24</v>
      </c>
      <c r="O760" s="29" t="s">
        <v>8679</v>
      </c>
      <c r="P760" s="25" t="s">
        <v>8677</v>
      </c>
      <c r="Q760" s="25">
        <v>2450</v>
      </c>
      <c r="R760" t="s">
        <v>436</v>
      </c>
    </row>
    <row r="761" spans="1:18" hidden="1">
      <c r="A761" t="s">
        <v>1540</v>
      </c>
      <c r="B761" t="s">
        <v>1541</v>
      </c>
      <c r="I761" s="3" t="str">
        <f>+IFERROR(VLOOKUP(C761,'Mov 2023 hasta ahora '!$C$2:$D$314,2,FALSE),"NO")</f>
        <v>NO</v>
      </c>
      <c r="K761">
        <v>3</v>
      </c>
      <c r="L761" t="s">
        <v>836</v>
      </c>
      <c r="M761">
        <v>10</v>
      </c>
    </row>
    <row r="762" spans="1:18" hidden="1">
      <c r="A762" t="s">
        <v>1542</v>
      </c>
      <c r="B762" t="s">
        <v>1543</v>
      </c>
      <c r="I762" s="3" t="str">
        <f>+IFERROR(VLOOKUP(C762,'Mov 2023 hasta ahora '!$C$2:$D$314,2,FALSE),"NO")</f>
        <v>NO</v>
      </c>
      <c r="K762">
        <v>4</v>
      </c>
      <c r="L762" t="s">
        <v>836</v>
      </c>
      <c r="M762">
        <v>14</v>
      </c>
    </row>
    <row r="763" spans="1:18" hidden="1">
      <c r="A763" t="s">
        <v>1544</v>
      </c>
      <c r="B763" t="s">
        <v>1545</v>
      </c>
      <c r="I763" s="3" t="str">
        <f>+IFERROR(VLOOKUP(C763,'Mov 2023 hasta ahora '!$C$2:$D$314,2,FALSE),"NO")</f>
        <v>NO</v>
      </c>
      <c r="K763">
        <v>5</v>
      </c>
      <c r="L763" t="s">
        <v>836</v>
      </c>
      <c r="M763">
        <v>18</v>
      </c>
    </row>
    <row r="764" spans="1:18" hidden="1">
      <c r="A764" s="23" t="s">
        <v>1546</v>
      </c>
      <c r="B764" s="23" t="s">
        <v>1547</v>
      </c>
      <c r="C764" s="23">
        <v>1418</v>
      </c>
      <c r="D764" t="s">
        <v>436</v>
      </c>
      <c r="I764" s="3">
        <f>+IFERROR(VLOOKUP(C764,'Mov 2023 hasta ahora '!$C$2:$D$314,2,FALSE),"NO")</f>
        <v>3</v>
      </c>
      <c r="K764">
        <v>6</v>
      </c>
      <c r="L764" t="s">
        <v>836</v>
      </c>
      <c r="M764">
        <v>24</v>
      </c>
      <c r="O764" s="29" t="s">
        <v>8679</v>
      </c>
      <c r="P764" s="25" t="s">
        <v>8677</v>
      </c>
      <c r="Q764" s="25">
        <v>2450</v>
      </c>
      <c r="R764" t="s">
        <v>436</v>
      </c>
    </row>
    <row r="765" spans="1:18" hidden="1">
      <c r="A765" t="s">
        <v>1548</v>
      </c>
      <c r="B765" t="s">
        <v>1549</v>
      </c>
      <c r="I765" s="3" t="str">
        <f>+IFERROR(VLOOKUP(C765,'Mov 2023 hasta ahora '!$C$2:$D$314,2,FALSE),"NO")</f>
        <v>NO</v>
      </c>
      <c r="K765">
        <v>3</v>
      </c>
      <c r="L765" t="s">
        <v>836</v>
      </c>
      <c r="M765">
        <v>10</v>
      </c>
    </row>
    <row r="766" spans="1:18" hidden="1">
      <c r="A766" t="s">
        <v>1550</v>
      </c>
      <c r="B766" t="s">
        <v>1551</v>
      </c>
      <c r="I766" s="3" t="str">
        <f>+IFERROR(VLOOKUP(C766,'Mov 2023 hasta ahora '!$C$2:$D$314,2,FALSE),"NO")</f>
        <v>NO</v>
      </c>
      <c r="K766">
        <v>4</v>
      </c>
      <c r="L766" t="s">
        <v>836</v>
      </c>
      <c r="M766">
        <v>14</v>
      </c>
    </row>
    <row r="767" spans="1:18" hidden="1">
      <c r="A767" t="s">
        <v>1552</v>
      </c>
      <c r="B767" t="s">
        <v>1553</v>
      </c>
      <c r="I767" s="3" t="str">
        <f>+IFERROR(VLOOKUP(C767,'Mov 2023 hasta ahora '!$C$2:$D$314,2,FALSE),"NO")</f>
        <v>NO</v>
      </c>
      <c r="K767">
        <v>5</v>
      </c>
      <c r="L767" t="s">
        <v>836</v>
      </c>
      <c r="M767">
        <v>18</v>
      </c>
    </row>
    <row r="768" spans="1:18" hidden="1">
      <c r="A768" s="23" t="s">
        <v>1554</v>
      </c>
      <c r="B768" s="23" t="s">
        <v>1555</v>
      </c>
      <c r="C768" s="23">
        <v>3453</v>
      </c>
      <c r="D768" t="s">
        <v>436</v>
      </c>
      <c r="I768" s="3">
        <f>+IFERROR(VLOOKUP(C768,'Mov 2023 hasta ahora '!$C$2:$D$314,2,FALSE),"NO")</f>
        <v>5</v>
      </c>
      <c r="K768">
        <v>6</v>
      </c>
      <c r="L768" t="s">
        <v>836</v>
      </c>
      <c r="M768">
        <v>22</v>
      </c>
      <c r="O768" s="29" t="s">
        <v>8679</v>
      </c>
      <c r="P768" s="25" t="s">
        <v>8677</v>
      </c>
      <c r="Q768" s="25">
        <v>2450</v>
      </c>
      <c r="R768" t="s">
        <v>436</v>
      </c>
    </row>
    <row r="769" spans="1:18" hidden="1">
      <c r="A769" t="s">
        <v>1556</v>
      </c>
      <c r="B769" t="s">
        <v>1557</v>
      </c>
      <c r="I769" s="3" t="str">
        <f>+IFERROR(VLOOKUP(C769,'Mov 2023 hasta ahora '!$C$2:$D$314,2,FALSE),"NO")</f>
        <v>NO</v>
      </c>
      <c r="K769">
        <v>3</v>
      </c>
      <c r="L769" t="s">
        <v>836</v>
      </c>
      <c r="M769">
        <v>10</v>
      </c>
    </row>
    <row r="770" spans="1:18" hidden="1">
      <c r="A770" t="s">
        <v>1558</v>
      </c>
      <c r="B770" t="s">
        <v>1559</v>
      </c>
      <c r="I770" s="3" t="str">
        <f>+IFERROR(VLOOKUP(C770,'Mov 2023 hasta ahora '!$C$2:$D$314,2,FALSE),"NO")</f>
        <v>NO</v>
      </c>
      <c r="K770">
        <v>4</v>
      </c>
      <c r="L770" t="s">
        <v>836</v>
      </c>
      <c r="M770">
        <v>14</v>
      </c>
    </row>
    <row r="771" spans="1:18" hidden="1">
      <c r="A771" t="s">
        <v>1560</v>
      </c>
      <c r="B771" t="s">
        <v>1561</v>
      </c>
      <c r="I771" s="3" t="str">
        <f>+IFERROR(VLOOKUP(C771,'Mov 2023 hasta ahora '!$C$2:$D$314,2,FALSE),"NO")</f>
        <v>NO</v>
      </c>
      <c r="K771">
        <v>5</v>
      </c>
      <c r="L771" t="s">
        <v>836</v>
      </c>
      <c r="M771">
        <v>18</v>
      </c>
    </row>
    <row r="772" spans="1:18" hidden="1">
      <c r="A772" s="23" t="s">
        <v>1562</v>
      </c>
      <c r="B772" s="23" t="s">
        <v>1563</v>
      </c>
      <c r="C772" s="23">
        <v>3443</v>
      </c>
      <c r="I772" s="3" t="str">
        <f>+IFERROR(VLOOKUP(C772,'Mov 2023 hasta ahora '!$C$2:$D$314,2,FALSE),"NO")</f>
        <v>NO</v>
      </c>
      <c r="K772">
        <v>6</v>
      </c>
      <c r="L772" t="s">
        <v>836</v>
      </c>
      <c r="M772">
        <v>22</v>
      </c>
      <c r="O772" s="29" t="s">
        <v>8679</v>
      </c>
      <c r="P772" s="25" t="s">
        <v>8677</v>
      </c>
      <c r="Q772" s="25">
        <v>2450</v>
      </c>
      <c r="R772" t="s">
        <v>436</v>
      </c>
    </row>
    <row r="773" spans="1:18" hidden="1">
      <c r="A773" t="s">
        <v>1564</v>
      </c>
      <c r="B773" t="s">
        <v>1565</v>
      </c>
      <c r="I773" s="3" t="str">
        <f>+IFERROR(VLOOKUP(C773,'Mov 2023 hasta ahora '!$C$2:$D$314,2,FALSE),"NO")</f>
        <v>NO</v>
      </c>
      <c r="K773">
        <v>3</v>
      </c>
      <c r="L773" t="s">
        <v>836</v>
      </c>
      <c r="M773">
        <v>10</v>
      </c>
    </row>
    <row r="774" spans="1:18" hidden="1">
      <c r="A774" t="s">
        <v>1566</v>
      </c>
      <c r="B774" t="s">
        <v>1567</v>
      </c>
      <c r="I774" s="3" t="str">
        <f>+IFERROR(VLOOKUP(C774,'Mov 2023 hasta ahora '!$C$2:$D$314,2,FALSE),"NO")</f>
        <v>NO</v>
      </c>
      <c r="K774">
        <v>4</v>
      </c>
      <c r="L774" t="s">
        <v>836</v>
      </c>
      <c r="M774">
        <v>14</v>
      </c>
    </row>
    <row r="775" spans="1:18" hidden="1">
      <c r="A775" t="s">
        <v>1568</v>
      </c>
      <c r="B775" t="s">
        <v>1569</v>
      </c>
      <c r="I775" s="3" t="str">
        <f>+IFERROR(VLOOKUP(C775,'Mov 2023 hasta ahora '!$C$2:$D$314,2,FALSE),"NO")</f>
        <v>NO</v>
      </c>
      <c r="K775">
        <v>5</v>
      </c>
      <c r="L775" t="s">
        <v>836</v>
      </c>
      <c r="M775">
        <v>18</v>
      </c>
    </row>
    <row r="776" spans="1:18" hidden="1">
      <c r="A776" s="23" t="s">
        <v>1570</v>
      </c>
      <c r="B776" s="23" t="s">
        <v>1571</v>
      </c>
      <c r="C776" s="23">
        <v>2876</v>
      </c>
      <c r="I776" s="3" t="str">
        <f>+IFERROR(VLOOKUP(C776,'Mov 2023 hasta ahora '!$C$2:$D$314,2,FALSE),"NO")</f>
        <v>NO</v>
      </c>
      <c r="K776">
        <v>6</v>
      </c>
      <c r="L776" t="s">
        <v>836</v>
      </c>
      <c r="M776">
        <v>24</v>
      </c>
      <c r="O776" s="29" t="s">
        <v>8679</v>
      </c>
      <c r="P776" s="25" t="s">
        <v>8677</v>
      </c>
      <c r="Q776" s="25">
        <v>2450</v>
      </c>
      <c r="R776" t="s">
        <v>436</v>
      </c>
    </row>
    <row r="777" spans="1:18" hidden="1">
      <c r="A777" t="s">
        <v>1572</v>
      </c>
      <c r="B777" t="s">
        <v>1573</v>
      </c>
      <c r="I777" s="3" t="str">
        <f>+IFERROR(VLOOKUP(C777,'Mov 2023 hasta ahora '!$C$2:$D$314,2,FALSE),"NO")</f>
        <v>NO</v>
      </c>
      <c r="K777">
        <v>3</v>
      </c>
      <c r="L777" t="s">
        <v>836</v>
      </c>
      <c r="M777">
        <v>10</v>
      </c>
    </row>
    <row r="778" spans="1:18" hidden="1">
      <c r="A778" t="s">
        <v>1574</v>
      </c>
      <c r="B778" t="s">
        <v>1575</v>
      </c>
      <c r="I778" s="3" t="str">
        <f>+IFERROR(VLOOKUP(C778,'Mov 2023 hasta ahora '!$C$2:$D$314,2,FALSE),"NO")</f>
        <v>NO</v>
      </c>
      <c r="K778">
        <v>4</v>
      </c>
      <c r="L778" t="s">
        <v>836</v>
      </c>
      <c r="M778">
        <v>14</v>
      </c>
    </row>
    <row r="779" spans="1:18" hidden="1">
      <c r="A779" t="s">
        <v>1576</v>
      </c>
      <c r="B779" t="s">
        <v>1577</v>
      </c>
      <c r="I779" s="3" t="str">
        <f>+IFERROR(VLOOKUP(C779,'Mov 2023 hasta ahora '!$C$2:$D$314,2,FALSE),"NO")</f>
        <v>NO</v>
      </c>
      <c r="K779">
        <v>5</v>
      </c>
      <c r="L779" t="s">
        <v>836</v>
      </c>
      <c r="M779">
        <v>18</v>
      </c>
    </row>
    <row r="780" spans="1:18" hidden="1">
      <c r="A780" s="23" t="s">
        <v>1578</v>
      </c>
      <c r="B780" s="23" t="s">
        <v>1579</v>
      </c>
      <c r="C780" s="23">
        <v>2878</v>
      </c>
      <c r="I780" s="3" t="str">
        <f>+IFERROR(VLOOKUP(C780,'Mov 2023 hasta ahora '!$C$2:$D$314,2,FALSE),"NO")</f>
        <v>NO</v>
      </c>
      <c r="K780">
        <v>6</v>
      </c>
      <c r="L780" t="s">
        <v>836</v>
      </c>
      <c r="M780">
        <v>24</v>
      </c>
      <c r="O780" s="29" t="s">
        <v>8679</v>
      </c>
      <c r="P780" s="25" t="s">
        <v>8677</v>
      </c>
      <c r="Q780" s="25">
        <v>2450</v>
      </c>
      <c r="R780" t="s">
        <v>436</v>
      </c>
    </row>
    <row r="781" spans="1:18" hidden="1">
      <c r="A781" s="23" t="s">
        <v>1580</v>
      </c>
      <c r="B781" s="23" t="s">
        <v>1581</v>
      </c>
      <c r="C781" s="23">
        <v>2903</v>
      </c>
      <c r="I781" s="3" t="str">
        <f>+IFERROR(VLOOKUP(C781,'Mov 2023 hasta ahora '!$C$2:$D$314,2,FALSE),"NO")</f>
        <v>NO</v>
      </c>
      <c r="K781">
        <v>6</v>
      </c>
      <c r="L781" t="s">
        <v>836</v>
      </c>
      <c r="M781">
        <v>24</v>
      </c>
      <c r="O781" s="29" t="s">
        <v>8844</v>
      </c>
      <c r="P781" s="25" t="s">
        <v>8699</v>
      </c>
      <c r="Q781" s="25">
        <v>1814</v>
      </c>
      <c r="R781" t="s">
        <v>436</v>
      </c>
    </row>
    <row r="782" spans="1:18" hidden="1">
      <c r="A782" s="23" t="s">
        <v>1582</v>
      </c>
      <c r="B782" s="23" t="s">
        <v>1583</v>
      </c>
      <c r="C782" s="23">
        <v>2904</v>
      </c>
      <c r="I782" s="3" t="str">
        <f>+IFERROR(VLOOKUP(C782,'Mov 2023 hasta ahora '!$C$2:$D$314,2,FALSE),"NO")</f>
        <v>NO</v>
      </c>
      <c r="K782">
        <v>6</v>
      </c>
      <c r="L782" t="s">
        <v>836</v>
      </c>
      <c r="M782">
        <v>24</v>
      </c>
      <c r="O782" s="29" t="s">
        <v>8844</v>
      </c>
      <c r="P782" s="25" t="s">
        <v>8699</v>
      </c>
      <c r="Q782" s="25">
        <v>1814</v>
      </c>
      <c r="R782" t="s">
        <v>436</v>
      </c>
    </row>
    <row r="783" spans="1:18" hidden="1">
      <c r="A783" s="23" t="s">
        <v>1584</v>
      </c>
      <c r="B783" s="23" t="s">
        <v>1585</v>
      </c>
      <c r="C783" s="23">
        <v>2905</v>
      </c>
      <c r="I783" s="3" t="str">
        <f>+IFERROR(VLOOKUP(C783,'Mov 2023 hasta ahora '!$C$2:$D$314,2,FALSE),"NO")</f>
        <v>NO</v>
      </c>
      <c r="K783">
        <v>6</v>
      </c>
      <c r="L783" t="s">
        <v>836</v>
      </c>
      <c r="M783">
        <v>24</v>
      </c>
      <c r="O783" s="29" t="s">
        <v>8844</v>
      </c>
      <c r="P783" s="25" t="s">
        <v>8699</v>
      </c>
      <c r="Q783" s="25">
        <v>1814</v>
      </c>
      <c r="R783" t="s">
        <v>436</v>
      </c>
    </row>
    <row r="784" spans="1:18" hidden="1">
      <c r="A784" s="23" t="s">
        <v>1586</v>
      </c>
      <c r="B784" s="23" t="s">
        <v>1587</v>
      </c>
      <c r="C784" s="23">
        <v>2906</v>
      </c>
      <c r="I784" s="3" t="str">
        <f>+IFERROR(VLOOKUP(C784,'Mov 2023 hasta ahora '!$C$2:$D$314,2,FALSE),"NO")</f>
        <v>NO</v>
      </c>
      <c r="K784">
        <v>6</v>
      </c>
      <c r="L784" t="s">
        <v>836</v>
      </c>
      <c r="M784">
        <v>24</v>
      </c>
      <c r="O784" s="29" t="s">
        <v>8698</v>
      </c>
      <c r="P784" s="25" t="s">
        <v>8692</v>
      </c>
      <c r="Q784" s="25">
        <v>3881</v>
      </c>
      <c r="R784" t="s">
        <v>436</v>
      </c>
    </row>
    <row r="785" spans="1:18" hidden="1">
      <c r="A785" s="23" t="s">
        <v>1588</v>
      </c>
      <c r="B785" s="23" t="s">
        <v>1589</v>
      </c>
      <c r="C785" s="23">
        <v>2880</v>
      </c>
      <c r="I785" s="3" t="str">
        <f>+IFERROR(VLOOKUP(C785,'Mov 2023 hasta ahora '!$C$2:$D$314,2,FALSE),"NO")</f>
        <v>NO</v>
      </c>
      <c r="K785">
        <v>6</v>
      </c>
      <c r="L785" t="s">
        <v>836</v>
      </c>
      <c r="M785">
        <v>24</v>
      </c>
      <c r="O785" s="29" t="s">
        <v>8678</v>
      </c>
      <c r="P785" s="25" t="s">
        <v>8700</v>
      </c>
      <c r="Q785" s="25">
        <v>1806</v>
      </c>
      <c r="R785" t="s">
        <v>436</v>
      </c>
    </row>
    <row r="786" spans="1:18" hidden="1">
      <c r="A786" s="23" t="s">
        <v>1590</v>
      </c>
      <c r="B786" s="23" t="s">
        <v>1591</v>
      </c>
      <c r="C786" s="23">
        <v>2907</v>
      </c>
      <c r="I786" s="3" t="str">
        <f>+IFERROR(VLOOKUP(C786,'Mov 2023 hasta ahora '!$C$2:$D$314,2,FALSE),"NO")</f>
        <v>NO</v>
      </c>
      <c r="K786">
        <v>6</v>
      </c>
      <c r="L786" t="s">
        <v>836</v>
      </c>
      <c r="M786">
        <v>24</v>
      </c>
      <c r="O786" s="29" t="s">
        <v>8844</v>
      </c>
      <c r="P786" s="25" t="s">
        <v>8699</v>
      </c>
      <c r="Q786" s="25">
        <v>1814</v>
      </c>
      <c r="R786" t="s">
        <v>436</v>
      </c>
    </row>
    <row r="787" spans="1:18" hidden="1">
      <c r="A787" s="23" t="s">
        <v>1592</v>
      </c>
      <c r="B787" s="23" t="s">
        <v>1593</v>
      </c>
      <c r="C787" s="23">
        <v>2908</v>
      </c>
      <c r="I787" s="3" t="str">
        <f>+IFERROR(VLOOKUP(C787,'Mov 2023 hasta ahora '!$C$2:$D$314,2,FALSE),"NO")</f>
        <v>NO</v>
      </c>
      <c r="K787">
        <v>6</v>
      </c>
      <c r="L787" t="s">
        <v>836</v>
      </c>
      <c r="M787">
        <v>24</v>
      </c>
      <c r="O787" s="29" t="s">
        <v>8844</v>
      </c>
      <c r="P787" s="25" t="s">
        <v>8699</v>
      </c>
      <c r="Q787" s="25">
        <v>1814</v>
      </c>
      <c r="R787" t="s">
        <v>436</v>
      </c>
    </row>
    <row r="788" spans="1:18" hidden="1">
      <c r="A788" t="s">
        <v>1594</v>
      </c>
      <c r="B788" t="s">
        <v>1595</v>
      </c>
      <c r="I788" s="3" t="str">
        <f>+IFERROR(VLOOKUP(C788,'Mov 2023 hasta ahora '!$C$2:$D$314,2,FALSE),"NO")</f>
        <v>NO</v>
      </c>
      <c r="K788">
        <v>4</v>
      </c>
      <c r="L788" t="s">
        <v>836</v>
      </c>
      <c r="M788">
        <v>14</v>
      </c>
    </row>
    <row r="789" spans="1:18" hidden="1">
      <c r="A789" t="s">
        <v>1596</v>
      </c>
      <c r="B789" t="s">
        <v>1597</v>
      </c>
      <c r="I789" s="3" t="str">
        <f>+IFERROR(VLOOKUP(C789,'Mov 2023 hasta ahora '!$C$2:$D$314,2,FALSE),"NO")</f>
        <v>NO</v>
      </c>
      <c r="K789">
        <v>5</v>
      </c>
      <c r="L789" t="s">
        <v>836</v>
      </c>
      <c r="M789">
        <v>18</v>
      </c>
    </row>
    <row r="790" spans="1:18" hidden="1">
      <c r="A790" s="23" t="s">
        <v>1598</v>
      </c>
      <c r="B790" s="23" t="s">
        <v>1599</v>
      </c>
      <c r="C790" s="23">
        <v>2881</v>
      </c>
      <c r="I790" s="3" t="str">
        <f>+IFERROR(VLOOKUP(C790,'Mov 2023 hasta ahora '!$C$2:$D$314,2,FALSE),"NO")</f>
        <v>NO</v>
      </c>
      <c r="K790">
        <v>6</v>
      </c>
      <c r="L790" t="s">
        <v>836</v>
      </c>
      <c r="M790">
        <v>24</v>
      </c>
      <c r="O790" s="29" t="s">
        <v>8698</v>
      </c>
      <c r="P790" s="25" t="s">
        <v>8692</v>
      </c>
      <c r="Q790" s="25">
        <v>3881</v>
      </c>
      <c r="R790" t="s">
        <v>436</v>
      </c>
    </row>
    <row r="791" spans="1:18" hidden="1">
      <c r="A791" t="s">
        <v>1600</v>
      </c>
      <c r="B791" t="s">
        <v>1601</v>
      </c>
      <c r="I791" s="3" t="str">
        <f>+IFERROR(VLOOKUP(C791,'Mov 2023 hasta ahora '!$C$2:$D$314,2,FALSE),"NO")</f>
        <v>NO</v>
      </c>
      <c r="K791">
        <v>3</v>
      </c>
      <c r="L791" t="s">
        <v>836</v>
      </c>
      <c r="M791">
        <v>10</v>
      </c>
    </row>
    <row r="792" spans="1:18" hidden="1">
      <c r="A792" t="s">
        <v>1602</v>
      </c>
      <c r="B792" t="s">
        <v>1603</v>
      </c>
      <c r="I792" s="3" t="str">
        <f>+IFERROR(VLOOKUP(C792,'Mov 2023 hasta ahora '!$C$2:$D$314,2,FALSE),"NO")</f>
        <v>NO</v>
      </c>
      <c r="K792">
        <v>4</v>
      </c>
      <c r="L792" t="s">
        <v>836</v>
      </c>
      <c r="M792">
        <v>14</v>
      </c>
    </row>
    <row r="793" spans="1:18" hidden="1">
      <c r="A793" t="s">
        <v>1604</v>
      </c>
      <c r="B793" t="s">
        <v>1605</v>
      </c>
      <c r="I793" s="3" t="str">
        <f>+IFERROR(VLOOKUP(C793,'Mov 2023 hasta ahora '!$C$2:$D$314,2,FALSE),"NO")</f>
        <v>NO</v>
      </c>
      <c r="K793">
        <v>5</v>
      </c>
      <c r="L793" t="s">
        <v>836</v>
      </c>
      <c r="M793">
        <v>18</v>
      </c>
    </row>
    <row r="794" spans="1:18" hidden="1">
      <c r="A794" s="23" t="s">
        <v>1606</v>
      </c>
      <c r="B794" s="23" t="s">
        <v>1607</v>
      </c>
      <c r="C794" s="23">
        <v>2975</v>
      </c>
      <c r="I794" s="3" t="str">
        <f>+IFERROR(VLOOKUP(C794,'Mov 2023 hasta ahora '!$C$2:$D$314,2,FALSE),"NO")</f>
        <v>NO</v>
      </c>
      <c r="K794">
        <v>6</v>
      </c>
      <c r="L794" t="s">
        <v>836</v>
      </c>
      <c r="M794">
        <v>24</v>
      </c>
      <c r="O794" s="29" t="s">
        <v>8679</v>
      </c>
      <c r="P794" s="25" t="s">
        <v>8677</v>
      </c>
      <c r="Q794" s="25">
        <v>2450</v>
      </c>
      <c r="R794" t="s">
        <v>436</v>
      </c>
    </row>
    <row r="795" spans="1:18" hidden="1">
      <c r="A795" t="s">
        <v>1608</v>
      </c>
      <c r="B795" t="s">
        <v>1609</v>
      </c>
      <c r="I795" s="3" t="str">
        <f>+IFERROR(VLOOKUP(C795,'Mov 2023 hasta ahora '!$C$2:$D$314,2,FALSE),"NO")</f>
        <v>NO</v>
      </c>
      <c r="K795">
        <v>3</v>
      </c>
      <c r="L795" t="s">
        <v>836</v>
      </c>
      <c r="M795">
        <v>10</v>
      </c>
    </row>
    <row r="796" spans="1:18" hidden="1">
      <c r="A796" t="s">
        <v>1610</v>
      </c>
      <c r="B796" t="s">
        <v>1611</v>
      </c>
      <c r="I796" s="3" t="str">
        <f>+IFERROR(VLOOKUP(C796,'Mov 2023 hasta ahora '!$C$2:$D$314,2,FALSE),"NO")</f>
        <v>NO</v>
      </c>
      <c r="K796">
        <v>4</v>
      </c>
      <c r="L796" t="s">
        <v>836</v>
      </c>
      <c r="M796">
        <v>14</v>
      </c>
    </row>
    <row r="797" spans="1:18" hidden="1">
      <c r="A797" t="s">
        <v>1612</v>
      </c>
      <c r="B797" t="s">
        <v>1613</v>
      </c>
      <c r="I797" s="3" t="str">
        <f>+IFERROR(VLOOKUP(C797,'Mov 2023 hasta ahora '!$C$2:$D$314,2,FALSE),"NO")</f>
        <v>NO</v>
      </c>
      <c r="K797">
        <v>5</v>
      </c>
      <c r="L797" t="s">
        <v>836</v>
      </c>
      <c r="M797">
        <v>18</v>
      </c>
    </row>
    <row r="798" spans="1:18" hidden="1">
      <c r="A798" s="23" t="s">
        <v>1614</v>
      </c>
      <c r="B798" s="23" t="s">
        <v>1615</v>
      </c>
      <c r="C798" s="23">
        <v>3011</v>
      </c>
      <c r="I798" s="3" t="str">
        <f>+IFERROR(VLOOKUP(C798,'Mov 2023 hasta ahora '!$C$2:$D$314,2,FALSE),"NO")</f>
        <v>NO</v>
      </c>
      <c r="K798">
        <v>6</v>
      </c>
      <c r="L798" t="s">
        <v>836</v>
      </c>
      <c r="M798">
        <v>24</v>
      </c>
      <c r="O798" s="29" t="s">
        <v>8679</v>
      </c>
      <c r="P798" s="25" t="s">
        <v>8677</v>
      </c>
      <c r="Q798" s="25">
        <v>2450</v>
      </c>
      <c r="R798" t="s">
        <v>436</v>
      </c>
    </row>
    <row r="799" spans="1:18" hidden="1">
      <c r="A799" t="s">
        <v>1616</v>
      </c>
      <c r="B799" t="s">
        <v>1617</v>
      </c>
      <c r="I799" s="3" t="str">
        <f>+IFERROR(VLOOKUP(C799,'Mov 2023 hasta ahora '!$C$2:$D$314,2,FALSE),"NO")</f>
        <v>NO</v>
      </c>
      <c r="K799">
        <v>3</v>
      </c>
      <c r="L799" t="s">
        <v>836</v>
      </c>
      <c r="M799">
        <v>10</v>
      </c>
    </row>
    <row r="800" spans="1:18" hidden="1">
      <c r="A800" t="s">
        <v>1618</v>
      </c>
      <c r="B800" t="s">
        <v>1619</v>
      </c>
      <c r="I800" s="3" t="str">
        <f>+IFERROR(VLOOKUP(C800,'Mov 2023 hasta ahora '!$C$2:$D$314,2,FALSE),"NO")</f>
        <v>NO</v>
      </c>
      <c r="K800">
        <v>4</v>
      </c>
      <c r="L800" t="s">
        <v>836</v>
      </c>
      <c r="M800">
        <v>14</v>
      </c>
    </row>
    <row r="801" spans="1:18" hidden="1">
      <c r="A801" t="s">
        <v>1620</v>
      </c>
      <c r="B801" t="s">
        <v>1621</v>
      </c>
      <c r="I801" s="3" t="str">
        <f>+IFERROR(VLOOKUP(C801,'Mov 2023 hasta ahora '!$C$2:$D$314,2,FALSE),"NO")</f>
        <v>NO</v>
      </c>
      <c r="K801">
        <v>5</v>
      </c>
      <c r="L801" t="s">
        <v>836</v>
      </c>
      <c r="M801">
        <v>18</v>
      </c>
    </row>
    <row r="802" spans="1:18" hidden="1">
      <c r="A802" s="23" t="s">
        <v>1622</v>
      </c>
      <c r="B802" s="23" t="s">
        <v>1623</v>
      </c>
      <c r="C802" s="23">
        <v>3329</v>
      </c>
      <c r="I802" s="3" t="str">
        <f>+IFERROR(VLOOKUP(C802,'Mov 2023 hasta ahora '!$C$2:$D$314,2,FALSE),"NO")</f>
        <v>NO</v>
      </c>
      <c r="K802">
        <v>6</v>
      </c>
      <c r="L802" t="s">
        <v>836</v>
      </c>
      <c r="M802">
        <v>24</v>
      </c>
      <c r="O802" s="29" t="s">
        <v>8679</v>
      </c>
      <c r="P802" s="25" t="s">
        <v>8677</v>
      </c>
      <c r="Q802" s="25">
        <v>2450</v>
      </c>
      <c r="R802" t="s">
        <v>436</v>
      </c>
    </row>
    <row r="803" spans="1:18" hidden="1">
      <c r="A803" s="23" t="s">
        <v>1624</v>
      </c>
      <c r="B803" s="23" t="s">
        <v>1625</v>
      </c>
      <c r="C803" s="23">
        <v>3330</v>
      </c>
      <c r="I803" s="3" t="str">
        <f>+IFERROR(VLOOKUP(C803,'Mov 2023 hasta ahora '!$C$2:$D$314,2,FALSE),"NO")</f>
        <v>NO</v>
      </c>
      <c r="K803">
        <v>6</v>
      </c>
      <c r="L803" t="s">
        <v>836</v>
      </c>
      <c r="M803">
        <v>24</v>
      </c>
      <c r="O803" s="29" t="s">
        <v>8678</v>
      </c>
      <c r="P803" s="25" t="s">
        <v>8700</v>
      </c>
      <c r="Q803" s="25">
        <v>1806</v>
      </c>
      <c r="R803" t="s">
        <v>436</v>
      </c>
    </row>
    <row r="804" spans="1:18" hidden="1">
      <c r="A804" t="s">
        <v>1626</v>
      </c>
      <c r="B804" t="s">
        <v>1627</v>
      </c>
      <c r="I804" s="3" t="str">
        <f>+IFERROR(VLOOKUP(C804,'Mov 2023 hasta ahora '!$C$2:$D$314,2,FALSE),"NO")</f>
        <v>NO</v>
      </c>
      <c r="K804">
        <v>4</v>
      </c>
      <c r="L804" t="s">
        <v>836</v>
      </c>
      <c r="M804">
        <v>14</v>
      </c>
    </row>
    <row r="805" spans="1:18" hidden="1">
      <c r="A805" t="s">
        <v>1628</v>
      </c>
      <c r="B805" t="s">
        <v>1629</v>
      </c>
      <c r="I805" s="3" t="str">
        <f>+IFERROR(VLOOKUP(C805,'Mov 2023 hasta ahora '!$C$2:$D$314,2,FALSE),"NO")</f>
        <v>NO</v>
      </c>
      <c r="K805">
        <v>5</v>
      </c>
      <c r="L805" t="s">
        <v>836</v>
      </c>
      <c r="M805">
        <v>18</v>
      </c>
    </row>
    <row r="806" spans="1:18" hidden="1">
      <c r="A806" s="23" t="s">
        <v>1630</v>
      </c>
      <c r="B806" s="23" t="s">
        <v>1631</v>
      </c>
      <c r="C806" s="23">
        <v>3331</v>
      </c>
      <c r="I806" s="3" t="str">
        <f>+IFERROR(VLOOKUP(C806,'Mov 2023 hasta ahora '!$C$2:$D$314,2,FALSE),"NO")</f>
        <v>NO</v>
      </c>
      <c r="K806">
        <v>6</v>
      </c>
      <c r="L806" t="s">
        <v>836</v>
      </c>
      <c r="M806">
        <v>24</v>
      </c>
      <c r="O806" s="29" t="s">
        <v>8698</v>
      </c>
      <c r="P806" s="25" t="s">
        <v>8692</v>
      </c>
      <c r="Q806" s="25">
        <v>3881</v>
      </c>
      <c r="R806" t="s">
        <v>436</v>
      </c>
    </row>
    <row r="807" spans="1:18" hidden="1">
      <c r="A807" t="s">
        <v>1632</v>
      </c>
      <c r="B807" t="s">
        <v>1633</v>
      </c>
      <c r="I807" s="3" t="str">
        <f>+IFERROR(VLOOKUP(C807,'Mov 2023 hasta ahora '!$C$2:$D$314,2,FALSE),"NO")</f>
        <v>NO</v>
      </c>
      <c r="K807">
        <v>3</v>
      </c>
      <c r="L807" t="s">
        <v>836</v>
      </c>
      <c r="M807">
        <v>10</v>
      </c>
    </row>
    <row r="808" spans="1:18" hidden="1">
      <c r="A808" t="s">
        <v>1634</v>
      </c>
      <c r="B808" t="s">
        <v>1635</v>
      </c>
      <c r="I808" s="3" t="str">
        <f>+IFERROR(VLOOKUP(C808,'Mov 2023 hasta ahora '!$C$2:$D$314,2,FALSE),"NO")</f>
        <v>NO</v>
      </c>
      <c r="K808">
        <v>4</v>
      </c>
      <c r="L808" t="s">
        <v>836</v>
      </c>
      <c r="M808">
        <v>14</v>
      </c>
    </row>
    <row r="809" spans="1:18" hidden="1">
      <c r="A809" t="s">
        <v>1636</v>
      </c>
      <c r="B809" t="s">
        <v>1637</v>
      </c>
      <c r="I809" s="3" t="str">
        <f>+IFERROR(VLOOKUP(C809,'Mov 2023 hasta ahora '!$C$2:$D$314,2,FALSE),"NO")</f>
        <v>NO</v>
      </c>
      <c r="K809">
        <v>5</v>
      </c>
      <c r="L809" t="s">
        <v>836</v>
      </c>
      <c r="M809">
        <v>18</v>
      </c>
    </row>
    <row r="810" spans="1:18" hidden="1">
      <c r="A810" s="23" t="s">
        <v>1638</v>
      </c>
      <c r="B810" s="23" t="s">
        <v>1639</v>
      </c>
      <c r="C810" s="23">
        <v>3084</v>
      </c>
      <c r="I810" s="3" t="str">
        <f>+IFERROR(VLOOKUP(C810,'Mov 2023 hasta ahora '!$C$2:$D$314,2,FALSE),"NO")</f>
        <v>NO</v>
      </c>
      <c r="K810">
        <v>6</v>
      </c>
      <c r="L810" t="s">
        <v>836</v>
      </c>
      <c r="M810">
        <v>24</v>
      </c>
      <c r="O810" s="29" t="s">
        <v>8679</v>
      </c>
      <c r="P810" s="25" t="s">
        <v>8677</v>
      </c>
      <c r="Q810" s="25">
        <v>2450</v>
      </c>
      <c r="R810" t="s">
        <v>436</v>
      </c>
    </row>
    <row r="811" spans="1:18" hidden="1">
      <c r="A811" t="s">
        <v>1640</v>
      </c>
      <c r="B811" t="s">
        <v>1641</v>
      </c>
      <c r="I811" s="3" t="str">
        <f>+IFERROR(VLOOKUP(C811,'Mov 2023 hasta ahora '!$C$2:$D$314,2,FALSE),"NO")</f>
        <v>NO</v>
      </c>
      <c r="K811">
        <v>3</v>
      </c>
      <c r="L811" t="s">
        <v>836</v>
      </c>
      <c r="M811">
        <v>10</v>
      </c>
    </row>
    <row r="812" spans="1:18" hidden="1">
      <c r="A812" t="s">
        <v>1642</v>
      </c>
      <c r="B812" t="s">
        <v>1643</v>
      </c>
      <c r="I812" s="3" t="str">
        <f>+IFERROR(VLOOKUP(C812,'Mov 2023 hasta ahora '!$C$2:$D$314,2,FALSE),"NO")</f>
        <v>NO</v>
      </c>
      <c r="K812">
        <v>4</v>
      </c>
      <c r="L812" t="s">
        <v>836</v>
      </c>
      <c r="M812">
        <v>14</v>
      </c>
    </row>
    <row r="813" spans="1:18" hidden="1">
      <c r="A813" t="s">
        <v>1644</v>
      </c>
      <c r="B813" t="s">
        <v>1645</v>
      </c>
      <c r="I813" s="3" t="str">
        <f>+IFERROR(VLOOKUP(C813,'Mov 2023 hasta ahora '!$C$2:$D$314,2,FALSE),"NO")</f>
        <v>NO</v>
      </c>
      <c r="K813">
        <v>5</v>
      </c>
      <c r="L813" t="s">
        <v>836</v>
      </c>
      <c r="M813">
        <v>18</v>
      </c>
    </row>
    <row r="814" spans="1:18" hidden="1">
      <c r="A814" s="23" t="s">
        <v>1646</v>
      </c>
      <c r="B814" s="23" t="s">
        <v>1647</v>
      </c>
      <c r="C814" s="23">
        <v>3085</v>
      </c>
      <c r="I814" s="3" t="str">
        <f>+IFERROR(VLOOKUP(C814,'Mov 2023 hasta ahora '!$C$2:$D$314,2,FALSE),"NO")</f>
        <v>NO</v>
      </c>
      <c r="K814">
        <v>6</v>
      </c>
      <c r="L814" t="s">
        <v>836</v>
      </c>
      <c r="M814">
        <v>24</v>
      </c>
      <c r="O814" s="29" t="s">
        <v>8679</v>
      </c>
      <c r="P814" s="25" t="s">
        <v>8677</v>
      </c>
      <c r="Q814" s="25">
        <v>2450</v>
      </c>
      <c r="R814" t="s">
        <v>436</v>
      </c>
    </row>
    <row r="815" spans="1:18" hidden="1">
      <c r="A815" t="s">
        <v>1648</v>
      </c>
      <c r="B815" t="s">
        <v>1649</v>
      </c>
      <c r="I815" s="3" t="str">
        <f>+IFERROR(VLOOKUP(C815,'Mov 2023 hasta ahora '!$C$2:$D$314,2,FALSE),"NO")</f>
        <v>NO</v>
      </c>
      <c r="K815">
        <v>3</v>
      </c>
      <c r="L815" t="s">
        <v>836</v>
      </c>
      <c r="M815">
        <v>10</v>
      </c>
    </row>
    <row r="816" spans="1:18" hidden="1">
      <c r="A816" t="s">
        <v>1650</v>
      </c>
      <c r="B816" t="s">
        <v>1651</v>
      </c>
      <c r="I816" s="3" t="str">
        <f>+IFERROR(VLOOKUP(C816,'Mov 2023 hasta ahora '!$C$2:$D$314,2,FALSE),"NO")</f>
        <v>NO</v>
      </c>
      <c r="K816">
        <v>4</v>
      </c>
      <c r="L816" t="s">
        <v>836</v>
      </c>
      <c r="M816">
        <v>14</v>
      </c>
    </row>
    <row r="817" spans="1:18" hidden="1">
      <c r="A817" t="s">
        <v>1652</v>
      </c>
      <c r="B817" t="s">
        <v>1653</v>
      </c>
      <c r="I817" s="3" t="str">
        <f>+IFERROR(VLOOKUP(C817,'Mov 2023 hasta ahora '!$C$2:$D$314,2,FALSE),"NO")</f>
        <v>NO</v>
      </c>
      <c r="K817">
        <v>5</v>
      </c>
      <c r="L817" t="s">
        <v>836</v>
      </c>
      <c r="M817">
        <v>18</v>
      </c>
    </row>
    <row r="818" spans="1:18" hidden="1">
      <c r="A818" s="23" t="s">
        <v>1654</v>
      </c>
      <c r="B818" s="23" t="s">
        <v>1655</v>
      </c>
      <c r="C818" s="23">
        <v>3086</v>
      </c>
      <c r="I818" s="3" t="str">
        <f>+IFERROR(VLOOKUP(C818,'Mov 2023 hasta ahora '!$C$2:$D$314,2,FALSE),"NO")</f>
        <v>NO</v>
      </c>
      <c r="K818">
        <v>6</v>
      </c>
      <c r="L818" t="s">
        <v>836</v>
      </c>
      <c r="M818">
        <v>24</v>
      </c>
      <c r="O818" s="29" t="s">
        <v>8679</v>
      </c>
      <c r="P818" s="25" t="s">
        <v>8677</v>
      </c>
      <c r="Q818" s="25">
        <v>2450</v>
      </c>
      <c r="R818" t="s">
        <v>436</v>
      </c>
    </row>
    <row r="819" spans="1:18" hidden="1">
      <c r="A819" t="s">
        <v>1656</v>
      </c>
      <c r="B819" t="s">
        <v>1657</v>
      </c>
      <c r="I819" s="3" t="str">
        <f>+IFERROR(VLOOKUP(C819,'Mov 2023 hasta ahora '!$C$2:$D$314,2,FALSE),"NO")</f>
        <v>NO</v>
      </c>
      <c r="K819">
        <v>3</v>
      </c>
      <c r="L819" t="s">
        <v>836</v>
      </c>
      <c r="M819">
        <v>10</v>
      </c>
    </row>
    <row r="820" spans="1:18" hidden="1">
      <c r="A820" t="s">
        <v>1658</v>
      </c>
      <c r="B820" t="s">
        <v>1659</v>
      </c>
      <c r="I820" s="3" t="str">
        <f>+IFERROR(VLOOKUP(C820,'Mov 2023 hasta ahora '!$C$2:$D$314,2,FALSE),"NO")</f>
        <v>NO</v>
      </c>
      <c r="K820">
        <v>4</v>
      </c>
      <c r="L820" t="s">
        <v>836</v>
      </c>
      <c r="M820">
        <v>14</v>
      </c>
    </row>
    <row r="821" spans="1:18" hidden="1">
      <c r="A821" t="s">
        <v>1660</v>
      </c>
      <c r="B821" t="s">
        <v>1661</v>
      </c>
      <c r="I821" s="3" t="str">
        <f>+IFERROR(VLOOKUP(C821,'Mov 2023 hasta ahora '!$C$2:$D$314,2,FALSE),"NO")</f>
        <v>NO</v>
      </c>
      <c r="K821">
        <v>5</v>
      </c>
      <c r="L821" t="s">
        <v>836</v>
      </c>
      <c r="M821">
        <v>18</v>
      </c>
    </row>
    <row r="822" spans="1:18" hidden="1">
      <c r="A822" s="23" t="s">
        <v>1662</v>
      </c>
      <c r="B822" s="23" t="s">
        <v>1663</v>
      </c>
      <c r="C822" s="23">
        <v>3087</v>
      </c>
      <c r="I822" s="3" t="str">
        <f>+IFERROR(VLOOKUP(C822,'Mov 2023 hasta ahora '!$C$2:$D$314,2,FALSE),"NO")</f>
        <v>NO</v>
      </c>
      <c r="K822">
        <v>6</v>
      </c>
      <c r="L822" t="s">
        <v>836</v>
      </c>
      <c r="M822">
        <v>24</v>
      </c>
      <c r="O822" s="29" t="s">
        <v>8679</v>
      </c>
      <c r="P822" s="25" t="s">
        <v>8677</v>
      </c>
      <c r="Q822" s="25">
        <v>2450</v>
      </c>
      <c r="R822" t="s">
        <v>436</v>
      </c>
    </row>
    <row r="823" spans="1:18" hidden="1">
      <c r="A823" t="s">
        <v>1664</v>
      </c>
      <c r="B823" t="s">
        <v>1665</v>
      </c>
      <c r="I823" s="3" t="str">
        <f>+IFERROR(VLOOKUP(C823,'Mov 2023 hasta ahora '!$C$2:$D$314,2,FALSE),"NO")</f>
        <v>NO</v>
      </c>
      <c r="K823">
        <v>3</v>
      </c>
      <c r="L823" t="s">
        <v>836</v>
      </c>
      <c r="M823">
        <v>10</v>
      </c>
    </row>
    <row r="824" spans="1:18" hidden="1">
      <c r="A824" t="s">
        <v>1666</v>
      </c>
      <c r="B824" t="s">
        <v>1667</v>
      </c>
      <c r="I824" s="3" t="str">
        <f>+IFERROR(VLOOKUP(C824,'Mov 2023 hasta ahora '!$C$2:$D$314,2,FALSE),"NO")</f>
        <v>NO</v>
      </c>
      <c r="K824">
        <v>4</v>
      </c>
      <c r="L824" t="s">
        <v>836</v>
      </c>
      <c r="M824">
        <v>14</v>
      </c>
    </row>
    <row r="825" spans="1:18" hidden="1">
      <c r="A825" t="s">
        <v>1668</v>
      </c>
      <c r="B825" t="s">
        <v>1669</v>
      </c>
      <c r="I825" s="3" t="str">
        <f>+IFERROR(VLOOKUP(C825,'Mov 2023 hasta ahora '!$C$2:$D$314,2,FALSE),"NO")</f>
        <v>NO</v>
      </c>
      <c r="K825">
        <v>5</v>
      </c>
      <c r="L825" t="s">
        <v>836</v>
      </c>
      <c r="M825">
        <v>18</v>
      </c>
    </row>
    <row r="826" spans="1:18" hidden="1">
      <c r="A826" s="23" t="s">
        <v>1670</v>
      </c>
      <c r="B826" s="23" t="s">
        <v>1671</v>
      </c>
      <c r="C826" s="23">
        <v>3109</v>
      </c>
      <c r="I826" s="3" t="str">
        <f>+IFERROR(VLOOKUP(C826,'Mov 2023 hasta ahora '!$C$2:$D$314,2,FALSE),"NO")</f>
        <v>NO</v>
      </c>
      <c r="K826">
        <v>6</v>
      </c>
      <c r="L826" t="s">
        <v>836</v>
      </c>
      <c r="M826">
        <v>24</v>
      </c>
      <c r="O826" s="29" t="s">
        <v>8679</v>
      </c>
      <c r="P826" s="25" t="s">
        <v>8677</v>
      </c>
      <c r="Q826" s="25">
        <v>2450</v>
      </c>
      <c r="R826" t="s">
        <v>436</v>
      </c>
    </row>
    <row r="827" spans="1:18" hidden="1">
      <c r="A827" t="s">
        <v>1672</v>
      </c>
      <c r="B827" t="s">
        <v>1673</v>
      </c>
      <c r="I827" s="3" t="str">
        <f>+IFERROR(VLOOKUP(C827,'Mov 2023 hasta ahora '!$C$2:$D$314,2,FALSE),"NO")</f>
        <v>NO</v>
      </c>
      <c r="K827">
        <v>3</v>
      </c>
      <c r="L827" t="s">
        <v>836</v>
      </c>
      <c r="M827">
        <v>10</v>
      </c>
    </row>
    <row r="828" spans="1:18" hidden="1">
      <c r="A828" t="s">
        <v>1674</v>
      </c>
      <c r="B828" t="s">
        <v>1675</v>
      </c>
      <c r="I828" s="3" t="str">
        <f>+IFERROR(VLOOKUP(C828,'Mov 2023 hasta ahora '!$C$2:$D$314,2,FALSE),"NO")</f>
        <v>NO</v>
      </c>
      <c r="K828">
        <v>4</v>
      </c>
      <c r="L828" t="s">
        <v>836</v>
      </c>
      <c r="M828">
        <v>14</v>
      </c>
    </row>
    <row r="829" spans="1:18" hidden="1">
      <c r="A829" t="s">
        <v>1676</v>
      </c>
      <c r="B829" t="s">
        <v>1677</v>
      </c>
      <c r="I829" s="3" t="str">
        <f>+IFERROR(VLOOKUP(C829,'Mov 2023 hasta ahora '!$C$2:$D$314,2,FALSE),"NO")</f>
        <v>NO</v>
      </c>
      <c r="K829">
        <v>5</v>
      </c>
      <c r="L829" t="s">
        <v>836</v>
      </c>
      <c r="M829">
        <v>18</v>
      </c>
    </row>
    <row r="830" spans="1:18" hidden="1">
      <c r="A830" s="23" t="s">
        <v>1678</v>
      </c>
      <c r="B830" s="23" t="s">
        <v>1679</v>
      </c>
      <c r="C830" s="23">
        <v>3361</v>
      </c>
      <c r="I830" s="3" t="str">
        <f>+IFERROR(VLOOKUP(C830,'Mov 2023 hasta ahora '!$C$2:$D$314,2,FALSE),"NO")</f>
        <v>NO</v>
      </c>
      <c r="K830">
        <v>6</v>
      </c>
      <c r="L830" t="s">
        <v>836</v>
      </c>
      <c r="M830">
        <v>24</v>
      </c>
      <c r="O830" s="29" t="s">
        <v>8679</v>
      </c>
      <c r="P830" s="25" t="s">
        <v>8677</v>
      </c>
      <c r="Q830" s="25">
        <v>2450</v>
      </c>
      <c r="R830" t="s">
        <v>436</v>
      </c>
    </row>
    <row r="831" spans="1:18" hidden="1">
      <c r="A831" t="s">
        <v>1680</v>
      </c>
      <c r="B831" t="s">
        <v>1681</v>
      </c>
      <c r="E831">
        <v>1</v>
      </c>
      <c r="I831" s="3" t="str">
        <f>+IFERROR(VLOOKUP(C831,'Mov 2023 hasta ahora '!$C$2:$D$314,2,FALSE),"NO")</f>
        <v>NO</v>
      </c>
      <c r="K831">
        <v>3</v>
      </c>
      <c r="L831" t="s">
        <v>836</v>
      </c>
      <c r="M831">
        <v>10</v>
      </c>
    </row>
    <row r="832" spans="1:18" hidden="1">
      <c r="A832" t="s">
        <v>1682</v>
      </c>
      <c r="B832" t="s">
        <v>1683</v>
      </c>
      <c r="I832" s="3" t="str">
        <f>+IFERROR(VLOOKUP(C832,'Mov 2023 hasta ahora '!$C$2:$D$314,2,FALSE),"NO")</f>
        <v>NO</v>
      </c>
      <c r="K832">
        <v>4</v>
      </c>
      <c r="L832" t="s">
        <v>836</v>
      </c>
      <c r="M832">
        <v>14</v>
      </c>
    </row>
    <row r="833" spans="1:18" hidden="1">
      <c r="A833" t="s">
        <v>1684</v>
      </c>
      <c r="B833" t="s">
        <v>1685</v>
      </c>
      <c r="I833" s="3" t="str">
        <f>+IFERROR(VLOOKUP(C833,'Mov 2023 hasta ahora '!$C$2:$D$314,2,FALSE),"NO")</f>
        <v>NO</v>
      </c>
      <c r="K833">
        <v>5</v>
      </c>
      <c r="L833" t="s">
        <v>836</v>
      </c>
      <c r="M833">
        <v>18</v>
      </c>
    </row>
    <row r="834" spans="1:18" hidden="1">
      <c r="A834" s="23" t="s">
        <v>1686</v>
      </c>
      <c r="B834" s="23" t="s">
        <v>1687</v>
      </c>
      <c r="C834" s="23">
        <v>3441</v>
      </c>
      <c r="I834" s="3" t="str">
        <f>+IFERROR(VLOOKUP(C834,'Mov 2023 hasta ahora '!$C$2:$D$314,2,FALSE),"NO")</f>
        <v>NO</v>
      </c>
      <c r="K834">
        <v>6</v>
      </c>
      <c r="L834" t="s">
        <v>836</v>
      </c>
      <c r="M834">
        <v>22</v>
      </c>
      <c r="O834" s="29" t="s">
        <v>8679</v>
      </c>
      <c r="P834" s="25" t="s">
        <v>8677</v>
      </c>
      <c r="Q834" s="25">
        <v>2450</v>
      </c>
      <c r="R834" t="s">
        <v>436</v>
      </c>
    </row>
    <row r="835" spans="1:18" hidden="1">
      <c r="A835" t="s">
        <v>1688</v>
      </c>
      <c r="B835" t="s">
        <v>1689</v>
      </c>
      <c r="I835" s="3" t="str">
        <f>+IFERROR(VLOOKUP(C835,'Mov 2023 hasta ahora '!$C$2:$D$314,2,FALSE),"NO")</f>
        <v>NO</v>
      </c>
      <c r="K835">
        <v>3</v>
      </c>
      <c r="L835" t="s">
        <v>836</v>
      </c>
      <c r="M835">
        <v>10</v>
      </c>
    </row>
    <row r="836" spans="1:18" hidden="1">
      <c r="A836" t="s">
        <v>1690</v>
      </c>
      <c r="B836" t="s">
        <v>1691</v>
      </c>
      <c r="I836" s="3" t="str">
        <f>+IFERROR(VLOOKUP(C836,'Mov 2023 hasta ahora '!$C$2:$D$314,2,FALSE),"NO")</f>
        <v>NO</v>
      </c>
      <c r="K836">
        <v>4</v>
      </c>
      <c r="L836" t="s">
        <v>836</v>
      </c>
      <c r="M836">
        <v>14</v>
      </c>
    </row>
    <row r="837" spans="1:18" hidden="1">
      <c r="A837" t="s">
        <v>1692</v>
      </c>
      <c r="B837" t="s">
        <v>1693</v>
      </c>
      <c r="I837" s="3" t="str">
        <f>+IFERROR(VLOOKUP(C837,'Mov 2023 hasta ahora '!$C$2:$D$314,2,FALSE),"NO")</f>
        <v>NO</v>
      </c>
      <c r="K837">
        <v>5</v>
      </c>
      <c r="L837" t="s">
        <v>836</v>
      </c>
      <c r="M837">
        <v>18</v>
      </c>
    </row>
    <row r="838" spans="1:18" hidden="1">
      <c r="A838" s="23" t="s">
        <v>1694</v>
      </c>
      <c r="B838" s="23" t="s">
        <v>1695</v>
      </c>
      <c r="C838" s="23">
        <v>3442</v>
      </c>
      <c r="I838" s="3" t="str">
        <f>+IFERROR(VLOOKUP(C838,'Mov 2023 hasta ahora '!$C$2:$D$314,2,FALSE),"NO")</f>
        <v>NO</v>
      </c>
      <c r="K838">
        <v>6</v>
      </c>
      <c r="L838" t="s">
        <v>836</v>
      </c>
      <c r="M838">
        <v>22</v>
      </c>
      <c r="O838" s="29" t="s">
        <v>8679</v>
      </c>
      <c r="P838" s="25" t="s">
        <v>8677</v>
      </c>
      <c r="Q838" s="25">
        <v>2450</v>
      </c>
      <c r="R838" t="s">
        <v>436</v>
      </c>
    </row>
    <row r="839" spans="1:18" hidden="1">
      <c r="A839" t="s">
        <v>1696</v>
      </c>
      <c r="B839" t="s">
        <v>1697</v>
      </c>
      <c r="I839" s="3" t="str">
        <f>+IFERROR(VLOOKUP(C839,'Mov 2023 hasta ahora '!$C$2:$D$314,2,FALSE),"NO")</f>
        <v>NO</v>
      </c>
      <c r="K839">
        <v>3</v>
      </c>
      <c r="L839" t="s">
        <v>836</v>
      </c>
      <c r="M839">
        <v>10</v>
      </c>
    </row>
    <row r="840" spans="1:18" hidden="1">
      <c r="A840" t="s">
        <v>1698</v>
      </c>
      <c r="B840" t="s">
        <v>1699</v>
      </c>
      <c r="I840" s="3" t="str">
        <f>+IFERROR(VLOOKUP(C840,'Mov 2023 hasta ahora '!$C$2:$D$314,2,FALSE),"NO")</f>
        <v>NO</v>
      </c>
      <c r="K840">
        <v>4</v>
      </c>
      <c r="L840" t="s">
        <v>836</v>
      </c>
      <c r="M840">
        <v>14</v>
      </c>
    </row>
    <row r="841" spans="1:18" hidden="1">
      <c r="A841" t="s">
        <v>1700</v>
      </c>
      <c r="B841" t="s">
        <v>1701</v>
      </c>
      <c r="I841" s="3" t="str">
        <f>+IFERROR(VLOOKUP(C841,'Mov 2023 hasta ahora '!$C$2:$D$314,2,FALSE),"NO")</f>
        <v>NO</v>
      </c>
      <c r="K841">
        <v>5</v>
      </c>
      <c r="L841" t="s">
        <v>836</v>
      </c>
      <c r="M841">
        <v>18</v>
      </c>
    </row>
    <row r="842" spans="1:18" hidden="1">
      <c r="A842" s="23" t="s">
        <v>1702</v>
      </c>
      <c r="B842" s="23" t="s">
        <v>1703</v>
      </c>
      <c r="C842" s="23">
        <v>3326</v>
      </c>
      <c r="I842" s="3" t="str">
        <f>+IFERROR(VLOOKUP(C842,'Mov 2023 hasta ahora '!$C$2:$D$314,2,FALSE),"NO")</f>
        <v>NO</v>
      </c>
      <c r="K842">
        <v>6</v>
      </c>
      <c r="L842" t="s">
        <v>836</v>
      </c>
      <c r="M842">
        <v>24</v>
      </c>
      <c r="O842" s="29" t="s">
        <v>8679</v>
      </c>
      <c r="P842" s="25" t="s">
        <v>8677</v>
      </c>
      <c r="Q842" s="25">
        <v>2450</v>
      </c>
      <c r="R842" t="s">
        <v>436</v>
      </c>
    </row>
    <row r="843" spans="1:18" hidden="1">
      <c r="A843" t="s">
        <v>1704</v>
      </c>
      <c r="B843" t="s">
        <v>1705</v>
      </c>
      <c r="I843" s="3" t="str">
        <f>+IFERROR(VLOOKUP(C843,'Mov 2023 hasta ahora '!$C$2:$D$314,2,FALSE),"NO")</f>
        <v>NO</v>
      </c>
      <c r="K843">
        <v>3</v>
      </c>
      <c r="L843" t="s">
        <v>836</v>
      </c>
      <c r="M843">
        <v>10</v>
      </c>
    </row>
    <row r="844" spans="1:18" hidden="1">
      <c r="A844" t="s">
        <v>1706</v>
      </c>
      <c r="B844" t="s">
        <v>1707</v>
      </c>
      <c r="I844" s="3" t="str">
        <f>+IFERROR(VLOOKUP(C844,'Mov 2023 hasta ahora '!$C$2:$D$314,2,FALSE),"NO")</f>
        <v>NO</v>
      </c>
      <c r="K844">
        <v>4</v>
      </c>
      <c r="L844" t="s">
        <v>836</v>
      </c>
      <c r="M844">
        <v>14</v>
      </c>
    </row>
    <row r="845" spans="1:18" hidden="1">
      <c r="A845" t="s">
        <v>1708</v>
      </c>
      <c r="B845" t="s">
        <v>1709</v>
      </c>
      <c r="I845" s="3" t="str">
        <f>+IFERROR(VLOOKUP(C845,'Mov 2023 hasta ahora '!$C$2:$D$314,2,FALSE),"NO")</f>
        <v>NO</v>
      </c>
      <c r="K845">
        <v>5</v>
      </c>
      <c r="L845" t="s">
        <v>836</v>
      </c>
      <c r="M845">
        <v>18</v>
      </c>
    </row>
    <row r="846" spans="1:18" hidden="1">
      <c r="A846" s="23" t="s">
        <v>1710</v>
      </c>
      <c r="B846" s="23" t="s">
        <v>1711</v>
      </c>
      <c r="C846" s="23">
        <v>3444</v>
      </c>
      <c r="I846" s="3" t="str">
        <f>+IFERROR(VLOOKUP(C846,'Mov 2023 hasta ahora '!$C$2:$D$314,2,FALSE),"NO")</f>
        <v>NO</v>
      </c>
      <c r="K846">
        <v>6</v>
      </c>
      <c r="L846" t="s">
        <v>836</v>
      </c>
      <c r="M846">
        <v>22</v>
      </c>
      <c r="O846" s="29" t="s">
        <v>8679</v>
      </c>
      <c r="P846" s="25" t="s">
        <v>8677</v>
      </c>
      <c r="Q846" s="25">
        <v>2450</v>
      </c>
      <c r="R846" t="s">
        <v>436</v>
      </c>
    </row>
    <row r="847" spans="1:18" hidden="1">
      <c r="A847" t="s">
        <v>1712</v>
      </c>
      <c r="B847" t="s">
        <v>1713</v>
      </c>
      <c r="I847" s="3" t="str">
        <f>+IFERROR(VLOOKUP(C847,'Mov 2023 hasta ahora '!$C$2:$D$314,2,FALSE),"NO")</f>
        <v>NO</v>
      </c>
      <c r="K847">
        <v>4</v>
      </c>
      <c r="L847" t="s">
        <v>836</v>
      </c>
      <c r="M847">
        <v>14</v>
      </c>
    </row>
    <row r="848" spans="1:18" hidden="1">
      <c r="A848" t="s">
        <v>1714</v>
      </c>
      <c r="B848" t="s">
        <v>1715</v>
      </c>
      <c r="I848" s="3" t="str">
        <f>+IFERROR(VLOOKUP(C848,'Mov 2023 hasta ahora '!$C$2:$D$314,2,FALSE),"NO")</f>
        <v>NO</v>
      </c>
      <c r="K848">
        <v>5</v>
      </c>
      <c r="L848" t="s">
        <v>836</v>
      </c>
      <c r="M848">
        <v>18</v>
      </c>
    </row>
    <row r="849" spans="1:18" hidden="1">
      <c r="A849" s="23" t="s">
        <v>1716</v>
      </c>
      <c r="B849" s="23" t="s">
        <v>1717</v>
      </c>
      <c r="C849" s="23">
        <v>3461</v>
      </c>
      <c r="I849" s="3" t="str">
        <f>+IFERROR(VLOOKUP(C849,'Mov 2023 hasta ahora '!$C$2:$D$314,2,FALSE),"NO")</f>
        <v>NO</v>
      </c>
      <c r="K849">
        <v>6</v>
      </c>
      <c r="L849" t="s">
        <v>836</v>
      </c>
      <c r="M849">
        <v>23</v>
      </c>
      <c r="O849" s="29" t="s">
        <v>8698</v>
      </c>
      <c r="P849" s="25" t="s">
        <v>8692</v>
      </c>
      <c r="Q849" s="25">
        <v>3881</v>
      </c>
      <c r="R849" t="s">
        <v>436</v>
      </c>
    </row>
    <row r="850" spans="1:18" hidden="1">
      <c r="A850" t="s">
        <v>1718</v>
      </c>
      <c r="B850" t="s">
        <v>1719</v>
      </c>
      <c r="I850" s="3" t="str">
        <f>+IFERROR(VLOOKUP(C850,'Mov 2023 hasta ahora '!$C$2:$D$314,2,FALSE),"NO")</f>
        <v>NO</v>
      </c>
      <c r="K850">
        <v>3</v>
      </c>
      <c r="L850" t="s">
        <v>836</v>
      </c>
      <c r="M850">
        <v>10</v>
      </c>
    </row>
    <row r="851" spans="1:18" hidden="1">
      <c r="A851" t="s">
        <v>1720</v>
      </c>
      <c r="B851" t="s">
        <v>1721</v>
      </c>
      <c r="I851" s="3" t="str">
        <f>+IFERROR(VLOOKUP(C851,'Mov 2023 hasta ahora '!$C$2:$D$314,2,FALSE),"NO")</f>
        <v>NO</v>
      </c>
      <c r="K851">
        <v>4</v>
      </c>
      <c r="L851" t="s">
        <v>836</v>
      </c>
      <c r="M851">
        <v>14</v>
      </c>
    </row>
    <row r="852" spans="1:18" hidden="1">
      <c r="A852" t="s">
        <v>1722</v>
      </c>
      <c r="B852" t="s">
        <v>1723</v>
      </c>
      <c r="I852" s="3" t="str">
        <f>+IFERROR(VLOOKUP(C852,'Mov 2023 hasta ahora '!$C$2:$D$314,2,FALSE),"NO")</f>
        <v>NO</v>
      </c>
      <c r="K852">
        <v>5</v>
      </c>
      <c r="L852" t="s">
        <v>836</v>
      </c>
      <c r="M852">
        <v>18</v>
      </c>
    </row>
    <row r="853" spans="1:18" hidden="1">
      <c r="A853" s="23" t="s">
        <v>1724</v>
      </c>
      <c r="B853" s="23" t="s">
        <v>1725</v>
      </c>
      <c r="C853" s="23">
        <v>3456</v>
      </c>
      <c r="I853" s="3">
        <f>+IFERROR(VLOOKUP(C853,'Mov 2023 hasta ahora '!$C$2:$D$314,2,FALSE),"NO")</f>
        <v>1</v>
      </c>
      <c r="K853">
        <v>6</v>
      </c>
      <c r="L853" t="s">
        <v>836</v>
      </c>
      <c r="M853">
        <v>22</v>
      </c>
      <c r="O853" s="29" t="s">
        <v>8679</v>
      </c>
      <c r="P853" s="25" t="s">
        <v>8677</v>
      </c>
      <c r="Q853" s="25">
        <v>2450</v>
      </c>
      <c r="R853" t="s">
        <v>436</v>
      </c>
    </row>
    <row r="854" spans="1:18" hidden="1">
      <c r="A854" t="s">
        <v>1726</v>
      </c>
      <c r="B854" t="s">
        <v>1727</v>
      </c>
      <c r="I854" s="3" t="str">
        <f>+IFERROR(VLOOKUP(C854,'Mov 2023 hasta ahora '!$C$2:$D$314,2,FALSE),"NO")</f>
        <v>NO</v>
      </c>
      <c r="K854">
        <v>3</v>
      </c>
      <c r="L854" t="s">
        <v>836</v>
      </c>
      <c r="M854">
        <v>10</v>
      </c>
    </row>
    <row r="855" spans="1:18" hidden="1">
      <c r="A855" t="s">
        <v>1728</v>
      </c>
      <c r="B855" t="s">
        <v>1729</v>
      </c>
      <c r="I855" s="3" t="str">
        <f>+IFERROR(VLOOKUP(C855,'Mov 2023 hasta ahora '!$C$2:$D$314,2,FALSE),"NO")</f>
        <v>NO</v>
      </c>
      <c r="K855">
        <v>4</v>
      </c>
      <c r="L855" t="s">
        <v>836</v>
      </c>
      <c r="M855">
        <v>14</v>
      </c>
    </row>
    <row r="856" spans="1:18" hidden="1">
      <c r="A856" t="s">
        <v>1730</v>
      </c>
      <c r="B856" t="s">
        <v>1731</v>
      </c>
      <c r="I856" s="3" t="str">
        <f>+IFERROR(VLOOKUP(C856,'Mov 2023 hasta ahora '!$C$2:$D$314,2,FALSE),"NO")</f>
        <v>NO</v>
      </c>
      <c r="K856">
        <v>5</v>
      </c>
      <c r="L856" t="s">
        <v>836</v>
      </c>
      <c r="M856">
        <v>18</v>
      </c>
    </row>
    <row r="857" spans="1:18" hidden="1">
      <c r="A857" s="23" t="s">
        <v>1732</v>
      </c>
      <c r="B857" s="23" t="s">
        <v>1733</v>
      </c>
      <c r="C857" s="23">
        <v>3463</v>
      </c>
      <c r="I857" s="3">
        <f>+IFERROR(VLOOKUP(C857,'Mov 2023 hasta ahora '!$C$2:$D$314,2,FALSE),"NO")</f>
        <v>1</v>
      </c>
      <c r="K857">
        <v>6</v>
      </c>
      <c r="L857" t="s">
        <v>836</v>
      </c>
      <c r="M857">
        <v>22</v>
      </c>
      <c r="O857" s="29" t="s">
        <v>8679</v>
      </c>
      <c r="P857" s="25" t="s">
        <v>8677</v>
      </c>
      <c r="Q857" s="25">
        <v>2450</v>
      </c>
      <c r="R857" t="s">
        <v>436</v>
      </c>
    </row>
    <row r="858" spans="1:18" hidden="1">
      <c r="A858" t="s">
        <v>1734</v>
      </c>
      <c r="B858" t="s">
        <v>1735</v>
      </c>
      <c r="I858" s="3" t="str">
        <f>+IFERROR(VLOOKUP(C858,'Mov 2023 hasta ahora '!$C$2:$D$314,2,FALSE),"NO")</f>
        <v>NO</v>
      </c>
      <c r="K858">
        <v>3</v>
      </c>
      <c r="L858" t="s">
        <v>836</v>
      </c>
      <c r="M858">
        <v>10</v>
      </c>
    </row>
    <row r="859" spans="1:18" hidden="1">
      <c r="A859" t="s">
        <v>1736</v>
      </c>
      <c r="B859" t="s">
        <v>1737</v>
      </c>
      <c r="I859" s="3" t="str">
        <f>+IFERROR(VLOOKUP(C859,'Mov 2023 hasta ahora '!$C$2:$D$314,2,FALSE),"NO")</f>
        <v>NO</v>
      </c>
      <c r="K859">
        <v>4</v>
      </c>
      <c r="L859" t="s">
        <v>836</v>
      </c>
      <c r="M859">
        <v>14</v>
      </c>
    </row>
    <row r="860" spans="1:18" hidden="1">
      <c r="A860" t="s">
        <v>1738</v>
      </c>
      <c r="B860" t="s">
        <v>1739</v>
      </c>
      <c r="I860" s="3" t="str">
        <f>+IFERROR(VLOOKUP(C860,'Mov 2023 hasta ahora '!$C$2:$D$314,2,FALSE),"NO")</f>
        <v>NO</v>
      </c>
      <c r="K860">
        <v>5</v>
      </c>
      <c r="L860" t="s">
        <v>836</v>
      </c>
      <c r="M860">
        <v>18</v>
      </c>
    </row>
    <row r="861" spans="1:18" hidden="1">
      <c r="A861" s="23" t="s">
        <v>1740</v>
      </c>
      <c r="B861" s="23" t="s">
        <v>1741</v>
      </c>
      <c r="C861" s="23">
        <v>3466</v>
      </c>
      <c r="I861" s="3" t="str">
        <f>+IFERROR(VLOOKUP(C861,'Mov 2023 hasta ahora '!$C$2:$D$314,2,FALSE),"NO")</f>
        <v>NO</v>
      </c>
      <c r="K861">
        <v>6</v>
      </c>
      <c r="L861" t="s">
        <v>836</v>
      </c>
      <c r="M861">
        <v>22</v>
      </c>
      <c r="O861" s="29" t="s">
        <v>8679</v>
      </c>
      <c r="P861" s="25" t="s">
        <v>8677</v>
      </c>
      <c r="Q861" s="25">
        <v>2450</v>
      </c>
      <c r="R861" t="s">
        <v>436</v>
      </c>
    </row>
    <row r="862" spans="1:18" hidden="1">
      <c r="A862" t="s">
        <v>1742</v>
      </c>
      <c r="B862" t="s">
        <v>1743</v>
      </c>
      <c r="I862" s="3" t="str">
        <f>+IFERROR(VLOOKUP(C862,'Mov 2023 hasta ahora '!$C$2:$D$314,2,FALSE),"NO")</f>
        <v>NO</v>
      </c>
      <c r="K862">
        <v>3</v>
      </c>
      <c r="L862" t="s">
        <v>836</v>
      </c>
      <c r="M862">
        <v>10</v>
      </c>
    </row>
    <row r="863" spans="1:18" hidden="1">
      <c r="A863" t="s">
        <v>1744</v>
      </c>
      <c r="B863" t="s">
        <v>1745</v>
      </c>
      <c r="I863" s="3" t="str">
        <f>+IFERROR(VLOOKUP(C863,'Mov 2023 hasta ahora '!$C$2:$D$314,2,FALSE),"NO")</f>
        <v>NO</v>
      </c>
      <c r="K863">
        <v>4</v>
      </c>
      <c r="L863" t="s">
        <v>836</v>
      </c>
      <c r="M863">
        <v>14</v>
      </c>
    </row>
    <row r="864" spans="1:18" hidden="1">
      <c r="A864" t="s">
        <v>1746</v>
      </c>
      <c r="B864" t="s">
        <v>1747</v>
      </c>
      <c r="I864" s="3" t="str">
        <f>+IFERROR(VLOOKUP(C864,'Mov 2023 hasta ahora '!$C$2:$D$314,2,FALSE),"NO")</f>
        <v>NO</v>
      </c>
      <c r="K864">
        <v>5</v>
      </c>
      <c r="L864" t="s">
        <v>836</v>
      </c>
      <c r="M864">
        <v>18</v>
      </c>
    </row>
    <row r="865" spans="1:18" hidden="1">
      <c r="A865" s="23" t="s">
        <v>1748</v>
      </c>
      <c r="B865" s="23" t="s">
        <v>1749</v>
      </c>
      <c r="C865" s="23">
        <v>3469</v>
      </c>
      <c r="I865" s="3" t="str">
        <f>+IFERROR(VLOOKUP(C865,'Mov 2023 hasta ahora '!$C$2:$D$314,2,FALSE),"NO")</f>
        <v>NO</v>
      </c>
      <c r="K865">
        <v>6</v>
      </c>
      <c r="L865" t="s">
        <v>836</v>
      </c>
      <c r="M865">
        <v>22</v>
      </c>
      <c r="O865" s="29" t="s">
        <v>8679</v>
      </c>
      <c r="P865" s="25" t="s">
        <v>8677</v>
      </c>
      <c r="Q865" s="25">
        <v>2450</v>
      </c>
      <c r="R865" t="s">
        <v>436</v>
      </c>
    </row>
    <row r="866" spans="1:18" hidden="1">
      <c r="A866" t="s">
        <v>1750</v>
      </c>
      <c r="B866" t="s">
        <v>1751</v>
      </c>
      <c r="I866" s="3" t="str">
        <f>+IFERROR(VLOOKUP(C866,'Mov 2023 hasta ahora '!$C$2:$D$314,2,FALSE),"NO")</f>
        <v>NO</v>
      </c>
      <c r="K866">
        <v>3</v>
      </c>
      <c r="L866" t="s">
        <v>836</v>
      </c>
      <c r="M866">
        <v>10</v>
      </c>
    </row>
    <row r="867" spans="1:18" hidden="1">
      <c r="A867" t="s">
        <v>1752</v>
      </c>
      <c r="B867" t="s">
        <v>1753</v>
      </c>
      <c r="I867" s="3" t="str">
        <f>+IFERROR(VLOOKUP(C867,'Mov 2023 hasta ahora '!$C$2:$D$314,2,FALSE),"NO")</f>
        <v>NO</v>
      </c>
      <c r="K867">
        <v>4</v>
      </c>
      <c r="L867" t="s">
        <v>836</v>
      </c>
      <c r="M867">
        <v>14</v>
      </c>
    </row>
    <row r="868" spans="1:18" hidden="1">
      <c r="A868" t="s">
        <v>1754</v>
      </c>
      <c r="B868" t="s">
        <v>1755</v>
      </c>
      <c r="I868" s="3" t="str">
        <f>+IFERROR(VLOOKUP(C868,'Mov 2023 hasta ahora '!$C$2:$D$314,2,FALSE),"NO")</f>
        <v>NO</v>
      </c>
      <c r="K868">
        <v>5</v>
      </c>
      <c r="L868" t="s">
        <v>836</v>
      </c>
      <c r="M868">
        <v>18</v>
      </c>
    </row>
    <row r="869" spans="1:18" hidden="1">
      <c r="A869" s="23" t="s">
        <v>1756</v>
      </c>
      <c r="B869" s="23" t="s">
        <v>1757</v>
      </c>
      <c r="C869" s="23">
        <v>3486</v>
      </c>
      <c r="I869" s="3" t="str">
        <f>+IFERROR(VLOOKUP(C869,'Mov 2023 hasta ahora '!$C$2:$D$314,2,FALSE),"NO")</f>
        <v>NO</v>
      </c>
      <c r="K869">
        <v>6</v>
      </c>
      <c r="L869" t="s">
        <v>836</v>
      </c>
      <c r="M869">
        <v>22</v>
      </c>
      <c r="O869" s="29" t="s">
        <v>8679</v>
      </c>
      <c r="P869" s="25" t="s">
        <v>8677</v>
      </c>
      <c r="Q869" s="25">
        <v>2450</v>
      </c>
      <c r="R869" t="s">
        <v>436</v>
      </c>
    </row>
    <row r="870" spans="1:18" hidden="1">
      <c r="A870" t="s">
        <v>1758</v>
      </c>
      <c r="B870" t="s">
        <v>1759</v>
      </c>
      <c r="I870" s="3" t="str">
        <f>+IFERROR(VLOOKUP(C870,'Mov 2023 hasta ahora '!$C$2:$D$314,2,FALSE),"NO")</f>
        <v>NO</v>
      </c>
      <c r="K870">
        <v>3</v>
      </c>
      <c r="L870" t="s">
        <v>836</v>
      </c>
      <c r="M870">
        <v>10</v>
      </c>
    </row>
    <row r="871" spans="1:18" hidden="1">
      <c r="A871" t="s">
        <v>1760</v>
      </c>
      <c r="B871" t="s">
        <v>1761</v>
      </c>
      <c r="I871" s="3" t="str">
        <f>+IFERROR(VLOOKUP(C871,'Mov 2023 hasta ahora '!$C$2:$D$314,2,FALSE),"NO")</f>
        <v>NO</v>
      </c>
      <c r="K871">
        <v>4</v>
      </c>
      <c r="L871" t="s">
        <v>836</v>
      </c>
      <c r="M871">
        <v>14</v>
      </c>
    </row>
    <row r="872" spans="1:18" hidden="1">
      <c r="A872" t="s">
        <v>1762</v>
      </c>
      <c r="B872" t="s">
        <v>1763</v>
      </c>
      <c r="I872" s="3" t="str">
        <f>+IFERROR(VLOOKUP(C872,'Mov 2023 hasta ahora '!$C$2:$D$314,2,FALSE),"NO")</f>
        <v>NO</v>
      </c>
      <c r="K872">
        <v>5</v>
      </c>
      <c r="L872" t="s">
        <v>836</v>
      </c>
      <c r="M872">
        <v>18</v>
      </c>
    </row>
    <row r="873" spans="1:18" hidden="1">
      <c r="A873" s="23" t="s">
        <v>1764</v>
      </c>
      <c r="B873" s="23" t="s">
        <v>1765</v>
      </c>
      <c r="C873" s="23">
        <v>3487</v>
      </c>
      <c r="I873" s="3" t="str">
        <f>+IFERROR(VLOOKUP(C873,'Mov 2023 hasta ahora '!$C$2:$D$314,2,FALSE),"NO")</f>
        <v>NO</v>
      </c>
      <c r="K873">
        <v>6</v>
      </c>
      <c r="L873" t="s">
        <v>836</v>
      </c>
      <c r="M873">
        <v>22</v>
      </c>
      <c r="O873" s="29" t="s">
        <v>8679</v>
      </c>
      <c r="P873" s="25" t="s">
        <v>8677</v>
      </c>
      <c r="Q873" s="25">
        <v>2450</v>
      </c>
      <c r="R873" t="s">
        <v>436</v>
      </c>
    </row>
    <row r="874" spans="1:18" hidden="1">
      <c r="A874" t="s">
        <v>1766</v>
      </c>
      <c r="B874" t="s">
        <v>1767</v>
      </c>
      <c r="I874" s="3" t="str">
        <f>+IFERROR(VLOOKUP(C874,'Mov 2023 hasta ahora '!$C$2:$D$314,2,FALSE),"NO")</f>
        <v>NO</v>
      </c>
      <c r="K874">
        <v>3</v>
      </c>
      <c r="L874" t="s">
        <v>836</v>
      </c>
      <c r="M874">
        <v>10</v>
      </c>
    </row>
    <row r="875" spans="1:18" hidden="1">
      <c r="A875" t="s">
        <v>1768</v>
      </c>
      <c r="B875" t="s">
        <v>1769</v>
      </c>
      <c r="I875" s="3" t="str">
        <f>+IFERROR(VLOOKUP(C875,'Mov 2023 hasta ahora '!$C$2:$D$314,2,FALSE),"NO")</f>
        <v>NO</v>
      </c>
      <c r="K875">
        <v>4</v>
      </c>
      <c r="L875" t="s">
        <v>836</v>
      </c>
      <c r="M875">
        <v>14</v>
      </c>
    </row>
    <row r="876" spans="1:18" hidden="1">
      <c r="A876" t="s">
        <v>1770</v>
      </c>
      <c r="B876" t="s">
        <v>1771</v>
      </c>
      <c r="I876" s="3" t="str">
        <f>+IFERROR(VLOOKUP(C876,'Mov 2023 hasta ahora '!$C$2:$D$314,2,FALSE),"NO")</f>
        <v>NO</v>
      </c>
      <c r="K876">
        <v>5</v>
      </c>
      <c r="L876" t="s">
        <v>836</v>
      </c>
      <c r="M876">
        <v>18</v>
      </c>
    </row>
    <row r="877" spans="1:18" hidden="1">
      <c r="A877" s="23" t="s">
        <v>1772</v>
      </c>
      <c r="B877" s="23" t="s">
        <v>1773</v>
      </c>
      <c r="C877" s="23">
        <v>3489</v>
      </c>
      <c r="I877" s="3" t="str">
        <f>+IFERROR(VLOOKUP(C877,'Mov 2023 hasta ahora '!$C$2:$D$314,2,FALSE),"NO")</f>
        <v>NO</v>
      </c>
      <c r="K877">
        <v>6</v>
      </c>
      <c r="L877" t="s">
        <v>836</v>
      </c>
      <c r="M877">
        <v>22</v>
      </c>
      <c r="O877" s="29" t="s">
        <v>8679</v>
      </c>
      <c r="P877" s="25" t="s">
        <v>8677</v>
      </c>
      <c r="Q877" s="25">
        <v>2450</v>
      </c>
      <c r="R877" t="s">
        <v>436</v>
      </c>
    </row>
    <row r="878" spans="1:18" hidden="1">
      <c r="A878" t="s">
        <v>1774</v>
      </c>
      <c r="B878" t="s">
        <v>1775</v>
      </c>
      <c r="I878" s="3" t="str">
        <f>+IFERROR(VLOOKUP(C878,'Mov 2023 hasta ahora '!$C$2:$D$314,2,FALSE),"NO")</f>
        <v>NO</v>
      </c>
      <c r="K878">
        <v>3</v>
      </c>
      <c r="L878" t="s">
        <v>836</v>
      </c>
      <c r="M878">
        <v>10</v>
      </c>
    </row>
    <row r="879" spans="1:18" hidden="1">
      <c r="A879" t="s">
        <v>1776</v>
      </c>
      <c r="B879" t="s">
        <v>1777</v>
      </c>
      <c r="I879" s="3" t="str">
        <f>+IFERROR(VLOOKUP(C879,'Mov 2023 hasta ahora '!$C$2:$D$314,2,FALSE),"NO")</f>
        <v>NO</v>
      </c>
      <c r="K879">
        <v>4</v>
      </c>
      <c r="L879" t="s">
        <v>836</v>
      </c>
      <c r="M879">
        <v>14</v>
      </c>
    </row>
    <row r="880" spans="1:18" hidden="1">
      <c r="A880" t="s">
        <v>1778</v>
      </c>
      <c r="B880" t="s">
        <v>1779</v>
      </c>
      <c r="I880" s="3" t="str">
        <f>+IFERROR(VLOOKUP(C880,'Mov 2023 hasta ahora '!$C$2:$D$314,2,FALSE),"NO")</f>
        <v>NO</v>
      </c>
      <c r="K880">
        <v>5</v>
      </c>
      <c r="L880" t="s">
        <v>836</v>
      </c>
      <c r="M880">
        <v>18</v>
      </c>
    </row>
    <row r="881" spans="1:18" hidden="1">
      <c r="A881" s="23" t="s">
        <v>1780</v>
      </c>
      <c r="B881" s="23" t="s">
        <v>1781</v>
      </c>
      <c r="C881" s="23">
        <v>3492</v>
      </c>
      <c r="I881" s="3" t="str">
        <f>+IFERROR(VLOOKUP(C881,'Mov 2023 hasta ahora '!$C$2:$D$314,2,FALSE),"NO")</f>
        <v>NO</v>
      </c>
      <c r="K881">
        <v>6</v>
      </c>
      <c r="L881" t="s">
        <v>836</v>
      </c>
      <c r="M881">
        <v>22</v>
      </c>
      <c r="O881" s="29" t="s">
        <v>8679</v>
      </c>
      <c r="P881" s="25" t="s">
        <v>8677</v>
      </c>
      <c r="Q881" s="25">
        <v>2450</v>
      </c>
      <c r="R881" t="s">
        <v>436</v>
      </c>
    </row>
    <row r="882" spans="1:18" hidden="1">
      <c r="A882" t="s">
        <v>1782</v>
      </c>
      <c r="B882" t="s">
        <v>1783</v>
      </c>
      <c r="I882" s="3" t="str">
        <f>+IFERROR(VLOOKUP(C882,'Mov 2023 hasta ahora '!$C$2:$D$314,2,FALSE),"NO")</f>
        <v>NO</v>
      </c>
      <c r="K882">
        <v>3</v>
      </c>
      <c r="L882" t="s">
        <v>836</v>
      </c>
      <c r="M882">
        <v>10</v>
      </c>
    </row>
    <row r="883" spans="1:18" hidden="1">
      <c r="A883" t="s">
        <v>1784</v>
      </c>
      <c r="B883" t="s">
        <v>1785</v>
      </c>
      <c r="I883" s="3" t="str">
        <f>+IFERROR(VLOOKUP(C883,'Mov 2023 hasta ahora '!$C$2:$D$314,2,FALSE),"NO")</f>
        <v>NO</v>
      </c>
      <c r="K883">
        <v>4</v>
      </c>
      <c r="L883" t="s">
        <v>836</v>
      </c>
      <c r="M883">
        <v>14</v>
      </c>
    </row>
    <row r="884" spans="1:18" hidden="1">
      <c r="A884" t="s">
        <v>1786</v>
      </c>
      <c r="B884" t="s">
        <v>1787</v>
      </c>
      <c r="I884" s="3" t="str">
        <f>+IFERROR(VLOOKUP(C884,'Mov 2023 hasta ahora '!$C$2:$D$314,2,FALSE),"NO")</f>
        <v>NO</v>
      </c>
      <c r="K884">
        <v>5</v>
      </c>
      <c r="L884" t="s">
        <v>836</v>
      </c>
      <c r="M884">
        <v>18</v>
      </c>
    </row>
    <row r="885" spans="1:18" hidden="1">
      <c r="A885" s="23" t="s">
        <v>1788</v>
      </c>
      <c r="B885" s="23" t="s">
        <v>1789</v>
      </c>
      <c r="C885" s="23">
        <v>3493</v>
      </c>
      <c r="I885" s="3" t="str">
        <f>+IFERROR(VLOOKUP(C885,'Mov 2023 hasta ahora '!$C$2:$D$314,2,FALSE),"NO")</f>
        <v>NO</v>
      </c>
      <c r="K885">
        <v>6</v>
      </c>
      <c r="L885" t="s">
        <v>836</v>
      </c>
      <c r="M885">
        <v>22</v>
      </c>
      <c r="O885" s="29" t="s">
        <v>8679</v>
      </c>
      <c r="P885" s="25" t="s">
        <v>8677</v>
      </c>
      <c r="Q885" s="25">
        <v>2450</v>
      </c>
      <c r="R885" t="s">
        <v>436</v>
      </c>
    </row>
    <row r="886" spans="1:18" hidden="1">
      <c r="A886" t="s">
        <v>1790</v>
      </c>
      <c r="B886" t="s">
        <v>1791</v>
      </c>
      <c r="I886" s="3" t="str">
        <f>+IFERROR(VLOOKUP(C886,'Mov 2023 hasta ahora '!$C$2:$D$314,2,FALSE),"NO")</f>
        <v>NO</v>
      </c>
      <c r="K886">
        <v>3</v>
      </c>
      <c r="L886" t="s">
        <v>836</v>
      </c>
      <c r="M886">
        <v>10</v>
      </c>
    </row>
    <row r="887" spans="1:18" hidden="1">
      <c r="A887" t="s">
        <v>1792</v>
      </c>
      <c r="B887" t="s">
        <v>1793</v>
      </c>
      <c r="I887" s="3" t="str">
        <f>+IFERROR(VLOOKUP(C887,'Mov 2023 hasta ahora '!$C$2:$D$314,2,FALSE),"NO")</f>
        <v>NO</v>
      </c>
      <c r="K887">
        <v>4</v>
      </c>
      <c r="L887" t="s">
        <v>836</v>
      </c>
      <c r="M887">
        <v>14</v>
      </c>
    </row>
    <row r="888" spans="1:18" hidden="1">
      <c r="A888" t="s">
        <v>1794</v>
      </c>
      <c r="B888" t="s">
        <v>1795</v>
      </c>
      <c r="I888" s="3" t="str">
        <f>+IFERROR(VLOOKUP(C888,'Mov 2023 hasta ahora '!$C$2:$D$314,2,FALSE),"NO")</f>
        <v>NO</v>
      </c>
      <c r="K888">
        <v>5</v>
      </c>
      <c r="L888" t="s">
        <v>836</v>
      </c>
      <c r="M888">
        <v>18</v>
      </c>
    </row>
    <row r="889" spans="1:18" hidden="1">
      <c r="A889" s="23" t="s">
        <v>1796</v>
      </c>
      <c r="B889" s="23" t="s">
        <v>1797</v>
      </c>
      <c r="C889" s="23">
        <v>3495</v>
      </c>
      <c r="I889" s="3" t="str">
        <f>+IFERROR(VLOOKUP(C889,'Mov 2023 hasta ahora '!$C$2:$D$314,2,FALSE),"NO")</f>
        <v>NO</v>
      </c>
      <c r="K889">
        <v>6</v>
      </c>
      <c r="L889" t="s">
        <v>836</v>
      </c>
      <c r="M889">
        <v>22</v>
      </c>
      <c r="O889" s="29" t="s">
        <v>8679</v>
      </c>
      <c r="P889" s="25" t="s">
        <v>8677</v>
      </c>
      <c r="Q889" s="25">
        <v>2450</v>
      </c>
      <c r="R889" t="s">
        <v>436</v>
      </c>
    </row>
    <row r="890" spans="1:18" hidden="1">
      <c r="A890" t="s">
        <v>1798</v>
      </c>
      <c r="B890" t="s">
        <v>1799</v>
      </c>
      <c r="I890" s="3" t="str">
        <f>+IFERROR(VLOOKUP(C890,'Mov 2023 hasta ahora '!$C$2:$D$314,2,FALSE),"NO")</f>
        <v>NO</v>
      </c>
      <c r="K890">
        <v>3</v>
      </c>
      <c r="L890" t="s">
        <v>836</v>
      </c>
      <c r="M890">
        <v>10</v>
      </c>
    </row>
    <row r="891" spans="1:18" hidden="1">
      <c r="A891" t="s">
        <v>1800</v>
      </c>
      <c r="B891" t="s">
        <v>1801</v>
      </c>
      <c r="I891" s="3" t="str">
        <f>+IFERROR(VLOOKUP(C891,'Mov 2023 hasta ahora '!$C$2:$D$314,2,FALSE),"NO")</f>
        <v>NO</v>
      </c>
      <c r="K891">
        <v>4</v>
      </c>
      <c r="L891" t="s">
        <v>836</v>
      </c>
      <c r="M891">
        <v>14</v>
      </c>
    </row>
    <row r="892" spans="1:18" hidden="1">
      <c r="A892" t="s">
        <v>1802</v>
      </c>
      <c r="B892" t="s">
        <v>1803</v>
      </c>
      <c r="I892" s="3" t="str">
        <f>+IFERROR(VLOOKUP(C892,'Mov 2023 hasta ahora '!$C$2:$D$314,2,FALSE),"NO")</f>
        <v>NO</v>
      </c>
      <c r="K892">
        <v>5</v>
      </c>
      <c r="L892" t="s">
        <v>836</v>
      </c>
      <c r="M892">
        <v>18</v>
      </c>
    </row>
    <row r="893" spans="1:18" hidden="1">
      <c r="A893" s="23" t="s">
        <v>1804</v>
      </c>
      <c r="B893" s="23" t="s">
        <v>1805</v>
      </c>
      <c r="C893" s="23">
        <v>3496</v>
      </c>
      <c r="I893" s="3" t="str">
        <f>+IFERROR(VLOOKUP(C893,'Mov 2023 hasta ahora '!$C$2:$D$314,2,FALSE),"NO")</f>
        <v>NO</v>
      </c>
      <c r="K893">
        <v>6</v>
      </c>
      <c r="L893" t="s">
        <v>836</v>
      </c>
      <c r="M893">
        <v>22</v>
      </c>
      <c r="O893" s="29" t="s">
        <v>8679</v>
      </c>
      <c r="P893" s="25" t="s">
        <v>8677</v>
      </c>
      <c r="Q893" s="25">
        <v>2450</v>
      </c>
      <c r="R893" t="s">
        <v>436</v>
      </c>
    </row>
    <row r="894" spans="1:18" hidden="1">
      <c r="A894" t="s">
        <v>1806</v>
      </c>
      <c r="B894" t="s">
        <v>1807</v>
      </c>
      <c r="I894" s="3" t="str">
        <f>+IFERROR(VLOOKUP(C894,'Mov 2023 hasta ahora '!$C$2:$D$314,2,FALSE),"NO")</f>
        <v>NO</v>
      </c>
      <c r="K894">
        <v>3</v>
      </c>
      <c r="L894" t="s">
        <v>836</v>
      </c>
      <c r="M894">
        <v>10</v>
      </c>
    </row>
    <row r="895" spans="1:18" hidden="1">
      <c r="A895" t="s">
        <v>1808</v>
      </c>
      <c r="B895" t="s">
        <v>1809</v>
      </c>
      <c r="I895" s="3" t="str">
        <f>+IFERROR(VLOOKUP(C895,'Mov 2023 hasta ahora '!$C$2:$D$314,2,FALSE),"NO")</f>
        <v>NO</v>
      </c>
      <c r="K895">
        <v>4</v>
      </c>
      <c r="L895" t="s">
        <v>836</v>
      </c>
      <c r="M895">
        <v>14</v>
      </c>
    </row>
    <row r="896" spans="1:18" hidden="1">
      <c r="A896" t="s">
        <v>1810</v>
      </c>
      <c r="B896" t="s">
        <v>1811</v>
      </c>
      <c r="I896" s="3" t="str">
        <f>+IFERROR(VLOOKUP(C896,'Mov 2023 hasta ahora '!$C$2:$D$314,2,FALSE),"NO")</f>
        <v>NO</v>
      </c>
      <c r="K896">
        <v>5</v>
      </c>
      <c r="L896" t="s">
        <v>836</v>
      </c>
      <c r="M896">
        <v>18</v>
      </c>
    </row>
    <row r="897" spans="1:18" hidden="1">
      <c r="A897" s="23" t="s">
        <v>1812</v>
      </c>
      <c r="B897" s="23" t="s">
        <v>1813</v>
      </c>
      <c r="C897" s="23">
        <v>3501</v>
      </c>
      <c r="I897" s="3" t="str">
        <f>+IFERROR(VLOOKUP(C897,'Mov 2023 hasta ahora '!$C$2:$D$314,2,FALSE),"NO")</f>
        <v>NO</v>
      </c>
      <c r="K897">
        <v>6</v>
      </c>
      <c r="L897" t="s">
        <v>836</v>
      </c>
      <c r="M897">
        <v>22</v>
      </c>
      <c r="O897" s="29" t="s">
        <v>8679</v>
      </c>
      <c r="P897" s="25" t="s">
        <v>8677</v>
      </c>
      <c r="Q897" s="25">
        <v>2450</v>
      </c>
      <c r="R897" t="s">
        <v>436</v>
      </c>
    </row>
    <row r="898" spans="1:18" hidden="1">
      <c r="A898" t="s">
        <v>1814</v>
      </c>
      <c r="B898" t="s">
        <v>1815</v>
      </c>
      <c r="I898" s="3" t="str">
        <f>+IFERROR(VLOOKUP(C898,'Mov 2023 hasta ahora '!$C$2:$D$314,2,FALSE),"NO")</f>
        <v>NO</v>
      </c>
      <c r="K898">
        <v>3</v>
      </c>
      <c r="L898" t="s">
        <v>836</v>
      </c>
      <c r="M898">
        <v>10</v>
      </c>
    </row>
    <row r="899" spans="1:18" hidden="1">
      <c r="A899" t="s">
        <v>1816</v>
      </c>
      <c r="B899" t="s">
        <v>1817</v>
      </c>
      <c r="I899" s="3" t="str">
        <f>+IFERROR(VLOOKUP(C899,'Mov 2023 hasta ahora '!$C$2:$D$314,2,FALSE),"NO")</f>
        <v>NO</v>
      </c>
      <c r="K899">
        <v>4</v>
      </c>
      <c r="L899" t="s">
        <v>836</v>
      </c>
      <c r="M899">
        <v>14</v>
      </c>
    </row>
    <row r="900" spans="1:18" hidden="1">
      <c r="A900" t="s">
        <v>1818</v>
      </c>
      <c r="B900" t="s">
        <v>1819</v>
      </c>
      <c r="I900" s="3" t="str">
        <f>+IFERROR(VLOOKUP(C900,'Mov 2023 hasta ahora '!$C$2:$D$314,2,FALSE),"NO")</f>
        <v>NO</v>
      </c>
      <c r="K900">
        <v>5</v>
      </c>
      <c r="L900" t="s">
        <v>836</v>
      </c>
      <c r="M900">
        <v>18</v>
      </c>
    </row>
    <row r="901" spans="1:18" hidden="1">
      <c r="A901" s="23" t="s">
        <v>1820</v>
      </c>
      <c r="B901" s="23" t="s">
        <v>1821</v>
      </c>
      <c r="C901" s="23">
        <v>3502</v>
      </c>
      <c r="I901" s="3" t="str">
        <f>+IFERROR(VLOOKUP(C901,'Mov 2023 hasta ahora '!$C$2:$D$314,2,FALSE),"NO")</f>
        <v>NO</v>
      </c>
      <c r="K901">
        <v>6</v>
      </c>
      <c r="L901" t="s">
        <v>836</v>
      </c>
      <c r="M901">
        <v>22</v>
      </c>
      <c r="O901" s="29" t="s">
        <v>8679</v>
      </c>
      <c r="P901" s="25" t="s">
        <v>8677</v>
      </c>
      <c r="Q901" s="25">
        <v>2450</v>
      </c>
      <c r="R901" t="s">
        <v>436</v>
      </c>
    </row>
    <row r="902" spans="1:18" hidden="1">
      <c r="A902" t="s">
        <v>1822</v>
      </c>
      <c r="B902" t="s">
        <v>1823</v>
      </c>
      <c r="I902" s="3" t="str">
        <f>+IFERROR(VLOOKUP(C902,'Mov 2023 hasta ahora '!$C$2:$D$314,2,FALSE),"NO")</f>
        <v>NO</v>
      </c>
      <c r="K902">
        <v>3</v>
      </c>
      <c r="L902" t="s">
        <v>836</v>
      </c>
      <c r="M902">
        <v>10</v>
      </c>
    </row>
    <row r="903" spans="1:18" hidden="1">
      <c r="A903" t="s">
        <v>1824</v>
      </c>
      <c r="B903" t="s">
        <v>1825</v>
      </c>
      <c r="I903" s="3" t="str">
        <f>+IFERROR(VLOOKUP(C903,'Mov 2023 hasta ahora '!$C$2:$D$314,2,FALSE),"NO")</f>
        <v>NO</v>
      </c>
      <c r="K903">
        <v>4</v>
      </c>
      <c r="L903" t="s">
        <v>836</v>
      </c>
      <c r="M903">
        <v>14</v>
      </c>
    </row>
    <row r="904" spans="1:18" hidden="1">
      <c r="A904" t="s">
        <v>1826</v>
      </c>
      <c r="B904" t="s">
        <v>1827</v>
      </c>
      <c r="I904" s="3" t="str">
        <f>+IFERROR(VLOOKUP(C904,'Mov 2023 hasta ahora '!$C$2:$D$314,2,FALSE),"NO")</f>
        <v>NO</v>
      </c>
      <c r="K904">
        <v>5</v>
      </c>
      <c r="L904" t="s">
        <v>836</v>
      </c>
      <c r="M904">
        <v>18</v>
      </c>
    </row>
    <row r="905" spans="1:18" hidden="1">
      <c r="A905" s="23" t="s">
        <v>1828</v>
      </c>
      <c r="B905" s="23" t="s">
        <v>1829</v>
      </c>
      <c r="C905" s="23">
        <v>3509</v>
      </c>
      <c r="I905" s="3">
        <f>+IFERROR(VLOOKUP(C905,'Mov 2023 hasta ahora '!$C$2:$D$314,2,FALSE),"NO")</f>
        <v>49</v>
      </c>
      <c r="K905">
        <v>6</v>
      </c>
      <c r="L905" t="s">
        <v>836</v>
      </c>
      <c r="M905">
        <v>24</v>
      </c>
      <c r="O905" s="29" t="s">
        <v>8698</v>
      </c>
      <c r="P905" s="25" t="s">
        <v>8692</v>
      </c>
      <c r="Q905" s="25">
        <v>3881</v>
      </c>
      <c r="R905" t="s">
        <v>436</v>
      </c>
    </row>
    <row r="906" spans="1:18" hidden="1">
      <c r="A906" s="23" t="s">
        <v>1830</v>
      </c>
      <c r="B906" s="23" t="s">
        <v>1831</v>
      </c>
      <c r="C906" s="23">
        <v>3510</v>
      </c>
      <c r="D906" t="s">
        <v>436</v>
      </c>
      <c r="I906" s="3" t="str">
        <f>+IFERROR(VLOOKUP(C906,'Mov 2023 hasta ahora '!$C$2:$D$314,2,FALSE),"NO")</f>
        <v>NO</v>
      </c>
      <c r="K906">
        <v>6</v>
      </c>
      <c r="L906" t="s">
        <v>836</v>
      </c>
      <c r="M906">
        <v>24</v>
      </c>
      <c r="O906" s="29" t="s">
        <v>8679</v>
      </c>
      <c r="P906" s="25" t="s">
        <v>8677</v>
      </c>
      <c r="Q906" s="25">
        <v>2450</v>
      </c>
      <c r="R906" t="s">
        <v>436</v>
      </c>
    </row>
    <row r="907" spans="1:18" hidden="1">
      <c r="A907" t="s">
        <v>1832</v>
      </c>
      <c r="B907" t="s">
        <v>1833</v>
      </c>
      <c r="I907" s="3" t="str">
        <f>+IFERROR(VLOOKUP(C907,'Mov 2023 hasta ahora '!$C$2:$D$314,2,FALSE),"NO")</f>
        <v>NO</v>
      </c>
      <c r="K907">
        <v>3</v>
      </c>
      <c r="L907" t="s">
        <v>836</v>
      </c>
      <c r="M907">
        <v>10</v>
      </c>
    </row>
    <row r="908" spans="1:18" hidden="1">
      <c r="A908" t="s">
        <v>1834</v>
      </c>
      <c r="B908" t="s">
        <v>1835</v>
      </c>
      <c r="I908" s="3" t="str">
        <f>+IFERROR(VLOOKUP(C908,'Mov 2023 hasta ahora '!$C$2:$D$314,2,FALSE),"NO")</f>
        <v>NO</v>
      </c>
      <c r="K908">
        <v>4</v>
      </c>
      <c r="L908" t="s">
        <v>836</v>
      </c>
      <c r="M908">
        <v>14</v>
      </c>
    </row>
    <row r="909" spans="1:18" hidden="1">
      <c r="A909" t="s">
        <v>1836</v>
      </c>
      <c r="B909" t="s">
        <v>1837</v>
      </c>
      <c r="I909" s="3" t="str">
        <f>+IFERROR(VLOOKUP(C909,'Mov 2023 hasta ahora '!$C$2:$D$314,2,FALSE),"NO")</f>
        <v>NO</v>
      </c>
      <c r="K909">
        <v>5</v>
      </c>
      <c r="L909" t="s">
        <v>836</v>
      </c>
      <c r="M909">
        <v>18</v>
      </c>
    </row>
    <row r="910" spans="1:18" hidden="1">
      <c r="A910" s="23" t="s">
        <v>1838</v>
      </c>
      <c r="B910" s="23" t="s">
        <v>1839</v>
      </c>
      <c r="C910" s="23">
        <v>3604</v>
      </c>
      <c r="I910" s="3" t="str">
        <f>+IFERROR(VLOOKUP(C910,'Mov 2023 hasta ahora '!$C$2:$D$314,2,FALSE),"NO")</f>
        <v>NO</v>
      </c>
      <c r="K910">
        <v>6</v>
      </c>
      <c r="L910" t="s">
        <v>836</v>
      </c>
      <c r="M910">
        <v>24</v>
      </c>
      <c r="O910" s="29" t="s">
        <v>8698</v>
      </c>
      <c r="P910" s="25" t="s">
        <v>8692</v>
      </c>
      <c r="Q910" s="25">
        <v>3881</v>
      </c>
      <c r="R910" t="s">
        <v>436</v>
      </c>
    </row>
    <row r="911" spans="1:18" hidden="1">
      <c r="A911" s="23" t="s">
        <v>1840</v>
      </c>
      <c r="B911" s="23" t="s">
        <v>1841</v>
      </c>
      <c r="C911" s="23">
        <v>3605</v>
      </c>
      <c r="I911" s="3">
        <f>+IFERROR(VLOOKUP(C911,'Mov 2023 hasta ahora '!$C$2:$D$314,2,FALSE),"NO")</f>
        <v>11</v>
      </c>
      <c r="K911">
        <v>6</v>
      </c>
      <c r="L911" t="s">
        <v>836</v>
      </c>
      <c r="M911">
        <v>24</v>
      </c>
      <c r="O911" s="29" t="s">
        <v>8679</v>
      </c>
      <c r="P911" s="25" t="s">
        <v>8677</v>
      </c>
      <c r="Q911" s="25">
        <v>2450</v>
      </c>
      <c r="R911" t="s">
        <v>436</v>
      </c>
    </row>
    <row r="912" spans="1:18" hidden="1">
      <c r="A912" t="s">
        <v>1842</v>
      </c>
      <c r="B912" t="s">
        <v>1843</v>
      </c>
      <c r="I912" s="3" t="str">
        <f>+IFERROR(VLOOKUP(C912,'Mov 2023 hasta ahora '!$C$2:$D$314,2,FALSE),"NO")</f>
        <v>NO</v>
      </c>
      <c r="K912">
        <v>3</v>
      </c>
      <c r="L912" t="s">
        <v>836</v>
      </c>
      <c r="M912">
        <v>10</v>
      </c>
    </row>
    <row r="913" spans="1:18" hidden="1">
      <c r="A913" t="s">
        <v>1844</v>
      </c>
      <c r="B913" t="s">
        <v>1845</v>
      </c>
      <c r="I913" s="3" t="str">
        <f>+IFERROR(VLOOKUP(C913,'Mov 2023 hasta ahora '!$C$2:$D$314,2,FALSE),"NO")</f>
        <v>NO</v>
      </c>
      <c r="L913" t="s">
        <v>836</v>
      </c>
      <c r="M913">
        <v>12</v>
      </c>
    </row>
    <row r="914" spans="1:18" hidden="1">
      <c r="A914" t="s">
        <v>1846</v>
      </c>
      <c r="B914" t="s">
        <v>1847</v>
      </c>
      <c r="I914" s="3" t="str">
        <f>+IFERROR(VLOOKUP(C914,'Mov 2023 hasta ahora '!$C$2:$D$314,2,FALSE),"NO")</f>
        <v>NO</v>
      </c>
      <c r="K914">
        <v>4</v>
      </c>
      <c r="L914" t="s">
        <v>836</v>
      </c>
      <c r="M914">
        <v>14</v>
      </c>
    </row>
    <row r="915" spans="1:18" hidden="1">
      <c r="A915" s="23" t="s">
        <v>1848</v>
      </c>
      <c r="B915" s="23" t="s">
        <v>1849</v>
      </c>
      <c r="C915" s="23">
        <v>3608</v>
      </c>
      <c r="D915" t="s">
        <v>436</v>
      </c>
      <c r="I915" s="3" t="str">
        <f>+IFERROR(VLOOKUP(C915,'Mov 2023 hasta ahora '!$C$2:$D$314,2,FALSE),"NO")</f>
        <v>NO</v>
      </c>
      <c r="L915" t="s">
        <v>836</v>
      </c>
      <c r="M915">
        <v>16</v>
      </c>
      <c r="O915" s="29" t="s">
        <v>8679</v>
      </c>
      <c r="P915" s="25" t="s">
        <v>8677</v>
      </c>
      <c r="Q915" s="25">
        <v>2450</v>
      </c>
      <c r="R915" t="s">
        <v>436</v>
      </c>
    </row>
    <row r="916" spans="1:18" hidden="1">
      <c r="A916" t="s">
        <v>1850</v>
      </c>
      <c r="B916" t="s">
        <v>1851</v>
      </c>
      <c r="I916" s="3" t="str">
        <f>+IFERROR(VLOOKUP(C916,'Mov 2023 hasta ahora '!$C$2:$D$314,2,FALSE),"NO")</f>
        <v>NO</v>
      </c>
      <c r="K916">
        <v>3</v>
      </c>
      <c r="L916" t="s">
        <v>836</v>
      </c>
      <c r="M916">
        <v>10</v>
      </c>
    </row>
    <row r="917" spans="1:18" hidden="1">
      <c r="A917" t="s">
        <v>1852</v>
      </c>
      <c r="B917" t="s">
        <v>1853</v>
      </c>
      <c r="I917" s="3" t="str">
        <f>+IFERROR(VLOOKUP(C917,'Mov 2023 hasta ahora '!$C$2:$D$314,2,FALSE),"NO")</f>
        <v>NO</v>
      </c>
      <c r="L917" t="s">
        <v>836</v>
      </c>
      <c r="M917">
        <v>12</v>
      </c>
    </row>
    <row r="918" spans="1:18" hidden="1">
      <c r="A918" t="s">
        <v>1854</v>
      </c>
      <c r="B918" t="s">
        <v>1855</v>
      </c>
      <c r="I918" s="3" t="str">
        <f>+IFERROR(VLOOKUP(C918,'Mov 2023 hasta ahora '!$C$2:$D$314,2,FALSE),"NO")</f>
        <v>NO</v>
      </c>
      <c r="K918">
        <v>4</v>
      </c>
      <c r="L918" t="s">
        <v>836</v>
      </c>
      <c r="M918">
        <v>14</v>
      </c>
    </row>
    <row r="919" spans="1:18" hidden="1">
      <c r="A919" s="23" t="s">
        <v>1856</v>
      </c>
      <c r="B919" s="23" t="s">
        <v>1857</v>
      </c>
      <c r="C919" s="23">
        <v>3800</v>
      </c>
      <c r="D919" t="s">
        <v>436</v>
      </c>
      <c r="I919" s="3" t="str">
        <f>+IFERROR(VLOOKUP(C919,'Mov 2023 hasta ahora '!$C$2:$D$314,2,FALSE),"NO")</f>
        <v>NO</v>
      </c>
      <c r="L919" t="s">
        <v>836</v>
      </c>
      <c r="M919">
        <v>16</v>
      </c>
      <c r="O919" s="29" t="s">
        <v>8679</v>
      </c>
      <c r="P919" s="25" t="s">
        <v>8677</v>
      </c>
      <c r="Q919" s="25">
        <v>2450</v>
      </c>
      <c r="R919" t="s">
        <v>436</v>
      </c>
    </row>
    <row r="920" spans="1:18" hidden="1">
      <c r="A920" t="s">
        <v>1858</v>
      </c>
      <c r="B920" t="s">
        <v>1859</v>
      </c>
      <c r="I920" s="3" t="str">
        <f>+IFERROR(VLOOKUP(C920,'Mov 2023 hasta ahora '!$C$2:$D$314,2,FALSE),"NO")</f>
        <v>NO</v>
      </c>
      <c r="K920">
        <v>3</v>
      </c>
      <c r="L920" t="s">
        <v>836</v>
      </c>
      <c r="M920">
        <v>10</v>
      </c>
    </row>
    <row r="921" spans="1:18" hidden="1">
      <c r="A921" s="23" t="s">
        <v>1860</v>
      </c>
      <c r="B921" s="23" t="s">
        <v>1861</v>
      </c>
      <c r="C921" s="23">
        <v>3854</v>
      </c>
      <c r="I921" s="3">
        <f>+IFERROR(VLOOKUP(C921,'Mov 2023 hasta ahora '!$C$2:$D$314,2,FALSE),"NO")</f>
        <v>4</v>
      </c>
      <c r="L921" t="s">
        <v>836</v>
      </c>
      <c r="M921">
        <v>12</v>
      </c>
      <c r="O921" s="29" t="s">
        <v>8679</v>
      </c>
      <c r="P921" s="25" t="s">
        <v>8677</v>
      </c>
      <c r="Q921" s="25">
        <v>2450</v>
      </c>
      <c r="R921" t="s">
        <v>436</v>
      </c>
    </row>
    <row r="922" spans="1:18" hidden="1">
      <c r="A922" t="s">
        <v>1862</v>
      </c>
      <c r="B922" t="s">
        <v>1861</v>
      </c>
      <c r="I922" s="3" t="str">
        <f>+IFERROR(VLOOKUP(C922,'Mov 2023 hasta ahora '!$C$2:$D$314,2,FALSE),"NO")</f>
        <v>NO</v>
      </c>
      <c r="L922" t="s">
        <v>836</v>
      </c>
      <c r="M922">
        <v>12</v>
      </c>
    </row>
    <row r="923" spans="1:18" hidden="1">
      <c r="A923" s="23" t="s">
        <v>1863</v>
      </c>
      <c r="B923" s="23" t="s">
        <v>1864</v>
      </c>
      <c r="C923" s="23">
        <v>3807</v>
      </c>
      <c r="I923" s="3">
        <f>+IFERROR(VLOOKUP(C923,'Mov 2023 hasta ahora '!$C$2:$D$314,2,FALSE),"NO")</f>
        <v>1</v>
      </c>
      <c r="L923" t="s">
        <v>836</v>
      </c>
      <c r="M923">
        <v>12</v>
      </c>
      <c r="O923" s="29" t="s">
        <v>8679</v>
      </c>
      <c r="P923" s="25" t="s">
        <v>8677</v>
      </c>
      <c r="Q923" s="25">
        <v>2450</v>
      </c>
      <c r="R923" t="s">
        <v>436</v>
      </c>
    </row>
    <row r="924" spans="1:18" hidden="1">
      <c r="A924" t="s">
        <v>1865</v>
      </c>
      <c r="B924" t="s">
        <v>1866</v>
      </c>
      <c r="I924" s="3" t="str">
        <f>+IFERROR(VLOOKUP(C924,'Mov 2023 hasta ahora '!$C$2:$D$314,2,FALSE),"NO")</f>
        <v>NO</v>
      </c>
      <c r="L924" t="s">
        <v>836</v>
      </c>
      <c r="M924">
        <v>12</v>
      </c>
    </row>
    <row r="925" spans="1:18" hidden="1">
      <c r="A925" s="23" t="s">
        <v>1867</v>
      </c>
      <c r="B925" s="23" t="s">
        <v>1868</v>
      </c>
      <c r="C925" s="23">
        <v>3853</v>
      </c>
      <c r="I925" s="3">
        <f>+IFERROR(VLOOKUP(C925,'Mov 2023 hasta ahora '!$C$2:$D$314,2,FALSE),"NO")</f>
        <v>44</v>
      </c>
      <c r="L925" t="s">
        <v>836</v>
      </c>
      <c r="M925">
        <v>12</v>
      </c>
      <c r="O925" s="29" t="s">
        <v>8679</v>
      </c>
      <c r="P925" s="25" t="s">
        <v>8677</v>
      </c>
      <c r="Q925" s="25">
        <v>2450</v>
      </c>
      <c r="R925" t="s">
        <v>436</v>
      </c>
    </row>
    <row r="926" spans="1:18" hidden="1">
      <c r="A926" t="s">
        <v>1869</v>
      </c>
      <c r="B926" t="s">
        <v>1870</v>
      </c>
      <c r="I926" s="3" t="str">
        <f>+IFERROR(VLOOKUP(C926,'Mov 2023 hasta ahora '!$C$2:$D$314,2,FALSE),"NO")</f>
        <v>NO</v>
      </c>
      <c r="K926">
        <v>3</v>
      </c>
      <c r="L926" t="s">
        <v>836</v>
      </c>
      <c r="M926">
        <v>10</v>
      </c>
    </row>
    <row r="927" spans="1:18" hidden="1">
      <c r="A927" t="s">
        <v>1871</v>
      </c>
      <c r="B927" t="s">
        <v>1872</v>
      </c>
      <c r="I927" s="3" t="str">
        <f>+IFERROR(VLOOKUP(C927,'Mov 2023 hasta ahora '!$C$2:$D$314,2,FALSE),"NO")</f>
        <v>NO</v>
      </c>
      <c r="K927">
        <v>4</v>
      </c>
      <c r="L927" t="s">
        <v>836</v>
      </c>
      <c r="M927">
        <v>14</v>
      </c>
    </row>
    <row r="928" spans="1:18" hidden="1">
      <c r="A928" t="s">
        <v>1873</v>
      </c>
      <c r="B928" t="s">
        <v>1874</v>
      </c>
      <c r="I928" s="3" t="str">
        <f>+IFERROR(VLOOKUP(C928,'Mov 2023 hasta ahora '!$C$2:$D$314,2,FALSE),"NO")</f>
        <v>NO</v>
      </c>
      <c r="K928">
        <v>5</v>
      </c>
      <c r="L928" t="s">
        <v>836</v>
      </c>
      <c r="M928">
        <v>18</v>
      </c>
    </row>
    <row r="929" spans="1:18" hidden="1">
      <c r="A929" s="23" t="s">
        <v>1875</v>
      </c>
      <c r="B929" s="23" t="s">
        <v>1876</v>
      </c>
      <c r="C929" s="23">
        <v>3857</v>
      </c>
      <c r="D929" t="s">
        <v>436</v>
      </c>
      <c r="I929" s="3">
        <f>+IFERROR(VLOOKUP(C929,'Mov 2023 hasta ahora '!$C$2:$D$314,2,FALSE),"NO")</f>
        <v>36</v>
      </c>
      <c r="K929">
        <v>6</v>
      </c>
      <c r="L929" t="s">
        <v>836</v>
      </c>
      <c r="M929">
        <v>24</v>
      </c>
      <c r="O929" s="29" t="s">
        <v>8679</v>
      </c>
      <c r="P929" s="25" t="s">
        <v>8677</v>
      </c>
      <c r="Q929" s="25">
        <v>2450</v>
      </c>
      <c r="R929" t="s">
        <v>436</v>
      </c>
    </row>
    <row r="930" spans="1:18" hidden="1">
      <c r="A930" t="s">
        <v>1877</v>
      </c>
      <c r="B930" t="s">
        <v>1878</v>
      </c>
      <c r="I930" s="3" t="str">
        <f>+IFERROR(VLOOKUP(C930,'Mov 2023 hasta ahora '!$C$2:$D$314,2,FALSE),"NO")</f>
        <v>NO</v>
      </c>
      <c r="K930">
        <v>3</v>
      </c>
      <c r="L930" t="s">
        <v>836</v>
      </c>
      <c r="M930">
        <v>10</v>
      </c>
    </row>
    <row r="931" spans="1:18" hidden="1">
      <c r="A931" t="s">
        <v>1879</v>
      </c>
      <c r="B931" t="s">
        <v>1880</v>
      </c>
      <c r="I931" s="3" t="str">
        <f>+IFERROR(VLOOKUP(C931,'Mov 2023 hasta ahora '!$C$2:$D$314,2,FALSE),"NO")</f>
        <v>NO</v>
      </c>
      <c r="K931">
        <v>4</v>
      </c>
      <c r="L931" t="s">
        <v>836</v>
      </c>
      <c r="M931">
        <v>14</v>
      </c>
    </row>
    <row r="932" spans="1:18" hidden="1">
      <c r="A932" t="s">
        <v>1881</v>
      </c>
      <c r="B932" t="s">
        <v>1882</v>
      </c>
      <c r="I932" s="3" t="str">
        <f>+IFERROR(VLOOKUP(C932,'Mov 2023 hasta ahora '!$C$2:$D$314,2,FALSE),"NO")</f>
        <v>NO</v>
      </c>
      <c r="K932">
        <v>5</v>
      </c>
      <c r="L932" t="s">
        <v>836</v>
      </c>
      <c r="M932">
        <v>18</v>
      </c>
    </row>
    <row r="933" spans="1:18" hidden="1">
      <c r="A933" s="23" t="s">
        <v>1883</v>
      </c>
      <c r="B933" s="23" t="s">
        <v>1884</v>
      </c>
      <c r="C933" s="23">
        <v>3858</v>
      </c>
      <c r="D933" t="s">
        <v>436</v>
      </c>
      <c r="I933" s="3" t="str">
        <f>+IFERROR(VLOOKUP(C933,'Mov 2023 hasta ahora '!$C$2:$D$314,2,FALSE),"NO")</f>
        <v>NO</v>
      </c>
      <c r="K933">
        <v>6</v>
      </c>
      <c r="L933" t="s">
        <v>836</v>
      </c>
      <c r="M933">
        <v>24</v>
      </c>
      <c r="O933" s="29" t="s">
        <v>8679</v>
      </c>
      <c r="P933" s="25" t="s">
        <v>8677</v>
      </c>
      <c r="Q933" s="25">
        <v>2450</v>
      </c>
      <c r="R933" t="s">
        <v>436</v>
      </c>
    </row>
    <row r="934" spans="1:18" hidden="1">
      <c r="A934" t="s">
        <v>1885</v>
      </c>
      <c r="B934" t="s">
        <v>1886</v>
      </c>
      <c r="I934" s="3" t="str">
        <f>+IFERROR(VLOOKUP(C934,'Mov 2023 hasta ahora '!$C$2:$D$314,2,FALSE),"NO")</f>
        <v>NO</v>
      </c>
      <c r="K934">
        <v>3</v>
      </c>
      <c r="L934" t="s">
        <v>836</v>
      </c>
      <c r="M934">
        <v>10</v>
      </c>
    </row>
    <row r="935" spans="1:18" hidden="1">
      <c r="A935" t="s">
        <v>1887</v>
      </c>
      <c r="B935" t="s">
        <v>1888</v>
      </c>
      <c r="I935" s="3" t="str">
        <f>+IFERROR(VLOOKUP(C935,'Mov 2023 hasta ahora '!$C$2:$D$314,2,FALSE),"NO")</f>
        <v>NO</v>
      </c>
      <c r="K935">
        <v>4</v>
      </c>
      <c r="L935" t="s">
        <v>836</v>
      </c>
      <c r="M935">
        <v>14</v>
      </c>
    </row>
    <row r="936" spans="1:18" hidden="1">
      <c r="A936" t="s">
        <v>1889</v>
      </c>
      <c r="B936" t="s">
        <v>1890</v>
      </c>
      <c r="I936" s="3" t="str">
        <f>+IFERROR(VLOOKUP(C936,'Mov 2023 hasta ahora '!$C$2:$D$314,2,FALSE),"NO")</f>
        <v>NO</v>
      </c>
      <c r="K936">
        <v>5</v>
      </c>
      <c r="L936" t="s">
        <v>836</v>
      </c>
      <c r="M936">
        <v>18</v>
      </c>
    </row>
    <row r="937" spans="1:18" hidden="1">
      <c r="A937" s="23" t="s">
        <v>1891</v>
      </c>
      <c r="B937" s="23" t="s">
        <v>1892</v>
      </c>
      <c r="C937" s="23">
        <v>3859</v>
      </c>
      <c r="D937" t="s">
        <v>436</v>
      </c>
      <c r="I937" s="3">
        <f>+IFERROR(VLOOKUP(C937,'Mov 2023 hasta ahora '!$C$2:$D$314,2,FALSE),"NO")</f>
        <v>19</v>
      </c>
      <c r="K937">
        <v>6</v>
      </c>
      <c r="L937" t="s">
        <v>836</v>
      </c>
      <c r="M937">
        <v>24</v>
      </c>
      <c r="O937" s="29" t="s">
        <v>8679</v>
      </c>
      <c r="P937" s="25" t="s">
        <v>8677</v>
      </c>
      <c r="Q937" s="25">
        <v>2450</v>
      </c>
      <c r="R937" t="s">
        <v>436</v>
      </c>
    </row>
    <row r="938" spans="1:18" hidden="1">
      <c r="A938" t="s">
        <v>1893</v>
      </c>
      <c r="B938" t="s">
        <v>1894</v>
      </c>
      <c r="I938" s="3" t="str">
        <f>+IFERROR(VLOOKUP(C938,'Mov 2023 hasta ahora '!$C$2:$D$314,2,FALSE),"NO")</f>
        <v>NO</v>
      </c>
      <c r="K938">
        <v>3</v>
      </c>
      <c r="L938" t="s">
        <v>836</v>
      </c>
      <c r="M938">
        <v>10</v>
      </c>
    </row>
    <row r="939" spans="1:18" hidden="1">
      <c r="A939" t="s">
        <v>1895</v>
      </c>
      <c r="B939" t="s">
        <v>1896</v>
      </c>
      <c r="I939" s="3" t="str">
        <f>+IFERROR(VLOOKUP(C939,'Mov 2023 hasta ahora '!$C$2:$D$314,2,FALSE),"NO")</f>
        <v>NO</v>
      </c>
      <c r="K939">
        <v>4</v>
      </c>
      <c r="L939" t="s">
        <v>836</v>
      </c>
      <c r="M939">
        <v>14</v>
      </c>
    </row>
    <row r="940" spans="1:18" hidden="1">
      <c r="A940" t="s">
        <v>1897</v>
      </c>
      <c r="B940" t="s">
        <v>1898</v>
      </c>
      <c r="I940" s="3" t="str">
        <f>+IFERROR(VLOOKUP(C940,'Mov 2023 hasta ahora '!$C$2:$D$314,2,FALSE),"NO")</f>
        <v>NO</v>
      </c>
      <c r="K940">
        <v>5</v>
      </c>
      <c r="L940" t="s">
        <v>836</v>
      </c>
      <c r="M940">
        <v>18</v>
      </c>
    </row>
    <row r="941" spans="1:18" hidden="1">
      <c r="A941" s="23" t="s">
        <v>1899</v>
      </c>
      <c r="B941" s="23" t="s">
        <v>1900</v>
      </c>
      <c r="C941" s="23">
        <v>3860</v>
      </c>
      <c r="D941" t="s">
        <v>436</v>
      </c>
      <c r="I941" s="3" t="str">
        <f>+IFERROR(VLOOKUP(C941,'Mov 2023 hasta ahora '!$C$2:$D$314,2,FALSE),"NO")</f>
        <v>NO</v>
      </c>
      <c r="K941">
        <v>6</v>
      </c>
      <c r="L941" t="s">
        <v>836</v>
      </c>
      <c r="M941">
        <v>24</v>
      </c>
      <c r="O941" s="29" t="s">
        <v>8679</v>
      </c>
      <c r="P941" s="25" t="s">
        <v>8677</v>
      </c>
      <c r="Q941" s="25">
        <v>2450</v>
      </c>
      <c r="R941" t="s">
        <v>436</v>
      </c>
    </row>
    <row r="942" spans="1:18" hidden="1">
      <c r="A942" t="s">
        <v>1901</v>
      </c>
      <c r="B942" t="s">
        <v>1902</v>
      </c>
      <c r="I942" s="3" t="str">
        <f>+IFERROR(VLOOKUP(C942,'Mov 2023 hasta ahora '!$C$2:$D$314,2,FALSE),"NO")</f>
        <v>NO</v>
      </c>
      <c r="K942">
        <v>3</v>
      </c>
      <c r="L942" t="s">
        <v>836</v>
      </c>
      <c r="M942">
        <v>10</v>
      </c>
    </row>
    <row r="943" spans="1:18" hidden="1">
      <c r="A943" t="s">
        <v>1903</v>
      </c>
      <c r="B943" t="s">
        <v>1904</v>
      </c>
      <c r="I943" s="3" t="str">
        <f>+IFERROR(VLOOKUP(C943,'Mov 2023 hasta ahora '!$C$2:$D$314,2,FALSE),"NO")</f>
        <v>NO</v>
      </c>
      <c r="K943">
        <v>4</v>
      </c>
      <c r="L943" t="s">
        <v>836</v>
      </c>
      <c r="M943">
        <v>14</v>
      </c>
    </row>
    <row r="944" spans="1:18" hidden="1">
      <c r="A944" t="s">
        <v>1905</v>
      </c>
      <c r="B944" t="s">
        <v>1906</v>
      </c>
      <c r="I944" s="3" t="str">
        <f>+IFERROR(VLOOKUP(C944,'Mov 2023 hasta ahora '!$C$2:$D$314,2,FALSE),"NO")</f>
        <v>NO</v>
      </c>
      <c r="K944">
        <v>5</v>
      </c>
      <c r="L944" t="s">
        <v>836</v>
      </c>
      <c r="M944">
        <v>18</v>
      </c>
    </row>
    <row r="945" spans="1:18" hidden="1">
      <c r="A945" s="23" t="s">
        <v>1907</v>
      </c>
      <c r="B945" s="23" t="s">
        <v>1908</v>
      </c>
      <c r="C945" s="23">
        <v>3861</v>
      </c>
      <c r="D945" t="s">
        <v>436</v>
      </c>
      <c r="I945" s="3">
        <f>+IFERROR(VLOOKUP(C945,'Mov 2023 hasta ahora '!$C$2:$D$314,2,FALSE),"NO")</f>
        <v>7</v>
      </c>
      <c r="K945">
        <v>6</v>
      </c>
      <c r="L945" t="s">
        <v>836</v>
      </c>
      <c r="M945">
        <v>24</v>
      </c>
      <c r="O945" s="29" t="s">
        <v>8679</v>
      </c>
      <c r="P945" s="25" t="s">
        <v>8677</v>
      </c>
      <c r="Q945" s="25">
        <v>2450</v>
      </c>
      <c r="R945" t="s">
        <v>436</v>
      </c>
    </row>
    <row r="946" spans="1:18" hidden="1">
      <c r="A946" t="s">
        <v>1909</v>
      </c>
      <c r="B946" t="s">
        <v>1910</v>
      </c>
      <c r="I946" s="3" t="str">
        <f>+IFERROR(VLOOKUP(C946,'Mov 2023 hasta ahora '!$C$2:$D$314,2,FALSE),"NO")</f>
        <v>NO</v>
      </c>
      <c r="K946">
        <v>3</v>
      </c>
      <c r="L946" t="s">
        <v>836</v>
      </c>
      <c r="M946">
        <v>10</v>
      </c>
    </row>
    <row r="947" spans="1:18" hidden="1">
      <c r="A947" s="23" t="s">
        <v>1911</v>
      </c>
      <c r="B947" s="23" t="s">
        <v>1912</v>
      </c>
      <c r="C947" s="23">
        <v>3841</v>
      </c>
      <c r="D947" t="s">
        <v>436</v>
      </c>
      <c r="I947" s="3">
        <f>+IFERROR(VLOOKUP(C947,'Mov 2023 hasta ahora '!$C$2:$D$314,2,FALSE),"NO")</f>
        <v>35</v>
      </c>
      <c r="J947" t="s">
        <v>8738</v>
      </c>
      <c r="L947" t="s">
        <v>836</v>
      </c>
      <c r="M947">
        <v>12</v>
      </c>
      <c r="O947" s="25" t="s">
        <v>8737</v>
      </c>
      <c r="P947" s="25" t="s">
        <v>1912</v>
      </c>
      <c r="Q947" s="25">
        <v>3841</v>
      </c>
      <c r="R947" t="s">
        <v>436</v>
      </c>
    </row>
    <row r="948" spans="1:18" hidden="1">
      <c r="A948" s="23" t="s">
        <v>1913</v>
      </c>
      <c r="B948" s="23" t="s">
        <v>1914</v>
      </c>
      <c r="C948" s="23">
        <v>3835</v>
      </c>
      <c r="D948" t="s">
        <v>436</v>
      </c>
      <c r="I948" s="3">
        <f>+IFERROR(VLOOKUP(C948,'Mov 2023 hasta ahora '!$C$2:$D$314,2,FALSE),"NO")</f>
        <v>56</v>
      </c>
      <c r="K948">
        <v>4</v>
      </c>
      <c r="L948" t="s">
        <v>836</v>
      </c>
      <c r="M948">
        <v>14</v>
      </c>
      <c r="O948" s="29" t="s">
        <v>8679</v>
      </c>
      <c r="P948" s="25" t="s">
        <v>8677</v>
      </c>
      <c r="Q948" s="25">
        <v>2450</v>
      </c>
      <c r="R948" t="s">
        <v>436</v>
      </c>
    </row>
    <row r="949" spans="1:18" hidden="1">
      <c r="A949" t="s">
        <v>1915</v>
      </c>
      <c r="B949" t="s">
        <v>1916</v>
      </c>
      <c r="I949" s="3" t="str">
        <f>+IFERROR(VLOOKUP(C949,'Mov 2023 hasta ahora '!$C$2:$D$314,2,FALSE),"NO")</f>
        <v>NO</v>
      </c>
      <c r="K949">
        <v>4</v>
      </c>
      <c r="L949" t="s">
        <v>836</v>
      </c>
      <c r="M949">
        <v>14</v>
      </c>
    </row>
    <row r="950" spans="1:18" hidden="1">
      <c r="A950" t="s">
        <v>1917</v>
      </c>
      <c r="B950" t="s">
        <v>1918</v>
      </c>
      <c r="I950" s="3" t="str">
        <f>+IFERROR(VLOOKUP(C950,'Mov 2023 hasta ahora '!$C$2:$D$314,2,FALSE),"NO")</f>
        <v>NO</v>
      </c>
      <c r="K950">
        <v>5</v>
      </c>
      <c r="L950" t="s">
        <v>836</v>
      </c>
      <c r="M950">
        <v>18</v>
      </c>
    </row>
    <row r="951" spans="1:18" hidden="1">
      <c r="A951" t="s">
        <v>1919</v>
      </c>
      <c r="B951" t="s">
        <v>1920</v>
      </c>
      <c r="I951" s="3" t="str">
        <f>+IFERROR(VLOOKUP(C951,'Mov 2023 hasta ahora '!$C$2:$D$314,2,FALSE),"NO")</f>
        <v>NO</v>
      </c>
      <c r="K951">
        <v>6</v>
      </c>
      <c r="L951" t="s">
        <v>836</v>
      </c>
      <c r="M951">
        <v>24</v>
      </c>
    </row>
    <row r="952" spans="1:18" hidden="1">
      <c r="A952" s="23" t="s">
        <v>1921</v>
      </c>
      <c r="B952" s="23" t="s">
        <v>1922</v>
      </c>
      <c r="C952" s="23">
        <v>3836</v>
      </c>
      <c r="D952" t="s">
        <v>436</v>
      </c>
      <c r="I952" s="3">
        <f>+IFERROR(VLOOKUP(C952,'Mov 2023 hasta ahora '!$C$2:$D$314,2,FALSE),"NO")</f>
        <v>65</v>
      </c>
      <c r="L952" t="s">
        <v>836</v>
      </c>
      <c r="M952">
        <v>12</v>
      </c>
      <c r="O952" s="29" t="s">
        <v>8679</v>
      </c>
      <c r="P952" s="25" t="s">
        <v>8677</v>
      </c>
      <c r="Q952" s="25">
        <v>2450</v>
      </c>
      <c r="R952" t="s">
        <v>436</v>
      </c>
    </row>
    <row r="953" spans="1:18" hidden="1">
      <c r="A953" s="23" t="s">
        <v>1923</v>
      </c>
      <c r="B953" s="23" t="s">
        <v>1924</v>
      </c>
      <c r="C953" s="23">
        <v>3837</v>
      </c>
      <c r="D953" t="s">
        <v>436</v>
      </c>
      <c r="I953" s="3" t="str">
        <f>+IFERROR(VLOOKUP(C953,'Mov 2023 hasta ahora '!$C$2:$D$314,2,FALSE),"NO")</f>
        <v>NO</v>
      </c>
      <c r="K953">
        <v>4</v>
      </c>
      <c r="L953" t="s">
        <v>836</v>
      </c>
      <c r="M953">
        <v>14</v>
      </c>
      <c r="O953" s="29" t="s">
        <v>8679</v>
      </c>
      <c r="P953" s="25" t="s">
        <v>8677</v>
      </c>
      <c r="Q953" s="25">
        <v>2450</v>
      </c>
      <c r="R953" t="s">
        <v>436</v>
      </c>
    </row>
    <row r="954" spans="1:18" hidden="1">
      <c r="A954" s="23" t="s">
        <v>1925</v>
      </c>
      <c r="B954" s="23" t="s">
        <v>1926</v>
      </c>
      <c r="C954" s="23">
        <v>3809</v>
      </c>
      <c r="D954" t="s">
        <v>436</v>
      </c>
      <c r="I954" s="3" t="str">
        <f>+IFERROR(VLOOKUP(C954,'Mov 2023 hasta ahora '!$C$2:$D$314,2,FALSE),"NO")</f>
        <v>NO</v>
      </c>
      <c r="L954" t="s">
        <v>836</v>
      </c>
      <c r="M954">
        <v>12</v>
      </c>
      <c r="O954" s="29" t="s">
        <v>8679</v>
      </c>
      <c r="P954" s="25" t="s">
        <v>8677</v>
      </c>
      <c r="Q954" s="25">
        <v>2450</v>
      </c>
      <c r="R954" t="s">
        <v>436</v>
      </c>
    </row>
    <row r="955" spans="1:18" hidden="1">
      <c r="A955" s="23" t="s">
        <v>1927</v>
      </c>
      <c r="B955" s="23" t="s">
        <v>1928</v>
      </c>
      <c r="C955" s="23">
        <v>3842</v>
      </c>
      <c r="D955" t="s">
        <v>436</v>
      </c>
      <c r="I955" s="3" t="str">
        <f>+IFERROR(VLOOKUP(C955,'Mov 2023 hasta ahora '!$C$2:$D$314,2,FALSE),"NO")</f>
        <v>NO</v>
      </c>
      <c r="K955">
        <v>4</v>
      </c>
      <c r="L955" t="s">
        <v>836</v>
      </c>
      <c r="M955">
        <v>14</v>
      </c>
      <c r="O955" s="29" t="s">
        <v>8679</v>
      </c>
      <c r="P955" s="25" t="s">
        <v>8677</v>
      </c>
      <c r="Q955" s="25">
        <v>2450</v>
      </c>
      <c r="R955" t="s">
        <v>436</v>
      </c>
    </row>
    <row r="956" spans="1:18" hidden="1">
      <c r="A956" t="s">
        <v>1929</v>
      </c>
      <c r="B956" t="s">
        <v>1930</v>
      </c>
      <c r="D956" t="s">
        <v>436</v>
      </c>
      <c r="I956" s="3" t="str">
        <f>+IFERROR(VLOOKUP(C956,'Mov 2023 hasta ahora '!$C$2:$D$314,2,FALSE),"NO")</f>
        <v>NO</v>
      </c>
      <c r="L956" t="s">
        <v>836</v>
      </c>
      <c r="M956">
        <v>12</v>
      </c>
    </row>
    <row r="957" spans="1:18" hidden="1">
      <c r="A957" s="23" t="s">
        <v>1931</v>
      </c>
      <c r="B957" s="23" t="s">
        <v>1932</v>
      </c>
      <c r="C957" s="23">
        <v>3813</v>
      </c>
      <c r="D957" t="s">
        <v>436</v>
      </c>
      <c r="I957" s="3" t="str">
        <f>+IFERROR(VLOOKUP(C957,'Mov 2023 hasta ahora '!$C$2:$D$314,2,FALSE),"NO")</f>
        <v>NO</v>
      </c>
      <c r="K957">
        <v>4</v>
      </c>
      <c r="L957" t="s">
        <v>836</v>
      </c>
      <c r="M957">
        <v>14</v>
      </c>
      <c r="O957" s="29" t="s">
        <v>8679</v>
      </c>
      <c r="P957" s="25" t="s">
        <v>8677</v>
      </c>
      <c r="Q957" s="25">
        <v>2450</v>
      </c>
      <c r="R957" t="s">
        <v>436</v>
      </c>
    </row>
    <row r="958" spans="1:18" hidden="1">
      <c r="A958" s="23" t="s">
        <v>1933</v>
      </c>
      <c r="B958" s="23" t="s">
        <v>1934</v>
      </c>
      <c r="C958" s="23">
        <v>3818</v>
      </c>
      <c r="D958" t="s">
        <v>436</v>
      </c>
      <c r="I958" s="3">
        <f>+IFERROR(VLOOKUP(C958,'Mov 2023 hasta ahora '!$C$2:$D$314,2,FALSE),"NO")</f>
        <v>11</v>
      </c>
      <c r="L958" t="s">
        <v>836</v>
      </c>
      <c r="M958">
        <v>12</v>
      </c>
      <c r="O958" s="29" t="s">
        <v>8679</v>
      </c>
      <c r="P958" s="25" t="s">
        <v>8677</v>
      </c>
      <c r="Q958" s="25">
        <v>2450</v>
      </c>
      <c r="R958" t="s">
        <v>436</v>
      </c>
    </row>
    <row r="959" spans="1:18" hidden="1">
      <c r="A959" s="23" t="s">
        <v>1935</v>
      </c>
      <c r="B959" s="23" t="s">
        <v>1936</v>
      </c>
      <c r="C959" s="23">
        <v>3824</v>
      </c>
      <c r="D959" t="s">
        <v>436</v>
      </c>
      <c r="I959" s="3" t="str">
        <f>+IFERROR(VLOOKUP(C959,'Mov 2023 hasta ahora '!$C$2:$D$314,2,FALSE),"NO")</f>
        <v>NO</v>
      </c>
      <c r="L959" t="s">
        <v>836</v>
      </c>
      <c r="M959">
        <v>12</v>
      </c>
      <c r="O959" s="29" t="s">
        <v>8679</v>
      </c>
      <c r="P959" s="25" t="s">
        <v>8677</v>
      </c>
      <c r="Q959" s="25">
        <v>2450</v>
      </c>
      <c r="R959" t="s">
        <v>436</v>
      </c>
    </row>
    <row r="960" spans="1:18" hidden="1">
      <c r="A960" s="23" t="s">
        <v>1937</v>
      </c>
      <c r="B960" s="23" t="s">
        <v>1938</v>
      </c>
      <c r="C960" s="23">
        <v>3826</v>
      </c>
      <c r="D960" t="s">
        <v>436</v>
      </c>
      <c r="I960" s="3">
        <f>+IFERROR(VLOOKUP(C960,'Mov 2023 hasta ahora '!$C$2:$D$314,2,FALSE),"NO")</f>
        <v>3</v>
      </c>
      <c r="L960" t="s">
        <v>836</v>
      </c>
      <c r="M960">
        <v>12</v>
      </c>
      <c r="O960" s="29" t="s">
        <v>8679</v>
      </c>
      <c r="P960" s="25" t="s">
        <v>8677</v>
      </c>
      <c r="Q960" s="25">
        <v>2450</v>
      </c>
      <c r="R960" t="s">
        <v>436</v>
      </c>
    </row>
    <row r="961" spans="1:18" hidden="1">
      <c r="A961" s="23" t="s">
        <v>1939</v>
      </c>
      <c r="B961" s="23" t="s">
        <v>1940</v>
      </c>
      <c r="C961" s="23">
        <v>3829</v>
      </c>
      <c r="D961" t="s">
        <v>436</v>
      </c>
      <c r="I961" s="3" t="str">
        <f>+IFERROR(VLOOKUP(C961,'Mov 2023 hasta ahora '!$C$2:$D$314,2,FALSE),"NO")</f>
        <v>NO</v>
      </c>
      <c r="L961" t="s">
        <v>836</v>
      </c>
      <c r="M961">
        <v>12</v>
      </c>
      <c r="O961" s="29" t="s">
        <v>8679</v>
      </c>
      <c r="P961" s="25" t="s">
        <v>8677</v>
      </c>
      <c r="Q961" s="25">
        <v>2450</v>
      </c>
      <c r="R961" t="s">
        <v>436</v>
      </c>
    </row>
    <row r="962" spans="1:18" hidden="1">
      <c r="A962" s="23" t="s">
        <v>1941</v>
      </c>
      <c r="B962" s="23" t="s">
        <v>1942</v>
      </c>
      <c r="C962" s="23">
        <v>3830</v>
      </c>
      <c r="D962" t="s">
        <v>436</v>
      </c>
      <c r="I962" s="3">
        <f>+IFERROR(VLOOKUP(C962,'Mov 2023 hasta ahora '!$C$2:$D$314,2,FALSE),"NO")</f>
        <v>35</v>
      </c>
      <c r="L962" t="s">
        <v>836</v>
      </c>
      <c r="M962">
        <v>12</v>
      </c>
      <c r="O962" s="29" t="s">
        <v>8679</v>
      </c>
      <c r="P962" s="25" t="s">
        <v>8677</v>
      </c>
      <c r="Q962" s="25">
        <v>2450</v>
      </c>
      <c r="R962" t="s">
        <v>436</v>
      </c>
    </row>
    <row r="963" spans="1:18" hidden="1">
      <c r="A963" t="s">
        <v>1943</v>
      </c>
      <c r="B963" t="s">
        <v>1894</v>
      </c>
      <c r="I963" s="3" t="str">
        <f>+IFERROR(VLOOKUP(C963,'Mov 2023 hasta ahora '!$C$2:$D$314,2,FALSE),"NO")</f>
        <v>NO</v>
      </c>
      <c r="K963">
        <v>3</v>
      </c>
      <c r="L963" t="s">
        <v>836</v>
      </c>
      <c r="M963">
        <v>10</v>
      </c>
    </row>
    <row r="964" spans="1:18" hidden="1">
      <c r="A964" t="s">
        <v>1944</v>
      </c>
      <c r="B964" t="s">
        <v>1896</v>
      </c>
      <c r="I964" s="3" t="str">
        <f>+IFERROR(VLOOKUP(C964,'Mov 2023 hasta ahora '!$C$2:$D$314,2,FALSE),"NO")</f>
        <v>NO</v>
      </c>
      <c r="K964">
        <v>4</v>
      </c>
      <c r="L964" t="s">
        <v>836</v>
      </c>
      <c r="M964">
        <v>14</v>
      </c>
    </row>
    <row r="965" spans="1:18" hidden="1">
      <c r="A965" t="s">
        <v>1945</v>
      </c>
      <c r="B965" t="s">
        <v>1898</v>
      </c>
      <c r="I965" s="3" t="str">
        <f>+IFERROR(VLOOKUP(C965,'Mov 2023 hasta ahora '!$C$2:$D$314,2,FALSE),"NO")</f>
        <v>NO</v>
      </c>
      <c r="K965">
        <v>5</v>
      </c>
      <c r="L965" t="s">
        <v>836</v>
      </c>
      <c r="M965">
        <v>18</v>
      </c>
    </row>
    <row r="966" spans="1:18" hidden="1">
      <c r="A966" s="23" t="s">
        <v>1946</v>
      </c>
      <c r="B966" s="23" t="s">
        <v>1947</v>
      </c>
      <c r="C966" s="23">
        <v>3881</v>
      </c>
      <c r="D966" t="s">
        <v>436</v>
      </c>
      <c r="I966" s="3">
        <f>+IFERROR(VLOOKUP(C966,'Mov 2023 hasta ahora '!$C$2:$D$314,2,FALSE),"NO")</f>
        <v>5</v>
      </c>
      <c r="K966">
        <v>6</v>
      </c>
      <c r="L966" t="s">
        <v>836</v>
      </c>
      <c r="M966">
        <v>24</v>
      </c>
      <c r="O966" s="29" t="s">
        <v>8698</v>
      </c>
      <c r="P966" s="25" t="s">
        <v>8692</v>
      </c>
      <c r="Q966" s="25">
        <v>3881</v>
      </c>
      <c r="R966" t="s">
        <v>436</v>
      </c>
    </row>
    <row r="967" spans="1:18" hidden="1">
      <c r="A967" s="23" t="s">
        <v>1948</v>
      </c>
      <c r="B967" s="23" t="s">
        <v>1949</v>
      </c>
      <c r="C967" s="23">
        <v>3871</v>
      </c>
      <c r="D967" t="s">
        <v>436</v>
      </c>
      <c r="I967" s="3">
        <f>+IFERROR(VLOOKUP(C967,'Mov 2023 hasta ahora '!$C$2:$D$314,2,FALSE),"NO")</f>
        <v>10</v>
      </c>
      <c r="K967">
        <v>6</v>
      </c>
      <c r="L967" t="s">
        <v>836</v>
      </c>
      <c r="M967">
        <v>24</v>
      </c>
      <c r="O967" s="29" t="s">
        <v>8679</v>
      </c>
      <c r="P967" s="25" t="s">
        <v>8677</v>
      </c>
      <c r="Q967" s="25">
        <v>2450</v>
      </c>
      <c r="R967" t="s">
        <v>436</v>
      </c>
    </row>
    <row r="968" spans="1:18" hidden="1">
      <c r="A968" t="s">
        <v>1950</v>
      </c>
      <c r="B968" t="s">
        <v>1951</v>
      </c>
      <c r="I968" s="3" t="str">
        <f>+IFERROR(VLOOKUP(C968,'Mov 2023 hasta ahora '!$C$2:$D$314,2,FALSE),"NO")</f>
        <v>NO</v>
      </c>
      <c r="K968">
        <v>3</v>
      </c>
      <c r="L968" t="s">
        <v>836</v>
      </c>
      <c r="M968">
        <v>10</v>
      </c>
    </row>
    <row r="969" spans="1:18" hidden="1">
      <c r="A969" t="s">
        <v>1952</v>
      </c>
      <c r="B969" t="s">
        <v>1953</v>
      </c>
      <c r="I969" s="3" t="str">
        <f>+IFERROR(VLOOKUP(C969,'Mov 2023 hasta ahora '!$C$2:$D$314,2,FALSE),"NO")</f>
        <v>NO</v>
      </c>
      <c r="K969">
        <v>4</v>
      </c>
      <c r="L969" t="s">
        <v>836</v>
      </c>
      <c r="M969">
        <v>14</v>
      </c>
    </row>
    <row r="970" spans="1:18" hidden="1">
      <c r="A970" t="s">
        <v>1954</v>
      </c>
      <c r="B970" t="s">
        <v>1955</v>
      </c>
      <c r="I970" s="3" t="str">
        <f>+IFERROR(VLOOKUP(C970,'Mov 2023 hasta ahora '!$C$2:$D$314,2,FALSE),"NO")</f>
        <v>NO</v>
      </c>
      <c r="K970">
        <v>5</v>
      </c>
      <c r="L970" t="s">
        <v>836</v>
      </c>
      <c r="M970">
        <v>18</v>
      </c>
    </row>
    <row r="971" spans="1:18" hidden="1">
      <c r="A971" s="23" t="s">
        <v>1956</v>
      </c>
      <c r="B971" s="23" t="s">
        <v>1957</v>
      </c>
      <c r="C971" s="23">
        <v>3873</v>
      </c>
      <c r="D971" t="s">
        <v>436</v>
      </c>
      <c r="I971" s="3">
        <f>+IFERROR(VLOOKUP(C971,'Mov 2023 hasta ahora '!$C$2:$D$314,2,FALSE),"NO")</f>
        <v>6</v>
      </c>
      <c r="K971">
        <v>6</v>
      </c>
      <c r="L971" t="s">
        <v>836</v>
      </c>
      <c r="M971">
        <v>24</v>
      </c>
      <c r="O971" s="29" t="s">
        <v>8679</v>
      </c>
      <c r="P971" s="25" t="s">
        <v>8677</v>
      </c>
      <c r="Q971" s="25">
        <v>2450</v>
      </c>
      <c r="R971" t="s">
        <v>436</v>
      </c>
    </row>
    <row r="972" spans="1:18" hidden="1">
      <c r="A972" t="s">
        <v>1958</v>
      </c>
      <c r="B972" t="s">
        <v>1894</v>
      </c>
      <c r="I972" s="3" t="str">
        <f>+IFERROR(VLOOKUP(C972,'Mov 2023 hasta ahora '!$C$2:$D$314,2,FALSE),"NO")</f>
        <v>NO</v>
      </c>
      <c r="K972">
        <v>3</v>
      </c>
      <c r="L972" t="s">
        <v>836</v>
      </c>
      <c r="M972">
        <v>10</v>
      </c>
    </row>
    <row r="973" spans="1:18" hidden="1">
      <c r="A973" t="s">
        <v>1959</v>
      </c>
      <c r="B973" t="s">
        <v>1896</v>
      </c>
      <c r="I973" s="3" t="str">
        <f>+IFERROR(VLOOKUP(C973,'Mov 2023 hasta ahora '!$C$2:$D$314,2,FALSE),"NO")</f>
        <v>NO</v>
      </c>
      <c r="K973">
        <v>4</v>
      </c>
      <c r="L973" t="s">
        <v>836</v>
      </c>
      <c r="M973">
        <v>14</v>
      </c>
    </row>
    <row r="974" spans="1:18" hidden="1">
      <c r="A974" t="s">
        <v>1960</v>
      </c>
      <c r="B974" t="s">
        <v>1898</v>
      </c>
      <c r="I974" s="3" t="str">
        <f>+IFERROR(VLOOKUP(C974,'Mov 2023 hasta ahora '!$C$2:$D$314,2,FALSE),"NO")</f>
        <v>NO</v>
      </c>
      <c r="K974">
        <v>5</v>
      </c>
      <c r="L974" t="s">
        <v>836</v>
      </c>
      <c r="M974">
        <v>18</v>
      </c>
    </row>
    <row r="975" spans="1:18" hidden="1">
      <c r="A975" s="23" t="s">
        <v>1961</v>
      </c>
      <c r="B975" s="23" t="s">
        <v>1962</v>
      </c>
      <c r="C975" s="23">
        <v>3880</v>
      </c>
      <c r="D975" t="s">
        <v>436</v>
      </c>
      <c r="I975" s="3">
        <f>+IFERROR(VLOOKUP(C975,'Mov 2023 hasta ahora '!$C$2:$D$314,2,FALSE),"NO")</f>
        <v>8</v>
      </c>
      <c r="K975">
        <v>6</v>
      </c>
      <c r="L975" t="s">
        <v>836</v>
      </c>
      <c r="M975">
        <v>24</v>
      </c>
      <c r="O975" s="29" t="s">
        <v>8679</v>
      </c>
      <c r="P975" s="25" t="s">
        <v>8677</v>
      </c>
      <c r="Q975" s="25">
        <v>2450</v>
      </c>
      <c r="R975" t="s">
        <v>436</v>
      </c>
    </row>
    <row r="976" spans="1:18" hidden="1">
      <c r="A976">
        <v>4.21</v>
      </c>
      <c r="B976" t="s">
        <v>456</v>
      </c>
      <c r="I976" s="3" t="str">
        <f>+IFERROR(VLOOKUP(C976,'Mov 2023 hasta ahora '!$C$2:$D$314,2,FALSE),"NO")</f>
        <v>NO</v>
      </c>
      <c r="K976">
        <v>2</v>
      </c>
      <c r="L976" t="s">
        <v>836</v>
      </c>
      <c r="M976">
        <v>4</v>
      </c>
    </row>
    <row r="977" spans="1:18" hidden="1">
      <c r="A977" t="s">
        <v>1963</v>
      </c>
      <c r="B977" t="s">
        <v>1964</v>
      </c>
      <c r="I977" s="3" t="str">
        <f>+IFERROR(VLOOKUP(C977,'Mov 2023 hasta ahora '!$C$2:$D$314,2,FALSE),"NO")</f>
        <v>NO</v>
      </c>
      <c r="K977">
        <v>3</v>
      </c>
      <c r="L977" t="s">
        <v>836</v>
      </c>
      <c r="M977">
        <v>10</v>
      </c>
    </row>
    <row r="978" spans="1:18" hidden="1">
      <c r="A978" t="s">
        <v>1965</v>
      </c>
      <c r="B978" t="s">
        <v>1966</v>
      </c>
      <c r="I978" s="3" t="str">
        <f>+IFERROR(VLOOKUP(C978,'Mov 2023 hasta ahora '!$C$2:$D$314,2,FALSE),"NO")</f>
        <v>NO</v>
      </c>
      <c r="K978">
        <v>4</v>
      </c>
      <c r="L978" t="s">
        <v>836</v>
      </c>
      <c r="M978">
        <v>14</v>
      </c>
    </row>
    <row r="979" spans="1:18" hidden="1">
      <c r="A979" t="s">
        <v>1967</v>
      </c>
      <c r="B979" t="s">
        <v>1968</v>
      </c>
      <c r="I979" s="3" t="str">
        <f>+IFERROR(VLOOKUP(C979,'Mov 2023 hasta ahora '!$C$2:$D$314,2,FALSE),"NO")</f>
        <v>NO</v>
      </c>
      <c r="K979">
        <v>5</v>
      </c>
      <c r="L979" t="s">
        <v>836</v>
      </c>
      <c r="M979">
        <v>18</v>
      </c>
    </row>
    <row r="980" spans="1:18" hidden="1">
      <c r="A980" s="23" t="s">
        <v>1969</v>
      </c>
      <c r="B980" s="23" t="s">
        <v>1970</v>
      </c>
      <c r="C980" s="23">
        <v>1564</v>
      </c>
      <c r="D980" t="s">
        <v>436</v>
      </c>
      <c r="I980" s="3">
        <f>+IFERROR(VLOOKUP(C980,'Mov 2023 hasta ahora '!$C$2:$D$314,2,FALSE),"NO")</f>
        <v>1</v>
      </c>
      <c r="K980">
        <v>6</v>
      </c>
      <c r="L980" t="s">
        <v>836</v>
      </c>
      <c r="M980">
        <v>24</v>
      </c>
      <c r="O980" s="25" t="s">
        <v>8707</v>
      </c>
      <c r="P980" s="25" t="s">
        <v>8706</v>
      </c>
      <c r="Q980" s="25">
        <v>1564</v>
      </c>
      <c r="R980" t="s">
        <v>436</v>
      </c>
    </row>
    <row r="981" spans="1:18" hidden="1">
      <c r="A981" t="s">
        <v>1971</v>
      </c>
      <c r="B981" t="s">
        <v>1972</v>
      </c>
      <c r="I981" s="3" t="str">
        <f>+IFERROR(VLOOKUP(C981,'Mov 2023 hasta ahora '!$C$2:$D$314,2,FALSE),"NO")</f>
        <v>NO</v>
      </c>
      <c r="K981">
        <v>4</v>
      </c>
      <c r="L981" t="s">
        <v>836</v>
      </c>
      <c r="M981">
        <v>14</v>
      </c>
    </row>
    <row r="982" spans="1:18" hidden="1">
      <c r="A982" t="s">
        <v>1973</v>
      </c>
      <c r="B982" t="s">
        <v>1974</v>
      </c>
      <c r="I982" s="3" t="str">
        <f>+IFERROR(VLOOKUP(C982,'Mov 2023 hasta ahora '!$C$2:$D$314,2,FALSE),"NO")</f>
        <v>NO</v>
      </c>
      <c r="K982">
        <v>5</v>
      </c>
      <c r="L982" t="s">
        <v>836</v>
      </c>
      <c r="M982">
        <v>18</v>
      </c>
    </row>
    <row r="983" spans="1:18" hidden="1">
      <c r="A983" s="23" t="s">
        <v>1975</v>
      </c>
      <c r="B983" s="23" t="s">
        <v>1976</v>
      </c>
      <c r="C983" s="23">
        <v>1920</v>
      </c>
      <c r="I983" s="3" t="str">
        <f>+IFERROR(VLOOKUP(C983,'Mov 2023 hasta ahora '!$C$2:$D$314,2,FALSE),"NO")</f>
        <v>NO</v>
      </c>
      <c r="K983">
        <v>6</v>
      </c>
      <c r="L983" t="s">
        <v>836</v>
      </c>
      <c r="M983">
        <v>24</v>
      </c>
      <c r="O983" s="29" t="s">
        <v>8844</v>
      </c>
      <c r="P983" s="25" t="s">
        <v>8699</v>
      </c>
      <c r="Q983" s="25">
        <v>1814</v>
      </c>
      <c r="R983" t="s">
        <v>436</v>
      </c>
    </row>
    <row r="984" spans="1:18" hidden="1">
      <c r="A984" s="23" t="s">
        <v>1977</v>
      </c>
      <c r="B984" s="23" t="s">
        <v>1978</v>
      </c>
      <c r="C984" s="23">
        <v>1568</v>
      </c>
      <c r="D984" t="s">
        <v>436</v>
      </c>
      <c r="I984" s="3">
        <f>+IFERROR(VLOOKUP(C984,'Mov 2023 hasta ahora '!$C$2:$D$314,2,FALSE),"NO")</f>
        <v>125</v>
      </c>
      <c r="K984">
        <v>6</v>
      </c>
      <c r="L984" t="s">
        <v>836</v>
      </c>
      <c r="M984">
        <v>24</v>
      </c>
      <c r="O984" s="25" t="s">
        <v>8736</v>
      </c>
      <c r="P984" s="25" t="s">
        <v>8735</v>
      </c>
      <c r="Q984" s="25">
        <v>1568</v>
      </c>
      <c r="R984" t="s">
        <v>436</v>
      </c>
    </row>
    <row r="985" spans="1:18" hidden="1">
      <c r="A985" t="s">
        <v>1979</v>
      </c>
      <c r="B985" t="s">
        <v>1980</v>
      </c>
      <c r="I985" s="3" t="str">
        <f>+IFERROR(VLOOKUP(C985,'Mov 2023 hasta ahora '!$C$2:$D$314,2,FALSE),"NO")</f>
        <v>NO</v>
      </c>
      <c r="K985">
        <v>3</v>
      </c>
      <c r="L985" t="s">
        <v>836</v>
      </c>
      <c r="M985">
        <v>10</v>
      </c>
    </row>
    <row r="986" spans="1:18" hidden="1">
      <c r="A986" t="s">
        <v>1981</v>
      </c>
      <c r="B986" t="s">
        <v>1982</v>
      </c>
      <c r="I986" s="3" t="str">
        <f>+IFERROR(VLOOKUP(C986,'Mov 2023 hasta ahora '!$C$2:$D$314,2,FALSE),"NO")</f>
        <v>NO</v>
      </c>
      <c r="K986">
        <v>4</v>
      </c>
      <c r="L986" t="s">
        <v>836</v>
      </c>
      <c r="M986">
        <v>14</v>
      </c>
    </row>
    <row r="987" spans="1:18" hidden="1">
      <c r="A987" t="s">
        <v>1983</v>
      </c>
      <c r="B987" t="s">
        <v>1984</v>
      </c>
      <c r="I987" s="3" t="str">
        <f>+IFERROR(VLOOKUP(C987,'Mov 2023 hasta ahora '!$C$2:$D$314,2,FALSE),"NO")</f>
        <v>NO</v>
      </c>
      <c r="K987">
        <v>5</v>
      </c>
      <c r="L987" t="s">
        <v>836</v>
      </c>
      <c r="M987">
        <v>18</v>
      </c>
    </row>
    <row r="988" spans="1:18" hidden="1">
      <c r="A988" s="23" t="s">
        <v>1985</v>
      </c>
      <c r="B988" s="23" t="s">
        <v>1986</v>
      </c>
      <c r="C988" s="23">
        <v>1565</v>
      </c>
      <c r="D988" t="s">
        <v>436</v>
      </c>
      <c r="I988" s="3" t="str">
        <f>+IFERROR(VLOOKUP(C988,'Mov 2023 hasta ahora '!$C$2:$D$314,2,FALSE),"NO")</f>
        <v>NO</v>
      </c>
      <c r="K988">
        <v>6</v>
      </c>
      <c r="L988" t="s">
        <v>836</v>
      </c>
      <c r="M988">
        <v>24</v>
      </c>
      <c r="O988" s="29" t="s">
        <v>8707</v>
      </c>
      <c r="P988" s="25" t="s">
        <v>8706</v>
      </c>
      <c r="Q988" s="25">
        <v>1564</v>
      </c>
      <c r="R988" t="s">
        <v>436</v>
      </c>
    </row>
    <row r="989" spans="1:18" hidden="1">
      <c r="A989" t="s">
        <v>1987</v>
      </c>
      <c r="B989" t="s">
        <v>1988</v>
      </c>
      <c r="I989" s="3" t="str">
        <f>+IFERROR(VLOOKUP(C989,'Mov 2023 hasta ahora '!$C$2:$D$314,2,FALSE),"NO")</f>
        <v>NO</v>
      </c>
      <c r="K989">
        <v>4</v>
      </c>
      <c r="L989" t="s">
        <v>836</v>
      </c>
      <c r="M989">
        <v>14</v>
      </c>
    </row>
    <row r="990" spans="1:18" hidden="1">
      <c r="A990" t="s">
        <v>1989</v>
      </c>
      <c r="B990" t="s">
        <v>1990</v>
      </c>
      <c r="I990" s="3" t="str">
        <f>+IFERROR(VLOOKUP(C990,'Mov 2023 hasta ahora '!$C$2:$D$314,2,FALSE),"NO")</f>
        <v>NO</v>
      </c>
      <c r="K990">
        <v>5</v>
      </c>
      <c r="L990" t="s">
        <v>836</v>
      </c>
      <c r="M990">
        <v>18</v>
      </c>
    </row>
    <row r="991" spans="1:18" hidden="1">
      <c r="A991" s="23" t="s">
        <v>1991</v>
      </c>
      <c r="B991" s="23" t="s">
        <v>1992</v>
      </c>
      <c r="C991" s="23">
        <v>1921</v>
      </c>
      <c r="I991" s="3" t="str">
        <f>+IFERROR(VLOOKUP(C991,'Mov 2023 hasta ahora '!$C$2:$D$314,2,FALSE),"NO")</f>
        <v>NO</v>
      </c>
      <c r="K991">
        <v>6</v>
      </c>
      <c r="L991" t="s">
        <v>836</v>
      </c>
      <c r="M991">
        <v>24</v>
      </c>
      <c r="O991" s="29" t="s">
        <v>8844</v>
      </c>
      <c r="P991" s="25" t="s">
        <v>8699</v>
      </c>
      <c r="Q991" s="25">
        <v>1814</v>
      </c>
      <c r="R991" t="s">
        <v>436</v>
      </c>
    </row>
    <row r="992" spans="1:18" hidden="1">
      <c r="A992" s="23" t="s">
        <v>1993</v>
      </c>
      <c r="B992" s="23" t="s">
        <v>1994</v>
      </c>
      <c r="C992" s="23">
        <v>1569</v>
      </c>
      <c r="D992" t="s">
        <v>436</v>
      </c>
      <c r="I992" s="3">
        <f>+IFERROR(VLOOKUP(C992,'Mov 2023 hasta ahora '!$C$2:$D$314,2,FALSE),"NO")</f>
        <v>1</v>
      </c>
      <c r="K992">
        <v>6</v>
      </c>
      <c r="L992" t="s">
        <v>836</v>
      </c>
      <c r="M992">
        <v>24</v>
      </c>
      <c r="O992" s="29" t="s">
        <v>8736</v>
      </c>
      <c r="P992" s="25" t="s">
        <v>8735</v>
      </c>
      <c r="Q992" s="25">
        <v>1568</v>
      </c>
      <c r="R992" t="s">
        <v>436</v>
      </c>
    </row>
    <row r="993" spans="1:18" hidden="1">
      <c r="A993" t="s">
        <v>1995</v>
      </c>
      <c r="B993" t="s">
        <v>1996</v>
      </c>
      <c r="I993" s="3" t="str">
        <f>+IFERROR(VLOOKUP(C993,'Mov 2023 hasta ahora '!$C$2:$D$314,2,FALSE),"NO")</f>
        <v>NO</v>
      </c>
      <c r="K993">
        <v>3</v>
      </c>
      <c r="L993" t="s">
        <v>836</v>
      </c>
      <c r="M993">
        <v>10</v>
      </c>
    </row>
    <row r="994" spans="1:18" hidden="1">
      <c r="A994" t="s">
        <v>1997</v>
      </c>
      <c r="B994" t="s">
        <v>1998</v>
      </c>
      <c r="I994" s="3" t="str">
        <f>+IFERROR(VLOOKUP(C994,'Mov 2023 hasta ahora '!$C$2:$D$314,2,FALSE),"NO")</f>
        <v>NO</v>
      </c>
      <c r="K994">
        <v>4</v>
      </c>
      <c r="L994" t="s">
        <v>836</v>
      </c>
      <c r="M994">
        <v>14</v>
      </c>
    </row>
    <row r="995" spans="1:18" hidden="1">
      <c r="A995" t="s">
        <v>1999</v>
      </c>
      <c r="B995" t="s">
        <v>2000</v>
      </c>
      <c r="I995" s="3" t="str">
        <f>+IFERROR(VLOOKUP(C995,'Mov 2023 hasta ahora '!$C$2:$D$314,2,FALSE),"NO")</f>
        <v>NO</v>
      </c>
      <c r="K995">
        <v>5</v>
      </c>
      <c r="L995" t="s">
        <v>836</v>
      </c>
      <c r="M995">
        <v>18</v>
      </c>
    </row>
    <row r="996" spans="1:18" hidden="1">
      <c r="A996" s="23" t="s">
        <v>2001</v>
      </c>
      <c r="B996" s="23" t="s">
        <v>2002</v>
      </c>
      <c r="C996" s="23">
        <v>1566</v>
      </c>
      <c r="D996" t="s">
        <v>436</v>
      </c>
      <c r="I996" s="3" t="str">
        <f>+IFERROR(VLOOKUP(C996,'Mov 2023 hasta ahora '!$C$2:$D$314,2,FALSE),"NO")</f>
        <v>NO</v>
      </c>
      <c r="K996">
        <v>6</v>
      </c>
      <c r="L996" t="s">
        <v>836</v>
      </c>
      <c r="M996">
        <v>24</v>
      </c>
      <c r="O996" s="29" t="s">
        <v>8710</v>
      </c>
      <c r="P996" s="25" t="s">
        <v>8708</v>
      </c>
      <c r="Q996" s="25">
        <v>3478</v>
      </c>
      <c r="R996" t="s">
        <v>436</v>
      </c>
    </row>
    <row r="997" spans="1:18" hidden="1">
      <c r="A997" t="s">
        <v>2003</v>
      </c>
      <c r="B997" t="s">
        <v>2004</v>
      </c>
      <c r="I997" s="3" t="str">
        <f>+IFERROR(VLOOKUP(C997,'Mov 2023 hasta ahora '!$C$2:$D$314,2,FALSE),"NO")</f>
        <v>NO</v>
      </c>
      <c r="K997">
        <v>4</v>
      </c>
      <c r="L997" t="s">
        <v>836</v>
      </c>
      <c r="M997">
        <v>14</v>
      </c>
    </row>
    <row r="998" spans="1:18" hidden="1">
      <c r="A998" t="s">
        <v>2005</v>
      </c>
      <c r="B998" t="s">
        <v>2006</v>
      </c>
      <c r="I998" s="3" t="str">
        <f>+IFERROR(VLOOKUP(C998,'Mov 2023 hasta ahora '!$C$2:$D$314,2,FALSE),"NO")</f>
        <v>NO</v>
      </c>
      <c r="K998">
        <v>5</v>
      </c>
      <c r="L998" t="s">
        <v>836</v>
      </c>
      <c r="M998">
        <v>18</v>
      </c>
    </row>
    <row r="999" spans="1:18" hidden="1">
      <c r="A999" s="23" t="s">
        <v>2007</v>
      </c>
      <c r="B999" s="23" t="s">
        <v>2008</v>
      </c>
      <c r="C999" s="23">
        <v>1919</v>
      </c>
      <c r="I999" s="3" t="str">
        <f>+IFERROR(VLOOKUP(C999,'Mov 2023 hasta ahora '!$C$2:$D$314,2,FALSE),"NO")</f>
        <v>NO</v>
      </c>
      <c r="K999">
        <v>6</v>
      </c>
      <c r="L999" t="s">
        <v>836</v>
      </c>
      <c r="M999">
        <v>24</v>
      </c>
      <c r="O999" s="29" t="s">
        <v>8844</v>
      </c>
      <c r="P999" s="25" t="s">
        <v>8699</v>
      </c>
      <c r="Q999" s="25">
        <v>1814</v>
      </c>
      <c r="R999" t="s">
        <v>436</v>
      </c>
    </row>
    <row r="1000" spans="1:18" hidden="1">
      <c r="A1000" s="23" t="s">
        <v>2009</v>
      </c>
      <c r="B1000" s="23" t="s">
        <v>2010</v>
      </c>
      <c r="C1000" s="23">
        <v>1570</v>
      </c>
      <c r="D1000" t="s">
        <v>436</v>
      </c>
      <c r="I1000" s="3" t="str">
        <f>+IFERROR(VLOOKUP(C1000,'Mov 2023 hasta ahora '!$C$2:$D$314,2,FALSE),"NO")</f>
        <v>NO</v>
      </c>
      <c r="K1000">
        <v>6</v>
      </c>
      <c r="L1000" t="s">
        <v>836</v>
      </c>
      <c r="M1000">
        <v>24</v>
      </c>
      <c r="O1000" s="29" t="s">
        <v>8736</v>
      </c>
      <c r="P1000" s="25" t="s">
        <v>8735</v>
      </c>
      <c r="Q1000" s="25">
        <v>1568</v>
      </c>
      <c r="R1000" t="s">
        <v>436</v>
      </c>
    </row>
    <row r="1001" spans="1:18" hidden="1">
      <c r="A1001" t="s">
        <v>2011</v>
      </c>
      <c r="B1001" t="s">
        <v>2012</v>
      </c>
      <c r="I1001" s="3" t="str">
        <f>+IFERROR(VLOOKUP(C1001,'Mov 2023 hasta ahora '!$C$2:$D$314,2,FALSE),"NO")</f>
        <v>NO</v>
      </c>
      <c r="K1001">
        <v>3</v>
      </c>
      <c r="L1001" t="s">
        <v>836</v>
      </c>
      <c r="M1001">
        <v>10</v>
      </c>
    </row>
    <row r="1002" spans="1:18" hidden="1">
      <c r="A1002" t="s">
        <v>2013</v>
      </c>
      <c r="B1002" t="s">
        <v>2014</v>
      </c>
      <c r="I1002" s="3" t="str">
        <f>+IFERROR(VLOOKUP(C1002,'Mov 2023 hasta ahora '!$C$2:$D$314,2,FALSE),"NO")</f>
        <v>NO</v>
      </c>
      <c r="K1002">
        <v>4</v>
      </c>
      <c r="L1002" t="s">
        <v>836</v>
      </c>
      <c r="M1002">
        <v>14</v>
      </c>
    </row>
    <row r="1003" spans="1:18" hidden="1">
      <c r="A1003" t="s">
        <v>2015</v>
      </c>
      <c r="B1003" t="s">
        <v>2016</v>
      </c>
      <c r="I1003" s="3" t="str">
        <f>+IFERROR(VLOOKUP(C1003,'Mov 2023 hasta ahora '!$C$2:$D$314,2,FALSE),"NO")</f>
        <v>NO</v>
      </c>
      <c r="K1003">
        <v>5</v>
      </c>
      <c r="L1003" t="s">
        <v>836</v>
      </c>
      <c r="M1003">
        <v>18</v>
      </c>
    </row>
    <row r="1004" spans="1:18" hidden="1">
      <c r="A1004" s="23" t="s">
        <v>2017</v>
      </c>
      <c r="B1004" s="23" t="s">
        <v>2018</v>
      </c>
      <c r="C1004" s="23">
        <v>1567</v>
      </c>
      <c r="D1004" t="s">
        <v>436</v>
      </c>
      <c r="I1004" s="3" t="str">
        <f>+IFERROR(VLOOKUP(C1004,'Mov 2023 hasta ahora '!$C$2:$D$314,2,FALSE),"NO")</f>
        <v>NO</v>
      </c>
      <c r="K1004">
        <v>6</v>
      </c>
      <c r="L1004" t="s">
        <v>836</v>
      </c>
      <c r="M1004">
        <v>24</v>
      </c>
      <c r="O1004" s="29" t="s">
        <v>8712</v>
      </c>
      <c r="P1004" s="25" t="s">
        <v>8715</v>
      </c>
      <c r="Q1004" s="25">
        <v>3481</v>
      </c>
      <c r="R1004" t="s">
        <v>436</v>
      </c>
    </row>
    <row r="1005" spans="1:18" hidden="1">
      <c r="A1005" t="s">
        <v>2019</v>
      </c>
      <c r="B1005" t="s">
        <v>2020</v>
      </c>
      <c r="I1005" s="3" t="str">
        <f>+IFERROR(VLOOKUP(C1005,'Mov 2023 hasta ahora '!$C$2:$D$314,2,FALSE),"NO")</f>
        <v>NO</v>
      </c>
      <c r="K1005">
        <v>4</v>
      </c>
      <c r="L1005" t="s">
        <v>836</v>
      </c>
      <c r="M1005">
        <v>14</v>
      </c>
    </row>
    <row r="1006" spans="1:18" hidden="1">
      <c r="A1006" t="s">
        <v>2021</v>
      </c>
      <c r="B1006" t="s">
        <v>2022</v>
      </c>
      <c r="I1006" s="3" t="str">
        <f>+IFERROR(VLOOKUP(C1006,'Mov 2023 hasta ahora '!$C$2:$D$314,2,FALSE),"NO")</f>
        <v>NO</v>
      </c>
      <c r="K1006">
        <v>5</v>
      </c>
      <c r="L1006" t="s">
        <v>836</v>
      </c>
      <c r="M1006">
        <v>18</v>
      </c>
    </row>
    <row r="1007" spans="1:18" hidden="1">
      <c r="A1007" s="23" t="s">
        <v>2023</v>
      </c>
      <c r="B1007" s="23" t="s">
        <v>2024</v>
      </c>
      <c r="C1007" s="23">
        <v>1922</v>
      </c>
      <c r="I1007" s="3" t="str">
        <f>+IFERROR(VLOOKUP(C1007,'Mov 2023 hasta ahora '!$C$2:$D$314,2,FALSE),"NO")</f>
        <v>NO</v>
      </c>
      <c r="K1007">
        <v>6</v>
      </c>
      <c r="L1007" t="s">
        <v>836</v>
      </c>
      <c r="M1007">
        <v>24</v>
      </c>
      <c r="O1007" s="29" t="s">
        <v>8844</v>
      </c>
      <c r="P1007" s="25" t="s">
        <v>8699</v>
      </c>
      <c r="Q1007" s="25">
        <v>1814</v>
      </c>
      <c r="R1007" t="s">
        <v>436</v>
      </c>
    </row>
    <row r="1008" spans="1:18" hidden="1">
      <c r="A1008" s="23" t="s">
        <v>2025</v>
      </c>
      <c r="B1008" s="23" t="s">
        <v>2026</v>
      </c>
      <c r="C1008" s="23">
        <v>1571</v>
      </c>
      <c r="D1008" t="s">
        <v>436</v>
      </c>
      <c r="I1008" s="3" t="str">
        <f>+IFERROR(VLOOKUP(C1008,'Mov 2023 hasta ahora '!$C$2:$D$314,2,FALSE),"NO")</f>
        <v>NO</v>
      </c>
      <c r="K1008">
        <v>6</v>
      </c>
      <c r="L1008" t="s">
        <v>836</v>
      </c>
      <c r="M1008">
        <v>24</v>
      </c>
      <c r="O1008" s="29" t="s">
        <v>8736</v>
      </c>
      <c r="P1008" s="25" t="s">
        <v>8735</v>
      </c>
      <c r="Q1008" s="25">
        <v>1568</v>
      </c>
      <c r="R1008" t="s">
        <v>436</v>
      </c>
    </row>
    <row r="1009" spans="1:18" hidden="1">
      <c r="A1009" t="s">
        <v>2027</v>
      </c>
      <c r="B1009" t="s">
        <v>2028</v>
      </c>
      <c r="I1009" s="3" t="str">
        <f>+IFERROR(VLOOKUP(C1009,'Mov 2023 hasta ahora '!$C$2:$D$314,2,FALSE),"NO")</f>
        <v>NO</v>
      </c>
      <c r="K1009">
        <v>3</v>
      </c>
      <c r="L1009" t="s">
        <v>836</v>
      </c>
      <c r="M1009">
        <v>10</v>
      </c>
    </row>
    <row r="1010" spans="1:18" hidden="1">
      <c r="A1010" t="s">
        <v>2029</v>
      </c>
      <c r="B1010" t="s">
        <v>2030</v>
      </c>
      <c r="I1010" s="3" t="str">
        <f>+IFERROR(VLOOKUP(C1010,'Mov 2023 hasta ahora '!$C$2:$D$314,2,FALSE),"NO")</f>
        <v>NO</v>
      </c>
      <c r="K1010">
        <v>4</v>
      </c>
      <c r="L1010" t="s">
        <v>836</v>
      </c>
      <c r="M1010">
        <v>14</v>
      </c>
    </row>
    <row r="1011" spans="1:18" hidden="1">
      <c r="A1011" t="s">
        <v>2031</v>
      </c>
      <c r="B1011" t="s">
        <v>2032</v>
      </c>
      <c r="I1011" s="3" t="str">
        <f>+IFERROR(VLOOKUP(C1011,'Mov 2023 hasta ahora '!$C$2:$D$314,2,FALSE),"NO")</f>
        <v>NO</v>
      </c>
      <c r="K1011">
        <v>5</v>
      </c>
      <c r="L1011" t="s">
        <v>836</v>
      </c>
      <c r="M1011">
        <v>18</v>
      </c>
    </row>
    <row r="1012" spans="1:18" hidden="1">
      <c r="A1012" t="s">
        <v>2033</v>
      </c>
      <c r="B1012" t="s">
        <v>2034</v>
      </c>
      <c r="I1012" s="3" t="str">
        <f>+IFERROR(VLOOKUP(C1012,'Mov 2023 hasta ahora '!$C$2:$D$314,2,FALSE),"NO")</f>
        <v>NO</v>
      </c>
      <c r="K1012">
        <v>4</v>
      </c>
      <c r="L1012" t="s">
        <v>836</v>
      </c>
      <c r="M1012">
        <v>14</v>
      </c>
    </row>
    <row r="1013" spans="1:18" hidden="1">
      <c r="A1013" t="s">
        <v>2035</v>
      </c>
      <c r="B1013" t="s">
        <v>2036</v>
      </c>
      <c r="I1013" s="3" t="str">
        <f>+IFERROR(VLOOKUP(C1013,'Mov 2023 hasta ahora '!$C$2:$D$314,2,FALSE),"NO")</f>
        <v>NO</v>
      </c>
      <c r="K1013">
        <v>5</v>
      </c>
      <c r="L1013" t="s">
        <v>836</v>
      </c>
      <c r="M1013">
        <v>18</v>
      </c>
    </row>
    <row r="1014" spans="1:18" hidden="1">
      <c r="A1014" t="s">
        <v>2037</v>
      </c>
      <c r="B1014" t="s">
        <v>2038</v>
      </c>
      <c r="I1014" s="3" t="str">
        <f>+IFERROR(VLOOKUP(C1014,'Mov 2023 hasta ahora '!$C$2:$D$314,2,FALSE),"NO")</f>
        <v>NO</v>
      </c>
      <c r="K1014">
        <v>3</v>
      </c>
      <c r="L1014" t="s">
        <v>836</v>
      </c>
      <c r="M1014">
        <v>10</v>
      </c>
    </row>
    <row r="1015" spans="1:18" hidden="1">
      <c r="A1015" t="s">
        <v>2039</v>
      </c>
      <c r="B1015" t="s">
        <v>2040</v>
      </c>
      <c r="I1015" s="3" t="str">
        <f>+IFERROR(VLOOKUP(C1015,'Mov 2023 hasta ahora '!$C$2:$D$314,2,FALSE),"NO")</f>
        <v>NO</v>
      </c>
      <c r="K1015">
        <v>4</v>
      </c>
      <c r="L1015" t="s">
        <v>836</v>
      </c>
      <c r="M1015">
        <v>14</v>
      </c>
    </row>
    <row r="1016" spans="1:18" hidden="1">
      <c r="A1016" t="s">
        <v>2041</v>
      </c>
      <c r="B1016" t="s">
        <v>2042</v>
      </c>
      <c r="I1016" s="3" t="str">
        <f>+IFERROR(VLOOKUP(C1016,'Mov 2023 hasta ahora '!$C$2:$D$314,2,FALSE),"NO")</f>
        <v>NO</v>
      </c>
      <c r="K1016">
        <v>5</v>
      </c>
      <c r="L1016" t="s">
        <v>836</v>
      </c>
      <c r="M1016">
        <v>18</v>
      </c>
    </row>
    <row r="1017" spans="1:18" hidden="1">
      <c r="A1017" s="23" t="s">
        <v>2043</v>
      </c>
      <c r="B1017" s="23" t="s">
        <v>2044</v>
      </c>
      <c r="C1017" s="23">
        <v>3476</v>
      </c>
      <c r="E1017">
        <v>1</v>
      </c>
      <c r="I1017" s="3" t="str">
        <f>+IFERROR(VLOOKUP(C1017,'Mov 2023 hasta ahora '!$C$2:$D$314,2,FALSE),"NO")</f>
        <v>NO</v>
      </c>
      <c r="K1017">
        <v>6</v>
      </c>
      <c r="L1017" t="s">
        <v>836</v>
      </c>
      <c r="M1017">
        <v>24</v>
      </c>
      <c r="O1017" s="29" t="s">
        <v>8734</v>
      </c>
      <c r="P1017" s="25" t="s">
        <v>8718</v>
      </c>
      <c r="Q1017" s="25">
        <v>3811</v>
      </c>
      <c r="R1017" t="s">
        <v>436</v>
      </c>
    </row>
    <row r="1018" spans="1:18" hidden="1">
      <c r="A1018" s="23" t="s">
        <v>2045</v>
      </c>
      <c r="B1018" s="23" t="s">
        <v>2046</v>
      </c>
      <c r="C1018" s="23">
        <v>3477</v>
      </c>
      <c r="E1018">
        <v>1</v>
      </c>
      <c r="I1018" s="3" t="str">
        <f>+IFERROR(VLOOKUP(C1018,'Mov 2023 hasta ahora '!$C$2:$D$314,2,FALSE),"NO")</f>
        <v>NO</v>
      </c>
      <c r="K1018">
        <v>6</v>
      </c>
      <c r="L1018" t="s">
        <v>836</v>
      </c>
      <c r="M1018">
        <v>24</v>
      </c>
      <c r="O1018" s="29" t="s">
        <v>8734</v>
      </c>
      <c r="P1018" s="25" t="s">
        <v>8718</v>
      </c>
      <c r="Q1018" s="25">
        <v>3811</v>
      </c>
      <c r="R1018" t="s">
        <v>436</v>
      </c>
    </row>
    <row r="1019" spans="1:18" hidden="1">
      <c r="A1019" s="23" t="s">
        <v>2047</v>
      </c>
      <c r="B1019" s="23" t="s">
        <v>2048</v>
      </c>
      <c r="C1019" s="23">
        <v>3478</v>
      </c>
      <c r="E1019">
        <v>1</v>
      </c>
      <c r="I1019" s="3" t="str">
        <f>+IFERROR(VLOOKUP(C1019,'Mov 2023 hasta ahora '!$C$2:$D$314,2,FALSE),"NO")</f>
        <v>NO</v>
      </c>
      <c r="K1019">
        <v>6</v>
      </c>
      <c r="L1019" t="s">
        <v>836</v>
      </c>
      <c r="M1019">
        <v>24</v>
      </c>
      <c r="O1019" s="25" t="s">
        <v>8710</v>
      </c>
      <c r="P1019" s="25" t="s">
        <v>8708</v>
      </c>
      <c r="Q1019" s="25">
        <v>3478</v>
      </c>
      <c r="R1019" t="s">
        <v>436</v>
      </c>
    </row>
    <row r="1020" spans="1:18" hidden="1">
      <c r="A1020" s="23" t="s">
        <v>2049</v>
      </c>
      <c r="B1020" s="23" t="s">
        <v>2050</v>
      </c>
      <c r="C1020" s="23">
        <v>3812</v>
      </c>
      <c r="D1020" t="s">
        <v>436</v>
      </c>
      <c r="I1020" s="3" t="str">
        <f>+IFERROR(VLOOKUP(C1020,'Mov 2023 hasta ahora '!$C$2:$D$314,2,FALSE),"NO")</f>
        <v>NO</v>
      </c>
      <c r="K1020">
        <v>6</v>
      </c>
      <c r="L1020" t="s">
        <v>836</v>
      </c>
      <c r="M1020">
        <v>24</v>
      </c>
      <c r="O1020" s="29" t="s">
        <v>8707</v>
      </c>
      <c r="P1020" s="25" t="s">
        <v>8706</v>
      </c>
      <c r="Q1020" s="25">
        <v>1564</v>
      </c>
      <c r="R1020" t="s">
        <v>436</v>
      </c>
    </row>
    <row r="1021" spans="1:18" hidden="1">
      <c r="A1021" t="s">
        <v>2051</v>
      </c>
      <c r="B1021" t="s">
        <v>2052</v>
      </c>
      <c r="I1021" s="3" t="str">
        <f>+IFERROR(VLOOKUP(C1021,'Mov 2023 hasta ahora '!$C$2:$D$314,2,FALSE),"NO")</f>
        <v>NO</v>
      </c>
      <c r="K1021">
        <v>3</v>
      </c>
      <c r="L1021" t="s">
        <v>836</v>
      </c>
      <c r="M1021">
        <v>10</v>
      </c>
    </row>
    <row r="1022" spans="1:18" hidden="1">
      <c r="A1022" t="s">
        <v>2053</v>
      </c>
      <c r="B1022" t="s">
        <v>2054</v>
      </c>
      <c r="I1022" s="3" t="str">
        <f>+IFERROR(VLOOKUP(C1022,'Mov 2023 hasta ahora '!$C$2:$D$314,2,FALSE),"NO")</f>
        <v>NO</v>
      </c>
      <c r="K1022">
        <v>4</v>
      </c>
      <c r="L1022" t="s">
        <v>836</v>
      </c>
      <c r="M1022">
        <v>14</v>
      </c>
    </row>
    <row r="1023" spans="1:18" hidden="1">
      <c r="A1023" t="s">
        <v>2055</v>
      </c>
      <c r="B1023" t="s">
        <v>2056</v>
      </c>
      <c r="I1023" s="3" t="str">
        <f>+IFERROR(VLOOKUP(C1023,'Mov 2023 hasta ahora '!$C$2:$D$314,2,FALSE),"NO")</f>
        <v>NO</v>
      </c>
      <c r="K1023">
        <v>5</v>
      </c>
      <c r="L1023" t="s">
        <v>836</v>
      </c>
      <c r="M1023">
        <v>18</v>
      </c>
    </row>
    <row r="1024" spans="1:18" hidden="1">
      <c r="A1024" s="23" t="s">
        <v>2057</v>
      </c>
      <c r="B1024" s="23" t="s">
        <v>2058</v>
      </c>
      <c r="C1024" s="23">
        <v>3479</v>
      </c>
      <c r="I1024" s="3" t="str">
        <f>+IFERROR(VLOOKUP(C1024,'Mov 2023 hasta ahora '!$C$2:$D$314,2,FALSE),"NO")</f>
        <v>NO</v>
      </c>
      <c r="K1024">
        <v>6</v>
      </c>
      <c r="L1024" t="s">
        <v>836</v>
      </c>
      <c r="M1024">
        <v>24</v>
      </c>
      <c r="O1024" s="29" t="s">
        <v>8734</v>
      </c>
      <c r="P1024" s="25" t="s">
        <v>8718</v>
      </c>
      <c r="Q1024" s="25">
        <v>3811</v>
      </c>
      <c r="R1024" t="s">
        <v>436</v>
      </c>
    </row>
    <row r="1025" spans="1:18" hidden="1">
      <c r="A1025" s="23" t="s">
        <v>2059</v>
      </c>
      <c r="B1025" s="23" t="s">
        <v>2060</v>
      </c>
      <c r="C1025" s="23">
        <v>3480</v>
      </c>
      <c r="I1025" s="3" t="str">
        <f>+IFERROR(VLOOKUP(C1025,'Mov 2023 hasta ahora '!$C$2:$D$314,2,FALSE),"NO")</f>
        <v>NO</v>
      </c>
      <c r="K1025">
        <v>6</v>
      </c>
      <c r="L1025" t="s">
        <v>836</v>
      </c>
      <c r="M1025">
        <v>24</v>
      </c>
      <c r="O1025" s="29" t="s">
        <v>8734</v>
      </c>
      <c r="P1025" s="25" t="s">
        <v>8718</v>
      </c>
      <c r="Q1025" s="25">
        <v>3811</v>
      </c>
      <c r="R1025" t="s">
        <v>436</v>
      </c>
    </row>
    <row r="1026" spans="1:18" hidden="1">
      <c r="A1026" s="23" t="s">
        <v>2061</v>
      </c>
      <c r="B1026" s="23" t="s">
        <v>2062</v>
      </c>
      <c r="C1026" s="23">
        <v>3481</v>
      </c>
      <c r="I1026" s="3" t="str">
        <f>+IFERROR(VLOOKUP(C1026,'Mov 2023 hasta ahora '!$C$2:$D$314,2,FALSE),"NO")</f>
        <v>NO</v>
      </c>
      <c r="K1026">
        <v>6</v>
      </c>
      <c r="L1026" t="s">
        <v>836</v>
      </c>
      <c r="M1026">
        <v>24</v>
      </c>
      <c r="O1026" s="25" t="s">
        <v>8712</v>
      </c>
      <c r="P1026" s="25" t="s">
        <v>8715</v>
      </c>
      <c r="Q1026" s="25">
        <v>3481</v>
      </c>
      <c r="R1026" t="s">
        <v>436</v>
      </c>
    </row>
    <row r="1027" spans="1:18" hidden="1">
      <c r="A1027" t="s">
        <v>2063</v>
      </c>
      <c r="B1027" t="s">
        <v>2064</v>
      </c>
      <c r="I1027" s="3" t="str">
        <f>+IFERROR(VLOOKUP(C1027,'Mov 2023 hasta ahora '!$C$2:$D$314,2,FALSE),"NO")</f>
        <v>NO</v>
      </c>
      <c r="K1027">
        <v>3</v>
      </c>
      <c r="L1027" t="s">
        <v>836</v>
      </c>
      <c r="M1027">
        <v>10</v>
      </c>
    </row>
    <row r="1028" spans="1:18" hidden="1">
      <c r="A1028" t="s">
        <v>2065</v>
      </c>
      <c r="B1028" t="s">
        <v>2066</v>
      </c>
      <c r="I1028" s="3" t="str">
        <f>+IFERROR(VLOOKUP(C1028,'Mov 2023 hasta ahora '!$C$2:$D$314,2,FALSE),"NO")</f>
        <v>NO</v>
      </c>
      <c r="K1028">
        <v>4</v>
      </c>
      <c r="L1028" t="s">
        <v>836</v>
      </c>
      <c r="M1028">
        <v>14</v>
      </c>
    </row>
    <row r="1029" spans="1:18" hidden="1">
      <c r="A1029" t="s">
        <v>2067</v>
      </c>
      <c r="B1029" t="s">
        <v>2068</v>
      </c>
      <c r="I1029" s="3" t="str">
        <f>+IFERROR(VLOOKUP(C1029,'Mov 2023 hasta ahora '!$C$2:$D$314,2,FALSE),"NO")</f>
        <v>NO</v>
      </c>
      <c r="K1029">
        <v>5</v>
      </c>
      <c r="L1029" t="s">
        <v>836</v>
      </c>
      <c r="M1029">
        <v>18</v>
      </c>
    </row>
    <row r="1030" spans="1:18" hidden="1">
      <c r="A1030" s="23" t="s">
        <v>2069</v>
      </c>
      <c r="B1030" s="23" t="s">
        <v>2070</v>
      </c>
      <c r="C1030" s="23">
        <v>3497</v>
      </c>
      <c r="D1030" t="s">
        <v>436</v>
      </c>
      <c r="I1030" s="3" t="str">
        <f>+IFERROR(VLOOKUP(C1030,'Mov 2023 hasta ahora '!$C$2:$D$314,2,FALSE),"NO")</f>
        <v>NO</v>
      </c>
      <c r="K1030">
        <v>6</v>
      </c>
      <c r="L1030" t="s">
        <v>836</v>
      </c>
      <c r="M1030">
        <v>24</v>
      </c>
      <c r="O1030" s="29" t="s">
        <v>8707</v>
      </c>
      <c r="P1030" s="25" t="s">
        <v>8706</v>
      </c>
      <c r="Q1030" s="25">
        <v>1564</v>
      </c>
      <c r="R1030" t="s">
        <v>436</v>
      </c>
    </row>
    <row r="1031" spans="1:18" hidden="1">
      <c r="A1031" t="s">
        <v>2071</v>
      </c>
      <c r="B1031" t="s">
        <v>2072</v>
      </c>
      <c r="I1031" s="3" t="str">
        <f>+IFERROR(VLOOKUP(C1031,'Mov 2023 hasta ahora '!$C$2:$D$314,2,FALSE),"NO")</f>
        <v>NO</v>
      </c>
      <c r="K1031">
        <v>5</v>
      </c>
      <c r="L1031" t="s">
        <v>836</v>
      </c>
      <c r="M1031">
        <v>18</v>
      </c>
    </row>
    <row r="1032" spans="1:18" hidden="1">
      <c r="A1032" t="s">
        <v>2073</v>
      </c>
      <c r="B1032" t="s">
        <v>2074</v>
      </c>
      <c r="E1032">
        <v>1</v>
      </c>
      <c r="I1032" s="3" t="str">
        <f>+IFERROR(VLOOKUP(C1032,'Mov 2023 hasta ahora '!$C$2:$D$314,2,FALSE),"NO")</f>
        <v>NO</v>
      </c>
      <c r="K1032">
        <v>6</v>
      </c>
      <c r="L1032" t="s">
        <v>836</v>
      </c>
      <c r="M1032">
        <v>24</v>
      </c>
    </row>
    <row r="1033" spans="1:18" hidden="1">
      <c r="A1033" s="23" t="s">
        <v>2075</v>
      </c>
      <c r="B1033" s="23" t="s">
        <v>2076</v>
      </c>
      <c r="C1033" s="23">
        <v>3482</v>
      </c>
      <c r="I1033" s="3" t="str">
        <f>+IFERROR(VLOOKUP(C1033,'Mov 2023 hasta ahora '!$C$2:$D$314,2,FALSE),"NO")</f>
        <v>NO</v>
      </c>
      <c r="K1033">
        <v>6</v>
      </c>
      <c r="L1033" t="s">
        <v>836</v>
      </c>
      <c r="M1033">
        <v>24</v>
      </c>
      <c r="O1033" s="29" t="s">
        <v>8734</v>
      </c>
      <c r="P1033" s="25" t="s">
        <v>8718</v>
      </c>
      <c r="Q1033" s="25">
        <v>3811</v>
      </c>
      <c r="R1033" t="s">
        <v>436</v>
      </c>
    </row>
    <row r="1034" spans="1:18" hidden="1">
      <c r="A1034" s="23" t="s">
        <v>2077</v>
      </c>
      <c r="B1034" s="23" t="s">
        <v>2078</v>
      </c>
      <c r="C1034" s="23">
        <v>3484</v>
      </c>
      <c r="I1034" s="3" t="str">
        <f>+IFERROR(VLOOKUP(C1034,'Mov 2023 hasta ahora '!$C$2:$D$314,2,FALSE),"NO")</f>
        <v>NO</v>
      </c>
      <c r="K1034">
        <v>6</v>
      </c>
      <c r="L1034" t="s">
        <v>836</v>
      </c>
      <c r="M1034">
        <v>24</v>
      </c>
      <c r="O1034" s="29" t="s">
        <v>8734</v>
      </c>
      <c r="P1034" s="25" t="s">
        <v>8718</v>
      </c>
      <c r="Q1034" s="25">
        <v>3811</v>
      </c>
      <c r="R1034" t="s">
        <v>436</v>
      </c>
    </row>
    <row r="1035" spans="1:18" hidden="1">
      <c r="A1035" s="23" t="s">
        <v>2079</v>
      </c>
      <c r="B1035" s="23" t="s">
        <v>2080</v>
      </c>
      <c r="C1035" s="23">
        <v>3485</v>
      </c>
      <c r="E1035">
        <v>1</v>
      </c>
      <c r="I1035" s="3" t="str">
        <f>+IFERROR(VLOOKUP(C1035,'Mov 2023 hasta ahora '!$C$2:$D$314,2,FALSE),"NO")</f>
        <v>NO</v>
      </c>
      <c r="K1035">
        <v>6</v>
      </c>
      <c r="L1035" t="s">
        <v>836</v>
      </c>
      <c r="M1035">
        <v>24</v>
      </c>
      <c r="O1035" s="29" t="s">
        <v>8710</v>
      </c>
      <c r="P1035" s="25" t="s">
        <v>8708</v>
      </c>
      <c r="Q1035" s="25">
        <v>3478</v>
      </c>
      <c r="R1035" t="s">
        <v>436</v>
      </c>
    </row>
    <row r="1036" spans="1:18" hidden="1">
      <c r="A1036" t="s">
        <v>2081</v>
      </c>
      <c r="B1036" t="s">
        <v>2082</v>
      </c>
      <c r="I1036" s="3" t="str">
        <f>+IFERROR(VLOOKUP(C1036,'Mov 2023 hasta ahora '!$C$2:$D$314,2,FALSE),"NO")</f>
        <v>NO</v>
      </c>
      <c r="K1036">
        <v>3</v>
      </c>
      <c r="L1036" t="s">
        <v>836</v>
      </c>
      <c r="M1036">
        <v>10</v>
      </c>
    </row>
    <row r="1037" spans="1:18" hidden="1">
      <c r="A1037" t="s">
        <v>2083</v>
      </c>
      <c r="B1037" t="s">
        <v>2084</v>
      </c>
      <c r="I1037" s="3" t="str">
        <f>+IFERROR(VLOOKUP(C1037,'Mov 2023 hasta ahora '!$C$2:$D$314,2,FALSE),"NO")</f>
        <v>NO</v>
      </c>
      <c r="K1037">
        <v>4</v>
      </c>
      <c r="L1037" t="s">
        <v>836</v>
      </c>
      <c r="M1037">
        <v>14</v>
      </c>
    </row>
    <row r="1038" spans="1:18" hidden="1">
      <c r="A1038" t="s">
        <v>2085</v>
      </c>
      <c r="B1038" t="s">
        <v>2086</v>
      </c>
      <c r="I1038" s="3" t="str">
        <f>+IFERROR(VLOOKUP(C1038,'Mov 2023 hasta ahora '!$C$2:$D$314,2,FALSE),"NO")</f>
        <v>NO</v>
      </c>
      <c r="K1038">
        <v>5</v>
      </c>
      <c r="L1038" t="s">
        <v>836</v>
      </c>
      <c r="M1038">
        <v>18</v>
      </c>
    </row>
    <row r="1039" spans="1:18" hidden="1">
      <c r="A1039" s="23" t="s">
        <v>2087</v>
      </c>
      <c r="B1039" s="23" t="s">
        <v>2088</v>
      </c>
      <c r="C1039" s="23">
        <v>3498</v>
      </c>
      <c r="D1039" t="s">
        <v>436</v>
      </c>
      <c r="I1039" s="3" t="str">
        <f>+IFERROR(VLOOKUP(C1039,'Mov 2023 hasta ahora '!$C$2:$D$314,2,FALSE),"NO")</f>
        <v>NO</v>
      </c>
      <c r="K1039">
        <v>6</v>
      </c>
      <c r="L1039" t="s">
        <v>836</v>
      </c>
      <c r="M1039">
        <v>24</v>
      </c>
      <c r="O1039" s="25" t="s">
        <v>8714</v>
      </c>
      <c r="P1039" s="25" t="s">
        <v>8711</v>
      </c>
      <c r="Q1039" s="25">
        <v>3498</v>
      </c>
      <c r="R1039" t="s">
        <v>436</v>
      </c>
    </row>
    <row r="1040" spans="1:18" hidden="1">
      <c r="A1040" t="s">
        <v>2089</v>
      </c>
      <c r="B1040" t="s">
        <v>2090</v>
      </c>
      <c r="I1040" s="3" t="str">
        <f>+IFERROR(VLOOKUP(C1040,'Mov 2023 hasta ahora '!$C$2:$D$314,2,FALSE),"NO")</f>
        <v>NO</v>
      </c>
      <c r="K1040">
        <v>3</v>
      </c>
      <c r="L1040" t="s">
        <v>836</v>
      </c>
      <c r="M1040">
        <v>10</v>
      </c>
    </row>
    <row r="1041" spans="1:18" hidden="1">
      <c r="A1041" t="s">
        <v>2091</v>
      </c>
      <c r="B1041" t="s">
        <v>2092</v>
      </c>
      <c r="D1041" t="s">
        <v>17</v>
      </c>
      <c r="I1041" s="3" t="str">
        <f>+IFERROR(VLOOKUP(C1041,'Mov 2023 hasta ahora '!$C$2:$D$314,2,FALSE),"NO")</f>
        <v>NO</v>
      </c>
      <c r="K1041">
        <v>4</v>
      </c>
      <c r="L1041" t="s">
        <v>836</v>
      </c>
      <c r="M1041">
        <v>14</v>
      </c>
    </row>
    <row r="1042" spans="1:18" hidden="1">
      <c r="A1042" t="s">
        <v>2093</v>
      </c>
      <c r="B1042" t="s">
        <v>2094</v>
      </c>
      <c r="I1042" s="3" t="str">
        <f>+IFERROR(VLOOKUP(C1042,'Mov 2023 hasta ahora '!$C$2:$D$314,2,FALSE),"NO")</f>
        <v>NO</v>
      </c>
      <c r="K1042">
        <v>5</v>
      </c>
      <c r="L1042" t="s">
        <v>836</v>
      </c>
      <c r="M1042">
        <v>18</v>
      </c>
    </row>
    <row r="1043" spans="1:18" hidden="1">
      <c r="A1043" s="23" t="s">
        <v>2095</v>
      </c>
      <c r="B1043" s="23" t="s">
        <v>2096</v>
      </c>
      <c r="C1043" s="23">
        <v>3599</v>
      </c>
      <c r="D1043" t="s">
        <v>17</v>
      </c>
      <c r="I1043" s="3">
        <f>+IFERROR(VLOOKUP(C1043,'Mov 2023 hasta ahora '!$C$2:$D$314,2,FALSE),"NO")</f>
        <v>1</v>
      </c>
      <c r="K1043">
        <v>6</v>
      </c>
      <c r="L1043" t="s">
        <v>836</v>
      </c>
      <c r="M1043">
        <v>24</v>
      </c>
      <c r="O1043" s="25" t="s">
        <v>8716</v>
      </c>
      <c r="P1043" s="25" t="s">
        <v>8713</v>
      </c>
      <c r="Q1043" s="25">
        <v>3599</v>
      </c>
      <c r="R1043" t="s">
        <v>436</v>
      </c>
    </row>
    <row r="1044" spans="1:18" hidden="1">
      <c r="A1044" s="23" t="s">
        <v>2097</v>
      </c>
      <c r="B1044" s="23" t="s">
        <v>2098</v>
      </c>
      <c r="C1044" s="23">
        <v>3849</v>
      </c>
      <c r="D1044" t="s">
        <v>436</v>
      </c>
      <c r="I1044" s="3">
        <f>+IFERROR(VLOOKUP(C1044,'Mov 2023 hasta ahora '!$C$2:$D$314,2,FALSE),"NO")</f>
        <v>8</v>
      </c>
      <c r="K1044">
        <v>6</v>
      </c>
      <c r="L1044" t="s">
        <v>836</v>
      </c>
      <c r="M1044">
        <v>24</v>
      </c>
      <c r="O1044" s="29" t="s">
        <v>8716</v>
      </c>
      <c r="P1044" s="25" t="s">
        <v>8713</v>
      </c>
      <c r="Q1044" s="25">
        <v>3599</v>
      </c>
      <c r="R1044" t="s">
        <v>436</v>
      </c>
    </row>
    <row r="1045" spans="1:18" hidden="1">
      <c r="A1045" t="s">
        <v>2099</v>
      </c>
      <c r="B1045" t="s">
        <v>2100</v>
      </c>
      <c r="I1045" s="3" t="str">
        <f>+IFERROR(VLOOKUP(C1045,'Mov 2023 hasta ahora '!$C$2:$D$314,2,FALSE),"NO")</f>
        <v>NO</v>
      </c>
      <c r="K1045">
        <v>3</v>
      </c>
      <c r="L1045" t="s">
        <v>836</v>
      </c>
      <c r="M1045">
        <v>10</v>
      </c>
    </row>
    <row r="1046" spans="1:18" hidden="1">
      <c r="A1046" t="s">
        <v>2101</v>
      </c>
      <c r="B1046" t="s">
        <v>2102</v>
      </c>
      <c r="I1046" s="3" t="str">
        <f>+IFERROR(VLOOKUP(C1046,'Mov 2023 hasta ahora '!$C$2:$D$314,2,FALSE),"NO")</f>
        <v>NO</v>
      </c>
      <c r="K1046">
        <v>4</v>
      </c>
      <c r="L1046" t="s">
        <v>836</v>
      </c>
      <c r="M1046">
        <v>14</v>
      </c>
    </row>
    <row r="1047" spans="1:18" hidden="1">
      <c r="A1047" t="s">
        <v>2103</v>
      </c>
      <c r="B1047" t="s">
        <v>2104</v>
      </c>
      <c r="I1047" s="3" t="str">
        <f>+IFERROR(VLOOKUP(C1047,'Mov 2023 hasta ahora '!$C$2:$D$314,2,FALSE),"NO")</f>
        <v>NO</v>
      </c>
      <c r="K1047">
        <v>5</v>
      </c>
      <c r="L1047" t="s">
        <v>836</v>
      </c>
      <c r="M1047">
        <v>18</v>
      </c>
    </row>
    <row r="1048" spans="1:18" hidden="1">
      <c r="A1048" s="23" t="s">
        <v>2105</v>
      </c>
      <c r="B1048" s="23" t="s">
        <v>2106</v>
      </c>
      <c r="C1048" s="23">
        <v>3699</v>
      </c>
      <c r="D1048" t="s">
        <v>436</v>
      </c>
      <c r="I1048" s="3">
        <f>+IFERROR(VLOOKUP(C1048,'Mov 2023 hasta ahora '!$C$2:$D$314,2,FALSE),"NO")</f>
        <v>2</v>
      </c>
      <c r="K1048">
        <v>6</v>
      </c>
      <c r="L1048" t="s">
        <v>836</v>
      </c>
      <c r="M1048">
        <v>23</v>
      </c>
      <c r="O1048" s="25" t="s">
        <v>8717</v>
      </c>
      <c r="P1048" s="25" t="s">
        <v>8732</v>
      </c>
      <c r="Q1048" s="25">
        <v>3699</v>
      </c>
      <c r="R1048" t="s">
        <v>436</v>
      </c>
    </row>
    <row r="1049" spans="1:18" hidden="1">
      <c r="A1049" t="s">
        <v>2107</v>
      </c>
      <c r="B1049" t="s">
        <v>2108</v>
      </c>
      <c r="I1049" s="3" t="str">
        <f>+IFERROR(VLOOKUP(C1049,'Mov 2023 hasta ahora '!$C$2:$D$314,2,FALSE),"NO")</f>
        <v>NO</v>
      </c>
      <c r="K1049">
        <v>3</v>
      </c>
      <c r="L1049" t="s">
        <v>836</v>
      </c>
      <c r="M1049">
        <v>10</v>
      </c>
    </row>
    <row r="1050" spans="1:18" hidden="1">
      <c r="A1050" t="s">
        <v>2109</v>
      </c>
      <c r="B1050" t="s">
        <v>2110</v>
      </c>
      <c r="I1050" s="3" t="str">
        <f>+IFERROR(VLOOKUP(C1050,'Mov 2023 hasta ahora '!$C$2:$D$314,2,FALSE),"NO")</f>
        <v>NO</v>
      </c>
      <c r="K1050">
        <v>4</v>
      </c>
      <c r="L1050" t="s">
        <v>836</v>
      </c>
      <c r="M1050">
        <v>14</v>
      </c>
    </row>
    <row r="1051" spans="1:18" hidden="1">
      <c r="A1051" t="s">
        <v>2111</v>
      </c>
      <c r="B1051" t="s">
        <v>2112</v>
      </c>
      <c r="I1051" s="3" t="str">
        <f>+IFERROR(VLOOKUP(C1051,'Mov 2023 hasta ahora '!$C$2:$D$314,2,FALSE),"NO")</f>
        <v>NO</v>
      </c>
      <c r="K1051">
        <v>5</v>
      </c>
      <c r="L1051" t="s">
        <v>836</v>
      </c>
      <c r="M1051">
        <v>18</v>
      </c>
    </row>
    <row r="1052" spans="1:18" hidden="1">
      <c r="A1052" s="23" t="s">
        <v>2113</v>
      </c>
      <c r="B1052" s="23" t="s">
        <v>2114</v>
      </c>
      <c r="C1052" s="23">
        <v>3799</v>
      </c>
      <c r="D1052" t="s">
        <v>436</v>
      </c>
      <c r="I1052" s="3" t="str">
        <f>+IFERROR(VLOOKUP(C1052,'Mov 2023 hasta ahora '!$C$2:$D$314,2,FALSE),"NO")</f>
        <v>NO</v>
      </c>
      <c r="K1052">
        <v>6</v>
      </c>
      <c r="L1052" t="s">
        <v>836</v>
      </c>
      <c r="M1052">
        <v>23</v>
      </c>
      <c r="O1052" s="25" t="s">
        <v>8733</v>
      </c>
      <c r="P1052" s="25" t="s">
        <v>8709</v>
      </c>
      <c r="Q1052" s="25">
        <v>3799</v>
      </c>
      <c r="R1052" t="s">
        <v>436</v>
      </c>
    </row>
    <row r="1053" spans="1:18" hidden="1">
      <c r="A1053" t="s">
        <v>2115</v>
      </c>
      <c r="B1053" t="s">
        <v>2116</v>
      </c>
      <c r="I1053" s="3" t="str">
        <f>+IFERROR(VLOOKUP(C1053,'Mov 2023 hasta ahora '!$C$2:$D$314,2,FALSE),"NO")</f>
        <v>NO</v>
      </c>
      <c r="K1053">
        <v>3</v>
      </c>
      <c r="L1053" t="s">
        <v>836</v>
      </c>
      <c r="M1053">
        <v>10</v>
      </c>
    </row>
    <row r="1054" spans="1:18" hidden="1">
      <c r="A1054" t="s">
        <v>2117</v>
      </c>
      <c r="B1054" t="s">
        <v>2118</v>
      </c>
      <c r="I1054" s="3" t="str">
        <f>+IFERROR(VLOOKUP(C1054,'Mov 2023 hasta ahora '!$C$2:$D$314,2,FALSE),"NO")</f>
        <v>NO</v>
      </c>
      <c r="K1054">
        <v>4</v>
      </c>
      <c r="L1054" t="s">
        <v>836</v>
      </c>
      <c r="M1054">
        <v>14</v>
      </c>
    </row>
    <row r="1055" spans="1:18" hidden="1">
      <c r="A1055" t="s">
        <v>2119</v>
      </c>
      <c r="B1055" t="s">
        <v>2120</v>
      </c>
      <c r="I1055" s="3" t="str">
        <f>+IFERROR(VLOOKUP(C1055,'Mov 2023 hasta ahora '!$C$2:$D$314,2,FALSE),"NO")</f>
        <v>NO</v>
      </c>
      <c r="K1055">
        <v>5</v>
      </c>
      <c r="L1055" t="s">
        <v>836</v>
      </c>
      <c r="M1055">
        <v>18</v>
      </c>
    </row>
    <row r="1056" spans="1:18" hidden="1">
      <c r="A1056" s="23" t="s">
        <v>2121</v>
      </c>
      <c r="B1056" s="23" t="s">
        <v>2122</v>
      </c>
      <c r="C1056" s="23">
        <v>3811</v>
      </c>
      <c r="I1056" s="3">
        <f>+IFERROR(VLOOKUP(C1056,'Mov 2023 hasta ahora '!$C$2:$D$314,2,FALSE),"NO")</f>
        <v>7</v>
      </c>
      <c r="K1056">
        <v>6</v>
      </c>
      <c r="L1056" t="s">
        <v>836</v>
      </c>
      <c r="M1056">
        <v>24</v>
      </c>
      <c r="O1056" s="25" t="s">
        <v>8734</v>
      </c>
      <c r="P1056" s="25" t="s">
        <v>8718</v>
      </c>
      <c r="Q1056" s="25">
        <v>3811</v>
      </c>
      <c r="R1056" t="s">
        <v>436</v>
      </c>
    </row>
    <row r="1057" spans="1:18" hidden="1">
      <c r="A1057" t="s">
        <v>2123</v>
      </c>
      <c r="B1057" t="s">
        <v>2124</v>
      </c>
      <c r="I1057" s="3" t="str">
        <f>+IFERROR(VLOOKUP(C1057,'Mov 2023 hasta ahora '!$C$2:$D$314,2,FALSE),"NO")</f>
        <v>NO</v>
      </c>
      <c r="K1057">
        <v>3</v>
      </c>
      <c r="L1057" t="s">
        <v>836</v>
      </c>
      <c r="M1057">
        <v>10</v>
      </c>
    </row>
    <row r="1058" spans="1:18" hidden="1">
      <c r="A1058" t="s">
        <v>2125</v>
      </c>
      <c r="B1058" t="s">
        <v>2126</v>
      </c>
      <c r="I1058" s="3" t="str">
        <f>+IFERROR(VLOOKUP(C1058,'Mov 2023 hasta ahora '!$C$2:$D$314,2,FALSE),"NO")</f>
        <v>NO</v>
      </c>
      <c r="K1058">
        <v>4</v>
      </c>
      <c r="L1058" t="s">
        <v>836</v>
      </c>
      <c r="M1058">
        <v>14</v>
      </c>
    </row>
    <row r="1059" spans="1:18" hidden="1">
      <c r="A1059" t="s">
        <v>2127</v>
      </c>
      <c r="B1059" t="s">
        <v>2128</v>
      </c>
      <c r="I1059" s="3" t="str">
        <f>+IFERROR(VLOOKUP(C1059,'Mov 2023 hasta ahora '!$C$2:$D$314,2,FALSE),"NO")</f>
        <v>NO</v>
      </c>
      <c r="K1059">
        <v>5</v>
      </c>
      <c r="L1059" t="s">
        <v>836</v>
      </c>
      <c r="M1059">
        <v>18</v>
      </c>
    </row>
    <row r="1060" spans="1:18" hidden="1">
      <c r="A1060" s="23" t="s">
        <v>2129</v>
      </c>
      <c r="B1060" s="23" t="s">
        <v>2130</v>
      </c>
      <c r="C1060" s="23">
        <v>3863</v>
      </c>
      <c r="I1060" s="3">
        <f>+IFERROR(VLOOKUP(C1060,'Mov 2023 hasta ahora '!$C$2:$D$314,2,FALSE),"NO")</f>
        <v>21</v>
      </c>
      <c r="K1060">
        <v>6</v>
      </c>
      <c r="L1060" t="s">
        <v>836</v>
      </c>
      <c r="M1060">
        <v>24</v>
      </c>
      <c r="O1060" s="29" t="s">
        <v>8707</v>
      </c>
      <c r="P1060" s="25" t="s">
        <v>8706</v>
      </c>
      <c r="Q1060" s="25">
        <v>1564</v>
      </c>
      <c r="R1060" t="s">
        <v>436</v>
      </c>
    </row>
    <row r="1061" spans="1:18" hidden="1">
      <c r="A1061" t="s">
        <v>2131</v>
      </c>
      <c r="B1061" t="s">
        <v>2132</v>
      </c>
      <c r="I1061" s="3" t="str">
        <f>+IFERROR(VLOOKUP(C1061,'Mov 2023 hasta ahora '!$C$2:$D$314,2,FALSE),"NO")</f>
        <v>NO</v>
      </c>
      <c r="K1061">
        <v>3</v>
      </c>
      <c r="L1061" t="s">
        <v>836</v>
      </c>
      <c r="M1061">
        <v>10</v>
      </c>
    </row>
    <row r="1062" spans="1:18" hidden="1">
      <c r="A1062" t="s">
        <v>2133</v>
      </c>
      <c r="B1062" t="s">
        <v>2134</v>
      </c>
      <c r="I1062" s="3" t="str">
        <f>+IFERROR(VLOOKUP(C1062,'Mov 2023 hasta ahora '!$C$2:$D$314,2,FALSE),"NO")</f>
        <v>NO</v>
      </c>
      <c r="K1062">
        <v>4</v>
      </c>
      <c r="L1062" t="s">
        <v>836</v>
      </c>
      <c r="M1062">
        <v>14</v>
      </c>
    </row>
    <row r="1063" spans="1:18" hidden="1">
      <c r="A1063" t="s">
        <v>2135</v>
      </c>
      <c r="B1063" t="s">
        <v>2136</v>
      </c>
      <c r="I1063" s="3" t="str">
        <f>+IFERROR(VLOOKUP(C1063,'Mov 2023 hasta ahora '!$C$2:$D$314,2,FALSE),"NO")</f>
        <v>NO</v>
      </c>
      <c r="K1063">
        <v>5</v>
      </c>
      <c r="L1063" t="s">
        <v>836</v>
      </c>
      <c r="M1063">
        <v>18</v>
      </c>
    </row>
    <row r="1064" spans="1:18" hidden="1">
      <c r="A1064" s="23" t="s">
        <v>2137</v>
      </c>
      <c r="B1064" s="23" t="s">
        <v>2138</v>
      </c>
      <c r="C1064" s="23">
        <v>3864</v>
      </c>
      <c r="I1064" s="3">
        <f>+IFERROR(VLOOKUP(C1064,'Mov 2023 hasta ahora '!$C$2:$D$314,2,FALSE),"NO")</f>
        <v>6</v>
      </c>
      <c r="K1064">
        <v>6</v>
      </c>
      <c r="L1064" t="s">
        <v>836</v>
      </c>
      <c r="M1064">
        <v>24</v>
      </c>
      <c r="O1064" s="29" t="s">
        <v>8710</v>
      </c>
      <c r="P1064" s="25" t="s">
        <v>8708</v>
      </c>
      <c r="Q1064" s="25">
        <v>3478</v>
      </c>
      <c r="R1064" t="s">
        <v>436</v>
      </c>
    </row>
    <row r="1065" spans="1:18" hidden="1">
      <c r="A1065" t="s">
        <v>2139</v>
      </c>
      <c r="B1065" t="s">
        <v>2140</v>
      </c>
      <c r="I1065" s="3" t="str">
        <f>+IFERROR(VLOOKUP(C1065,'Mov 2023 hasta ahora '!$C$2:$D$314,2,FALSE),"NO")</f>
        <v>NO</v>
      </c>
      <c r="K1065">
        <v>3</v>
      </c>
      <c r="L1065" t="s">
        <v>836</v>
      </c>
      <c r="M1065">
        <v>10</v>
      </c>
    </row>
    <row r="1066" spans="1:18" hidden="1">
      <c r="A1066" t="s">
        <v>2141</v>
      </c>
      <c r="B1066" t="s">
        <v>2142</v>
      </c>
      <c r="I1066" s="3" t="str">
        <f>+IFERROR(VLOOKUP(C1066,'Mov 2023 hasta ahora '!$C$2:$D$314,2,FALSE),"NO")</f>
        <v>NO</v>
      </c>
      <c r="K1066">
        <v>4</v>
      </c>
      <c r="L1066" t="s">
        <v>836</v>
      </c>
      <c r="M1066">
        <v>14</v>
      </c>
    </row>
    <row r="1067" spans="1:18" hidden="1">
      <c r="A1067" t="s">
        <v>2143</v>
      </c>
      <c r="B1067" t="s">
        <v>2144</v>
      </c>
      <c r="I1067" s="3" t="str">
        <f>+IFERROR(VLOOKUP(C1067,'Mov 2023 hasta ahora '!$C$2:$D$314,2,FALSE),"NO")</f>
        <v>NO</v>
      </c>
      <c r="K1067">
        <v>5</v>
      </c>
      <c r="L1067" t="s">
        <v>836</v>
      </c>
      <c r="M1067">
        <v>18</v>
      </c>
    </row>
    <row r="1068" spans="1:18" hidden="1">
      <c r="A1068" s="23" t="s">
        <v>2145</v>
      </c>
      <c r="B1068" s="23" t="s">
        <v>2146</v>
      </c>
      <c r="C1068" s="23">
        <v>3865</v>
      </c>
      <c r="I1068" s="3">
        <f>+IFERROR(VLOOKUP(C1068,'Mov 2023 hasta ahora '!$C$2:$D$314,2,FALSE),"NO")</f>
        <v>14</v>
      </c>
      <c r="K1068">
        <v>6</v>
      </c>
      <c r="L1068" t="s">
        <v>836</v>
      </c>
      <c r="M1068">
        <v>24</v>
      </c>
      <c r="O1068" s="29" t="s">
        <v>8712</v>
      </c>
      <c r="P1068" s="25" t="s">
        <v>8715</v>
      </c>
      <c r="Q1068" s="25">
        <v>3481</v>
      </c>
      <c r="R1068" t="s">
        <v>436</v>
      </c>
    </row>
    <row r="1069" spans="1:18" hidden="1">
      <c r="A1069" s="23" t="s">
        <v>2147</v>
      </c>
      <c r="B1069" s="23" t="s">
        <v>2148</v>
      </c>
      <c r="C1069" s="23">
        <v>3832</v>
      </c>
      <c r="D1069" t="s">
        <v>436</v>
      </c>
      <c r="I1069" s="3">
        <f>+IFERROR(VLOOKUP(C1069,'Mov 2023 hasta ahora '!$C$2:$D$314,2,FALSE),"NO")</f>
        <v>300</v>
      </c>
      <c r="K1069">
        <v>3</v>
      </c>
      <c r="L1069" t="s">
        <v>836</v>
      </c>
      <c r="M1069">
        <v>10</v>
      </c>
      <c r="O1069" s="25" t="s">
        <v>8703</v>
      </c>
      <c r="P1069" s="25" t="s">
        <v>8702</v>
      </c>
      <c r="Q1069" s="25">
        <v>3832</v>
      </c>
      <c r="R1069" t="s">
        <v>436</v>
      </c>
    </row>
    <row r="1070" spans="1:18" hidden="1">
      <c r="A1070">
        <v>4.33</v>
      </c>
      <c r="B1070" t="s">
        <v>2149</v>
      </c>
      <c r="I1070" s="3" t="str">
        <f>+IFERROR(VLOOKUP(C1070,'Mov 2023 hasta ahora '!$C$2:$D$314,2,FALSE),"NO")</f>
        <v>NO</v>
      </c>
      <c r="K1070">
        <v>2</v>
      </c>
      <c r="L1070" t="s">
        <v>836</v>
      </c>
      <c r="M1070">
        <v>4</v>
      </c>
    </row>
    <row r="1071" spans="1:18" hidden="1">
      <c r="A1071" t="s">
        <v>2150</v>
      </c>
      <c r="B1071" t="s">
        <v>2151</v>
      </c>
      <c r="I1071" s="3" t="str">
        <f>+IFERROR(VLOOKUP(C1071,'Mov 2023 hasta ahora '!$C$2:$D$314,2,FALSE),"NO")</f>
        <v>NO</v>
      </c>
      <c r="K1071">
        <v>3</v>
      </c>
      <c r="L1071" t="s">
        <v>836</v>
      </c>
      <c r="M1071">
        <v>10</v>
      </c>
    </row>
    <row r="1072" spans="1:18" hidden="1">
      <c r="A1072" t="s">
        <v>2152</v>
      </c>
      <c r="B1072" t="s">
        <v>2153</v>
      </c>
      <c r="I1072" s="3" t="str">
        <f>+IFERROR(VLOOKUP(C1072,'Mov 2023 hasta ahora '!$C$2:$D$314,2,FALSE),"NO")</f>
        <v>NO</v>
      </c>
      <c r="K1072">
        <v>4</v>
      </c>
      <c r="L1072" t="s">
        <v>836</v>
      </c>
      <c r="M1072">
        <v>14</v>
      </c>
    </row>
    <row r="1073" spans="1:18" hidden="1">
      <c r="A1073" t="s">
        <v>2154</v>
      </c>
      <c r="B1073" t="s">
        <v>2155</v>
      </c>
      <c r="I1073" s="3" t="str">
        <f>+IFERROR(VLOOKUP(C1073,'Mov 2023 hasta ahora '!$C$2:$D$314,2,FALSE),"NO")</f>
        <v>NO</v>
      </c>
      <c r="K1073">
        <v>5</v>
      </c>
      <c r="L1073" t="s">
        <v>836</v>
      </c>
      <c r="M1073">
        <v>18</v>
      </c>
    </row>
    <row r="1074" spans="1:18" hidden="1">
      <c r="A1074" s="23" t="s">
        <v>2156</v>
      </c>
      <c r="B1074" s="23" t="s">
        <v>2157</v>
      </c>
      <c r="C1074" s="23">
        <v>2454</v>
      </c>
      <c r="I1074" s="3" t="str">
        <f>+IFERROR(VLOOKUP(C1074,'Mov 2023 hasta ahora '!$C$2:$D$314,2,FALSE),"NO")</f>
        <v>NO</v>
      </c>
      <c r="K1074">
        <v>6</v>
      </c>
      <c r="L1074" t="s">
        <v>836</v>
      </c>
      <c r="M1074">
        <v>24</v>
      </c>
      <c r="O1074" s="29" t="s">
        <v>9173</v>
      </c>
      <c r="P1074" s="25" t="s">
        <v>8972</v>
      </c>
      <c r="Q1074" s="25">
        <v>1823</v>
      </c>
      <c r="R1074" t="s">
        <v>436</v>
      </c>
    </row>
    <row r="1075" spans="1:18" hidden="1">
      <c r="A1075" t="s">
        <v>2158</v>
      </c>
      <c r="B1075" t="s">
        <v>2159</v>
      </c>
      <c r="I1075" s="3" t="str">
        <f>+IFERROR(VLOOKUP(C1075,'Mov 2023 hasta ahora '!$C$2:$D$314,2,FALSE),"NO")</f>
        <v>NO</v>
      </c>
      <c r="K1075">
        <v>4</v>
      </c>
      <c r="L1075" t="s">
        <v>836</v>
      </c>
      <c r="M1075">
        <v>14</v>
      </c>
    </row>
    <row r="1076" spans="1:18" hidden="1">
      <c r="A1076" t="s">
        <v>2160</v>
      </c>
      <c r="B1076" t="s">
        <v>2161</v>
      </c>
      <c r="I1076" s="3" t="str">
        <f>+IFERROR(VLOOKUP(C1076,'Mov 2023 hasta ahora '!$C$2:$D$314,2,FALSE),"NO")</f>
        <v>NO</v>
      </c>
      <c r="K1076">
        <v>5</v>
      </c>
      <c r="L1076" t="s">
        <v>836</v>
      </c>
      <c r="M1076">
        <v>18</v>
      </c>
    </row>
    <row r="1077" spans="1:18" hidden="1">
      <c r="A1077" s="23" t="s">
        <v>2162</v>
      </c>
      <c r="B1077" s="23" t="s">
        <v>2163</v>
      </c>
      <c r="C1077" s="23">
        <v>2449</v>
      </c>
      <c r="I1077" s="3" t="str">
        <f>+IFERROR(VLOOKUP(C1077,'Mov 2023 hasta ahora '!$C$2:$D$314,2,FALSE),"NO")</f>
        <v>NO</v>
      </c>
      <c r="K1077">
        <v>6</v>
      </c>
      <c r="L1077" t="s">
        <v>836</v>
      </c>
      <c r="M1077">
        <v>24</v>
      </c>
      <c r="O1077" s="29" t="s">
        <v>8724</v>
      </c>
      <c r="P1077" s="25" t="s">
        <v>8964</v>
      </c>
      <c r="Q1077" s="25">
        <v>2449</v>
      </c>
      <c r="R1077" t="s">
        <v>436</v>
      </c>
    </row>
    <row r="1078" spans="1:18" hidden="1">
      <c r="A1078" t="s">
        <v>2164</v>
      </c>
      <c r="B1078" t="s">
        <v>2165</v>
      </c>
      <c r="I1078" s="3" t="str">
        <f>+IFERROR(VLOOKUP(C1078,'Mov 2023 hasta ahora '!$C$2:$D$314,2,FALSE),"NO")</f>
        <v>NO</v>
      </c>
      <c r="K1078">
        <v>3</v>
      </c>
      <c r="L1078" t="s">
        <v>836</v>
      </c>
      <c r="M1078">
        <v>10</v>
      </c>
    </row>
    <row r="1079" spans="1:18" hidden="1">
      <c r="A1079" t="s">
        <v>2166</v>
      </c>
      <c r="B1079" t="s">
        <v>2167</v>
      </c>
      <c r="I1079" s="3" t="str">
        <f>+IFERROR(VLOOKUP(C1079,'Mov 2023 hasta ahora '!$C$2:$D$314,2,FALSE),"NO")</f>
        <v>NO</v>
      </c>
      <c r="K1079">
        <v>4</v>
      </c>
      <c r="L1079" t="s">
        <v>836</v>
      </c>
      <c r="M1079">
        <v>14</v>
      </c>
    </row>
    <row r="1080" spans="1:18" hidden="1">
      <c r="A1080" t="s">
        <v>2168</v>
      </c>
      <c r="B1080" t="s">
        <v>2169</v>
      </c>
      <c r="I1080" s="3" t="str">
        <f>+IFERROR(VLOOKUP(C1080,'Mov 2023 hasta ahora '!$C$2:$D$314,2,FALSE),"NO")</f>
        <v>NO</v>
      </c>
      <c r="K1080">
        <v>5</v>
      </c>
      <c r="L1080" t="s">
        <v>836</v>
      </c>
      <c r="M1080">
        <v>18</v>
      </c>
    </row>
    <row r="1081" spans="1:18" hidden="1">
      <c r="A1081" s="23" t="s">
        <v>2170</v>
      </c>
      <c r="B1081" s="23" t="s">
        <v>2171</v>
      </c>
      <c r="C1081" s="23">
        <v>150</v>
      </c>
      <c r="D1081" t="s">
        <v>436</v>
      </c>
      <c r="I1081" s="3" t="str">
        <f>+IFERROR(VLOOKUP(C1081,'Mov 2023 hasta ahora '!$C$2:$D$314,2,FALSE),"NO")</f>
        <v>NO</v>
      </c>
      <c r="K1081">
        <v>6</v>
      </c>
      <c r="L1081" t="s">
        <v>836</v>
      </c>
      <c r="M1081">
        <v>24</v>
      </c>
      <c r="O1081" s="29" t="s">
        <v>8974</v>
      </c>
      <c r="P1081" s="25" t="s">
        <v>8969</v>
      </c>
      <c r="Q1081" s="25">
        <v>2284</v>
      </c>
      <c r="R1081" t="s">
        <v>436</v>
      </c>
    </row>
    <row r="1082" spans="1:18" hidden="1">
      <c r="A1082" t="s">
        <v>2172</v>
      </c>
      <c r="B1082" t="s">
        <v>2173</v>
      </c>
      <c r="I1082" s="3" t="str">
        <f>+IFERROR(VLOOKUP(C1082,'Mov 2023 hasta ahora '!$C$2:$D$314,2,FALSE),"NO")</f>
        <v>NO</v>
      </c>
      <c r="K1082">
        <v>5</v>
      </c>
      <c r="L1082" t="s">
        <v>836</v>
      </c>
      <c r="M1082">
        <v>18</v>
      </c>
    </row>
    <row r="1083" spans="1:18" hidden="1">
      <c r="A1083" s="23" t="s">
        <v>2174</v>
      </c>
      <c r="B1083" s="23" t="s">
        <v>2175</v>
      </c>
      <c r="C1083" s="23">
        <v>1823</v>
      </c>
      <c r="D1083" t="s">
        <v>436</v>
      </c>
      <c r="I1083" s="3" t="str">
        <f>+IFERROR(VLOOKUP(C1083,'Mov 2023 hasta ahora '!$C$2:$D$314,2,FALSE),"NO")</f>
        <v>NO</v>
      </c>
      <c r="K1083">
        <v>6</v>
      </c>
      <c r="L1083" t="s">
        <v>836</v>
      </c>
      <c r="M1083">
        <v>24</v>
      </c>
      <c r="O1083" s="29" t="s">
        <v>9173</v>
      </c>
      <c r="P1083" s="25" t="s">
        <v>8972</v>
      </c>
      <c r="Q1083" s="25">
        <v>1823</v>
      </c>
      <c r="R1083" t="s">
        <v>436</v>
      </c>
    </row>
    <row r="1084" spans="1:18" hidden="1">
      <c r="A1084" t="s">
        <v>2176</v>
      </c>
      <c r="B1084" t="s">
        <v>2177</v>
      </c>
      <c r="I1084" s="3" t="str">
        <f>+IFERROR(VLOOKUP(C1084,'Mov 2023 hasta ahora '!$C$2:$D$314,2,FALSE),"NO")</f>
        <v>NO</v>
      </c>
      <c r="K1084">
        <v>4</v>
      </c>
      <c r="L1084" t="s">
        <v>836</v>
      </c>
      <c r="M1084">
        <v>14</v>
      </c>
    </row>
    <row r="1085" spans="1:18" hidden="1">
      <c r="A1085" t="s">
        <v>2178</v>
      </c>
      <c r="B1085" t="s">
        <v>2179</v>
      </c>
      <c r="I1085" s="3" t="str">
        <f>+IFERROR(VLOOKUP(C1085,'Mov 2023 hasta ahora '!$C$2:$D$314,2,FALSE),"NO")</f>
        <v>NO</v>
      </c>
      <c r="K1085">
        <v>5</v>
      </c>
      <c r="L1085" t="s">
        <v>836</v>
      </c>
      <c r="M1085">
        <v>18</v>
      </c>
    </row>
    <row r="1086" spans="1:18" hidden="1">
      <c r="A1086" s="23" t="s">
        <v>2180</v>
      </c>
      <c r="B1086" s="23" t="s">
        <v>2181</v>
      </c>
      <c r="C1086" s="23">
        <v>151</v>
      </c>
      <c r="D1086" t="s">
        <v>436</v>
      </c>
      <c r="I1086" s="3" t="str">
        <f>+IFERROR(VLOOKUP(C1086,'Mov 2023 hasta ahora '!$C$2:$D$314,2,FALSE),"NO")</f>
        <v>NO</v>
      </c>
      <c r="K1086">
        <v>6</v>
      </c>
      <c r="L1086" t="s">
        <v>836</v>
      </c>
      <c r="M1086">
        <v>24</v>
      </c>
      <c r="O1086" s="29" t="s">
        <v>8727</v>
      </c>
      <c r="P1086" s="25" t="s">
        <v>8728</v>
      </c>
      <c r="Q1086" s="25">
        <v>2281</v>
      </c>
      <c r="R1086" t="s">
        <v>436</v>
      </c>
    </row>
    <row r="1087" spans="1:18" hidden="1">
      <c r="A1087" s="23" t="s">
        <v>2182</v>
      </c>
      <c r="B1087" s="23" t="s">
        <v>2183</v>
      </c>
      <c r="C1087" s="23">
        <v>1576</v>
      </c>
      <c r="D1087" t="s">
        <v>436</v>
      </c>
      <c r="I1087" s="3" t="str">
        <f>+IFERROR(VLOOKUP(C1087,'Mov 2023 hasta ahora '!$C$2:$D$314,2,FALSE),"NO")</f>
        <v>NO</v>
      </c>
      <c r="K1087">
        <v>6</v>
      </c>
      <c r="L1087" t="s">
        <v>836</v>
      </c>
      <c r="M1087">
        <v>24</v>
      </c>
      <c r="O1087" s="29" t="s">
        <v>9066</v>
      </c>
      <c r="P1087" s="25" t="s">
        <v>9067</v>
      </c>
      <c r="Q1087" s="25">
        <v>1575</v>
      </c>
      <c r="R1087" t="s">
        <v>436</v>
      </c>
    </row>
    <row r="1088" spans="1:18" hidden="1">
      <c r="A1088" t="s">
        <v>2184</v>
      </c>
      <c r="B1088" t="s">
        <v>2185</v>
      </c>
      <c r="I1088" s="3" t="str">
        <f>+IFERROR(VLOOKUP(C1088,'Mov 2023 hasta ahora '!$C$2:$D$314,2,FALSE),"NO")</f>
        <v>NO</v>
      </c>
      <c r="K1088">
        <v>4</v>
      </c>
      <c r="L1088" t="s">
        <v>836</v>
      </c>
      <c r="M1088">
        <v>14</v>
      </c>
    </row>
    <row r="1089" spans="1:18" hidden="1">
      <c r="A1089" t="s">
        <v>2186</v>
      </c>
      <c r="B1089" t="s">
        <v>2187</v>
      </c>
      <c r="I1089" s="3" t="str">
        <f>+IFERROR(VLOOKUP(C1089,'Mov 2023 hasta ahora '!$C$2:$D$314,2,FALSE),"NO")</f>
        <v>NO</v>
      </c>
      <c r="K1089">
        <v>5</v>
      </c>
      <c r="L1089" t="s">
        <v>836</v>
      </c>
      <c r="M1089">
        <v>18</v>
      </c>
    </row>
    <row r="1090" spans="1:18" hidden="1">
      <c r="A1090" s="23" t="s">
        <v>2188</v>
      </c>
      <c r="B1090" s="23" t="s">
        <v>2189</v>
      </c>
      <c r="C1090" s="23">
        <v>2281</v>
      </c>
      <c r="D1090" t="s">
        <v>436</v>
      </c>
      <c r="I1090" s="3">
        <f>+IFERROR(VLOOKUP(C1090,'Mov 2023 hasta ahora '!$C$2:$D$314,2,FALSE),"NO")</f>
        <v>384</v>
      </c>
      <c r="K1090">
        <v>6</v>
      </c>
      <c r="L1090" t="s">
        <v>836</v>
      </c>
      <c r="M1090">
        <v>24</v>
      </c>
      <c r="O1090" s="25" t="s">
        <v>8727</v>
      </c>
      <c r="P1090" s="25" t="s">
        <v>8728</v>
      </c>
      <c r="Q1090" s="25">
        <v>2281</v>
      </c>
      <c r="R1090" t="s">
        <v>436</v>
      </c>
    </row>
    <row r="1091" spans="1:18" hidden="1">
      <c r="A1091" s="23" t="s">
        <v>2190</v>
      </c>
      <c r="B1091" s="23" t="s">
        <v>2191</v>
      </c>
      <c r="C1091" s="23">
        <v>2282</v>
      </c>
      <c r="D1091" t="s">
        <v>436</v>
      </c>
      <c r="I1091" s="3" t="str">
        <f>+IFERROR(VLOOKUP(C1091,'Mov 2023 hasta ahora '!$C$2:$D$314,2,FALSE),"NO")</f>
        <v>NO</v>
      </c>
      <c r="K1091">
        <v>6</v>
      </c>
      <c r="L1091" t="s">
        <v>836</v>
      </c>
      <c r="M1091">
        <v>24</v>
      </c>
      <c r="O1091" s="29" t="s">
        <v>8974</v>
      </c>
      <c r="P1091" s="25" t="s">
        <v>8969</v>
      </c>
      <c r="Q1091" s="25">
        <v>2284</v>
      </c>
      <c r="R1091" t="s">
        <v>436</v>
      </c>
    </row>
    <row r="1092" spans="1:18" hidden="1">
      <c r="A1092" s="23" t="s">
        <v>2192</v>
      </c>
      <c r="B1092" s="23" t="s">
        <v>2193</v>
      </c>
      <c r="C1092" s="23">
        <v>2397</v>
      </c>
      <c r="I1092" s="3" t="str">
        <f>+IFERROR(VLOOKUP(C1092,'Mov 2023 hasta ahora '!$C$2:$D$314,2,FALSE),"NO")</f>
        <v>NO</v>
      </c>
      <c r="K1092">
        <v>6</v>
      </c>
      <c r="L1092" t="s">
        <v>836</v>
      </c>
      <c r="M1092">
        <v>24</v>
      </c>
      <c r="O1092" s="29" t="s">
        <v>9173</v>
      </c>
      <c r="P1092" s="25" t="s">
        <v>8972</v>
      </c>
      <c r="Q1092" s="25">
        <v>1823</v>
      </c>
      <c r="R1092" t="s">
        <v>436</v>
      </c>
    </row>
    <row r="1093" spans="1:18" hidden="1">
      <c r="A1093" t="s">
        <v>2194</v>
      </c>
      <c r="B1093" t="s">
        <v>2195</v>
      </c>
      <c r="I1093" s="3" t="str">
        <f>+IFERROR(VLOOKUP(C1093,'Mov 2023 hasta ahora '!$C$2:$D$314,2,FALSE),"NO")</f>
        <v>NO</v>
      </c>
      <c r="K1093">
        <v>3</v>
      </c>
      <c r="L1093" t="s">
        <v>836</v>
      </c>
      <c r="M1093">
        <v>10</v>
      </c>
    </row>
    <row r="1094" spans="1:18" hidden="1">
      <c r="A1094" t="s">
        <v>2196</v>
      </c>
      <c r="B1094" t="s">
        <v>2197</v>
      </c>
      <c r="I1094" s="3" t="str">
        <f>+IFERROR(VLOOKUP(C1094,'Mov 2023 hasta ahora '!$C$2:$D$314,2,FALSE),"NO")</f>
        <v>NO</v>
      </c>
      <c r="K1094">
        <v>4</v>
      </c>
      <c r="L1094" t="s">
        <v>836</v>
      </c>
      <c r="M1094">
        <v>14</v>
      </c>
    </row>
    <row r="1095" spans="1:18" hidden="1">
      <c r="A1095" t="s">
        <v>2198</v>
      </c>
      <c r="B1095" t="s">
        <v>2199</v>
      </c>
      <c r="I1095" s="3" t="str">
        <f>+IFERROR(VLOOKUP(C1095,'Mov 2023 hasta ahora '!$C$2:$D$314,2,FALSE),"NO")</f>
        <v>NO</v>
      </c>
      <c r="K1095">
        <v>5</v>
      </c>
      <c r="L1095" t="s">
        <v>836</v>
      </c>
      <c r="M1095">
        <v>18</v>
      </c>
    </row>
    <row r="1096" spans="1:18" hidden="1">
      <c r="A1096" s="23" t="s">
        <v>2200</v>
      </c>
      <c r="B1096" s="23" t="s">
        <v>2201</v>
      </c>
      <c r="C1096" s="23">
        <v>154</v>
      </c>
      <c r="D1096" t="s">
        <v>436</v>
      </c>
      <c r="I1096" s="3" t="str">
        <f>+IFERROR(VLOOKUP(C1096,'Mov 2023 hasta ahora '!$C$2:$D$314,2,FALSE),"NO")</f>
        <v>NO</v>
      </c>
      <c r="K1096">
        <v>6</v>
      </c>
      <c r="L1096" t="s">
        <v>836</v>
      </c>
      <c r="M1096">
        <v>24</v>
      </c>
      <c r="O1096" s="29" t="s">
        <v>8974</v>
      </c>
      <c r="P1096" s="25" t="s">
        <v>8969</v>
      </c>
      <c r="Q1096" s="25">
        <v>2284</v>
      </c>
      <c r="R1096" t="s">
        <v>436</v>
      </c>
    </row>
    <row r="1097" spans="1:18" hidden="1">
      <c r="A1097" t="s">
        <v>2202</v>
      </c>
      <c r="B1097" t="s">
        <v>2203</v>
      </c>
      <c r="I1097" s="3" t="str">
        <f>+IFERROR(VLOOKUP(C1097,'Mov 2023 hasta ahora '!$C$2:$D$314,2,FALSE),"NO")</f>
        <v>NO</v>
      </c>
      <c r="K1097">
        <v>5</v>
      </c>
      <c r="L1097" t="s">
        <v>836</v>
      </c>
      <c r="M1097">
        <v>18</v>
      </c>
    </row>
    <row r="1098" spans="1:18" hidden="1">
      <c r="A1098" s="23" t="s">
        <v>2204</v>
      </c>
      <c r="B1098" s="23" t="s">
        <v>2205</v>
      </c>
      <c r="C1098" s="23">
        <v>1824</v>
      </c>
      <c r="D1098" t="s">
        <v>436</v>
      </c>
      <c r="I1098" s="3" t="str">
        <f>+IFERROR(VLOOKUP(C1098,'Mov 2023 hasta ahora '!$C$2:$D$314,2,FALSE),"NO")</f>
        <v>NO</v>
      </c>
      <c r="K1098">
        <v>6</v>
      </c>
      <c r="L1098" t="s">
        <v>836</v>
      </c>
      <c r="M1098">
        <v>24</v>
      </c>
      <c r="O1098" s="29" t="s">
        <v>9173</v>
      </c>
      <c r="P1098" s="25" t="s">
        <v>8972</v>
      </c>
      <c r="Q1098" s="25">
        <v>1823</v>
      </c>
      <c r="R1098" t="s">
        <v>436</v>
      </c>
    </row>
    <row r="1099" spans="1:18" hidden="1">
      <c r="A1099" t="s">
        <v>2206</v>
      </c>
      <c r="B1099" t="s">
        <v>2207</v>
      </c>
      <c r="I1099" s="3" t="str">
        <f>+IFERROR(VLOOKUP(C1099,'Mov 2023 hasta ahora '!$C$2:$D$314,2,FALSE),"NO")</f>
        <v>NO</v>
      </c>
      <c r="K1099">
        <v>4</v>
      </c>
      <c r="L1099" t="s">
        <v>836</v>
      </c>
      <c r="M1099">
        <v>14</v>
      </c>
    </row>
    <row r="1100" spans="1:18" hidden="1">
      <c r="A1100" t="s">
        <v>2208</v>
      </c>
      <c r="B1100" t="s">
        <v>2209</v>
      </c>
      <c r="I1100" s="3" t="str">
        <f>+IFERROR(VLOOKUP(C1100,'Mov 2023 hasta ahora '!$C$2:$D$314,2,FALSE),"NO")</f>
        <v>NO</v>
      </c>
      <c r="K1100">
        <v>5</v>
      </c>
      <c r="L1100" t="s">
        <v>836</v>
      </c>
      <c r="M1100">
        <v>18</v>
      </c>
    </row>
    <row r="1101" spans="1:18" hidden="1">
      <c r="A1101" s="23" t="s">
        <v>2210</v>
      </c>
      <c r="B1101" s="23" t="s">
        <v>2211</v>
      </c>
      <c r="C1101" s="23">
        <v>153</v>
      </c>
      <c r="D1101" t="s">
        <v>436</v>
      </c>
      <c r="I1101" s="3" t="str">
        <f>+IFERROR(VLOOKUP(C1101,'Mov 2023 hasta ahora '!$C$2:$D$314,2,FALSE),"NO")</f>
        <v>NO</v>
      </c>
      <c r="K1101">
        <v>6</v>
      </c>
      <c r="L1101" t="s">
        <v>836</v>
      </c>
      <c r="M1101">
        <v>24</v>
      </c>
      <c r="O1101" s="29" t="s">
        <v>8726</v>
      </c>
      <c r="P1101" s="25" t="s">
        <v>8729</v>
      </c>
      <c r="Q1101" s="25">
        <v>2283</v>
      </c>
      <c r="R1101" t="s">
        <v>436</v>
      </c>
    </row>
    <row r="1102" spans="1:18" hidden="1">
      <c r="A1102" s="23" t="s">
        <v>2212</v>
      </c>
      <c r="B1102" s="23" t="s">
        <v>2213</v>
      </c>
      <c r="C1102" s="23">
        <v>1575</v>
      </c>
      <c r="D1102" t="s">
        <v>436</v>
      </c>
      <c r="I1102" s="3" t="str">
        <f>+IFERROR(VLOOKUP(C1102,'Mov 2023 hasta ahora '!$C$2:$D$314,2,FALSE),"NO")</f>
        <v>NO</v>
      </c>
      <c r="K1102">
        <v>6</v>
      </c>
      <c r="L1102" t="s">
        <v>836</v>
      </c>
      <c r="M1102">
        <v>24</v>
      </c>
      <c r="O1102" s="29" t="s">
        <v>9066</v>
      </c>
      <c r="P1102" s="25" t="s">
        <v>9067</v>
      </c>
      <c r="Q1102" s="25">
        <v>1575</v>
      </c>
      <c r="R1102" t="s">
        <v>436</v>
      </c>
    </row>
    <row r="1103" spans="1:18" hidden="1">
      <c r="A1103" t="s">
        <v>2214</v>
      </c>
      <c r="B1103" t="s">
        <v>2215</v>
      </c>
      <c r="I1103" s="3" t="str">
        <f>+IFERROR(VLOOKUP(C1103,'Mov 2023 hasta ahora '!$C$2:$D$314,2,FALSE),"NO")</f>
        <v>NO</v>
      </c>
      <c r="K1103">
        <v>4</v>
      </c>
      <c r="L1103" t="s">
        <v>836</v>
      </c>
      <c r="M1103">
        <v>14</v>
      </c>
    </row>
    <row r="1104" spans="1:18" hidden="1">
      <c r="A1104" t="s">
        <v>2216</v>
      </c>
      <c r="B1104" t="s">
        <v>2217</v>
      </c>
      <c r="I1104" s="3" t="str">
        <f>+IFERROR(VLOOKUP(C1104,'Mov 2023 hasta ahora '!$C$2:$D$314,2,FALSE),"NO")</f>
        <v>NO</v>
      </c>
      <c r="K1104">
        <v>5</v>
      </c>
      <c r="L1104" t="s">
        <v>836</v>
      </c>
      <c r="M1104">
        <v>18</v>
      </c>
    </row>
    <row r="1105" spans="1:18" hidden="1">
      <c r="A1105" s="23" t="s">
        <v>2218</v>
      </c>
      <c r="B1105" s="23" t="s">
        <v>2219</v>
      </c>
      <c r="C1105" s="23">
        <v>2283</v>
      </c>
      <c r="D1105" t="s">
        <v>436</v>
      </c>
      <c r="I1105" s="3">
        <f>+IFERROR(VLOOKUP(C1105,'Mov 2023 hasta ahora '!$C$2:$D$314,2,FALSE),"NO")</f>
        <v>1386</v>
      </c>
      <c r="K1105">
        <v>6</v>
      </c>
      <c r="L1105" t="s">
        <v>836</v>
      </c>
      <c r="M1105">
        <v>24</v>
      </c>
      <c r="O1105" s="25" t="s">
        <v>8726</v>
      </c>
      <c r="P1105" s="25" t="s">
        <v>8729</v>
      </c>
      <c r="Q1105" s="25">
        <v>2283</v>
      </c>
      <c r="R1105" t="s">
        <v>436</v>
      </c>
    </row>
    <row r="1106" spans="1:18" hidden="1">
      <c r="A1106" s="23" t="s">
        <v>2220</v>
      </c>
      <c r="B1106" s="23" t="s">
        <v>2221</v>
      </c>
      <c r="C1106" s="23">
        <v>2284</v>
      </c>
      <c r="D1106" t="s">
        <v>436</v>
      </c>
      <c r="I1106" s="3" t="str">
        <f>+IFERROR(VLOOKUP(C1106,'Mov 2023 hasta ahora '!$C$2:$D$314,2,FALSE),"NO")</f>
        <v>NO</v>
      </c>
      <c r="K1106">
        <v>6</v>
      </c>
      <c r="L1106" t="s">
        <v>836</v>
      </c>
      <c r="M1106">
        <v>24</v>
      </c>
      <c r="O1106" s="29" t="s">
        <v>8974</v>
      </c>
      <c r="P1106" s="25" t="s">
        <v>8969</v>
      </c>
      <c r="Q1106" s="25">
        <v>2284</v>
      </c>
      <c r="R1106" t="s">
        <v>436</v>
      </c>
    </row>
    <row r="1107" spans="1:18" hidden="1">
      <c r="A1107" s="23" t="s">
        <v>2222</v>
      </c>
      <c r="B1107" s="23" t="s">
        <v>2223</v>
      </c>
      <c r="C1107" s="23">
        <v>2398</v>
      </c>
      <c r="I1107" s="3" t="str">
        <f>+IFERROR(VLOOKUP(C1107,'Mov 2023 hasta ahora '!$C$2:$D$314,2,FALSE),"NO")</f>
        <v>NO</v>
      </c>
      <c r="K1107">
        <v>6</v>
      </c>
      <c r="L1107" t="s">
        <v>836</v>
      </c>
      <c r="M1107">
        <v>24</v>
      </c>
      <c r="O1107" s="29" t="s">
        <v>9173</v>
      </c>
      <c r="P1107" s="25" t="s">
        <v>8972</v>
      </c>
      <c r="Q1107" s="25">
        <v>1823</v>
      </c>
      <c r="R1107" t="s">
        <v>436</v>
      </c>
    </row>
    <row r="1108" spans="1:18" hidden="1">
      <c r="A1108" t="s">
        <v>2224</v>
      </c>
      <c r="B1108" t="s">
        <v>2225</v>
      </c>
      <c r="I1108" s="3" t="str">
        <f>+IFERROR(VLOOKUP(C1108,'Mov 2023 hasta ahora '!$C$2:$D$314,2,FALSE),"NO")</f>
        <v>NO</v>
      </c>
      <c r="K1108">
        <v>3</v>
      </c>
      <c r="L1108" t="s">
        <v>836</v>
      </c>
      <c r="M1108">
        <v>10</v>
      </c>
    </row>
    <row r="1109" spans="1:18" hidden="1">
      <c r="A1109" t="s">
        <v>2226</v>
      </c>
      <c r="B1109" t="s">
        <v>2227</v>
      </c>
      <c r="I1109" s="3" t="str">
        <f>+IFERROR(VLOOKUP(C1109,'Mov 2023 hasta ahora '!$C$2:$D$314,2,FALSE),"NO")</f>
        <v>NO</v>
      </c>
      <c r="K1109">
        <v>4</v>
      </c>
      <c r="L1109" t="s">
        <v>836</v>
      </c>
      <c r="M1109">
        <v>14</v>
      </c>
    </row>
    <row r="1110" spans="1:18" hidden="1">
      <c r="A1110" t="s">
        <v>2228</v>
      </c>
      <c r="B1110" t="s">
        <v>2229</v>
      </c>
      <c r="I1110" s="3" t="str">
        <f>+IFERROR(VLOOKUP(C1110,'Mov 2023 hasta ahora '!$C$2:$D$314,2,FALSE),"NO")</f>
        <v>NO</v>
      </c>
      <c r="K1110">
        <v>5</v>
      </c>
      <c r="L1110" t="s">
        <v>836</v>
      </c>
      <c r="M1110">
        <v>18</v>
      </c>
    </row>
    <row r="1111" spans="1:18" hidden="1">
      <c r="A1111" s="23" t="s">
        <v>2230</v>
      </c>
      <c r="B1111" s="23" t="s">
        <v>2231</v>
      </c>
      <c r="C1111" s="23">
        <v>2558</v>
      </c>
      <c r="I1111" s="3" t="str">
        <f>+IFERROR(VLOOKUP(C1111,'Mov 2023 hasta ahora '!$C$2:$D$314,2,FALSE),"NO")</f>
        <v>NO</v>
      </c>
      <c r="K1111">
        <v>6</v>
      </c>
      <c r="L1111" t="s">
        <v>836</v>
      </c>
      <c r="M1111">
        <v>24</v>
      </c>
      <c r="O1111" s="29" t="s">
        <v>8861</v>
      </c>
      <c r="P1111" s="25" t="s">
        <v>8868</v>
      </c>
      <c r="Q1111" s="25">
        <v>1419</v>
      </c>
      <c r="R1111" t="s">
        <v>436</v>
      </c>
    </row>
    <row r="1112" spans="1:18" hidden="1">
      <c r="A1112" s="23" t="s">
        <v>2232</v>
      </c>
      <c r="B1112" s="23" t="s">
        <v>2233</v>
      </c>
      <c r="C1112" s="23">
        <v>2557</v>
      </c>
      <c r="I1112" s="3" t="str">
        <f>+IFERROR(VLOOKUP(C1112,'Mov 2023 hasta ahora '!$C$2:$D$314,2,FALSE),"NO")</f>
        <v>NO</v>
      </c>
      <c r="K1112">
        <v>6</v>
      </c>
      <c r="L1112" t="s">
        <v>836</v>
      </c>
      <c r="M1112">
        <v>24</v>
      </c>
      <c r="O1112" s="29" t="s">
        <v>9173</v>
      </c>
      <c r="P1112" s="25" t="s">
        <v>8972</v>
      </c>
      <c r="Q1112" s="25">
        <v>1823</v>
      </c>
      <c r="R1112" t="s">
        <v>436</v>
      </c>
    </row>
    <row r="1113" spans="1:18" hidden="1">
      <c r="A1113" t="s">
        <v>2234</v>
      </c>
      <c r="B1113" t="s">
        <v>2235</v>
      </c>
      <c r="I1113" s="3" t="str">
        <f>+IFERROR(VLOOKUP(C1113,'Mov 2023 hasta ahora '!$C$2:$D$314,2,FALSE),"NO")</f>
        <v>NO</v>
      </c>
      <c r="K1113">
        <v>3</v>
      </c>
      <c r="L1113" t="s">
        <v>836</v>
      </c>
      <c r="M1113">
        <v>10</v>
      </c>
    </row>
    <row r="1114" spans="1:18" hidden="1">
      <c r="A1114" t="s">
        <v>2236</v>
      </c>
      <c r="B1114" t="s">
        <v>2237</v>
      </c>
      <c r="I1114" s="3" t="str">
        <f>+IFERROR(VLOOKUP(C1114,'Mov 2023 hasta ahora '!$C$2:$D$314,2,FALSE),"NO")</f>
        <v>NO</v>
      </c>
      <c r="K1114">
        <v>4</v>
      </c>
      <c r="L1114" t="s">
        <v>836</v>
      </c>
      <c r="M1114">
        <v>14</v>
      </c>
    </row>
    <row r="1115" spans="1:18" hidden="1">
      <c r="A1115" t="s">
        <v>2238</v>
      </c>
      <c r="B1115" t="s">
        <v>2239</v>
      </c>
      <c r="I1115" s="3" t="str">
        <f>+IFERROR(VLOOKUP(C1115,'Mov 2023 hasta ahora '!$C$2:$D$314,2,FALSE),"NO")</f>
        <v>NO</v>
      </c>
      <c r="K1115">
        <v>5</v>
      </c>
      <c r="L1115" t="s">
        <v>836</v>
      </c>
      <c r="M1115">
        <v>18</v>
      </c>
    </row>
    <row r="1116" spans="1:18" hidden="1">
      <c r="A1116" s="23" t="s">
        <v>2240</v>
      </c>
      <c r="B1116" s="23" t="s">
        <v>2241</v>
      </c>
      <c r="C1116" s="23">
        <v>2965</v>
      </c>
      <c r="I1116" s="3" t="str">
        <f>+IFERROR(VLOOKUP(C1116,'Mov 2023 hasta ahora '!$C$2:$D$314,2,FALSE),"NO")</f>
        <v>NO</v>
      </c>
      <c r="K1116">
        <v>6</v>
      </c>
      <c r="L1116" t="s">
        <v>836</v>
      </c>
      <c r="M1116">
        <v>24</v>
      </c>
      <c r="O1116" s="29" t="s">
        <v>8739</v>
      </c>
      <c r="P1116" s="25" t="s">
        <v>9068</v>
      </c>
      <c r="Q1116" s="25">
        <v>2965</v>
      </c>
      <c r="R1116" t="s">
        <v>436</v>
      </c>
    </row>
    <row r="1117" spans="1:18" hidden="1">
      <c r="A1117" s="23" t="s">
        <v>2242</v>
      </c>
      <c r="B1117" s="23" t="s">
        <v>2243</v>
      </c>
      <c r="C1117" s="23">
        <v>2966</v>
      </c>
      <c r="I1117" s="3" t="str">
        <f>+IFERROR(VLOOKUP(C1117,'Mov 2023 hasta ahora '!$C$2:$D$314,2,FALSE),"NO")</f>
        <v>NO</v>
      </c>
      <c r="K1117">
        <v>6</v>
      </c>
      <c r="L1117" t="s">
        <v>836</v>
      </c>
      <c r="M1117">
        <v>24</v>
      </c>
      <c r="O1117" s="29" t="s">
        <v>8974</v>
      </c>
      <c r="P1117" s="25" t="s">
        <v>8969</v>
      </c>
      <c r="Q1117" s="25">
        <v>2284</v>
      </c>
      <c r="R1117" t="s">
        <v>436</v>
      </c>
    </row>
    <row r="1118" spans="1:18" hidden="1">
      <c r="A1118" s="23" t="s">
        <v>2244</v>
      </c>
      <c r="B1118" s="23" t="s">
        <v>2245</v>
      </c>
      <c r="C1118" s="23">
        <v>2967</v>
      </c>
      <c r="I1118" s="3" t="str">
        <f>+IFERROR(VLOOKUP(C1118,'Mov 2023 hasta ahora '!$C$2:$D$314,2,FALSE),"NO")</f>
        <v>NO</v>
      </c>
      <c r="K1118">
        <v>6</v>
      </c>
      <c r="L1118" t="s">
        <v>836</v>
      </c>
      <c r="M1118">
        <v>24</v>
      </c>
      <c r="O1118" s="29" t="s">
        <v>9173</v>
      </c>
      <c r="P1118" s="25" t="s">
        <v>8972</v>
      </c>
      <c r="Q1118" s="25">
        <v>1823</v>
      </c>
      <c r="R1118" t="s">
        <v>436</v>
      </c>
    </row>
    <row r="1119" spans="1:18" hidden="1">
      <c r="A1119" t="s">
        <v>2246</v>
      </c>
      <c r="B1119" t="s">
        <v>2247</v>
      </c>
      <c r="I1119" s="3" t="str">
        <f>+IFERROR(VLOOKUP(C1119,'Mov 2023 hasta ahora '!$C$2:$D$314,2,FALSE),"NO")</f>
        <v>NO</v>
      </c>
      <c r="K1119">
        <v>3</v>
      </c>
      <c r="L1119" t="s">
        <v>836</v>
      </c>
      <c r="M1119">
        <v>10</v>
      </c>
    </row>
    <row r="1120" spans="1:18" hidden="1">
      <c r="A1120" t="s">
        <v>2248</v>
      </c>
      <c r="B1120" t="s">
        <v>2249</v>
      </c>
      <c r="I1120" s="3" t="str">
        <f>+IFERROR(VLOOKUP(C1120,'Mov 2023 hasta ahora '!$C$2:$D$314,2,FALSE),"NO")</f>
        <v>NO</v>
      </c>
      <c r="K1120">
        <v>4</v>
      </c>
      <c r="L1120" t="s">
        <v>836</v>
      </c>
      <c r="M1120">
        <v>14</v>
      </c>
    </row>
    <row r="1121" spans="1:18" hidden="1">
      <c r="A1121" t="s">
        <v>2250</v>
      </c>
      <c r="B1121" t="s">
        <v>2251</v>
      </c>
      <c r="I1121" s="3" t="str">
        <f>+IFERROR(VLOOKUP(C1121,'Mov 2023 hasta ahora '!$C$2:$D$314,2,FALSE),"NO")</f>
        <v>NO</v>
      </c>
      <c r="K1121">
        <v>5</v>
      </c>
      <c r="L1121" t="s">
        <v>836</v>
      </c>
      <c r="M1121">
        <v>18</v>
      </c>
    </row>
    <row r="1122" spans="1:18" hidden="1">
      <c r="A1122" s="23" t="s">
        <v>2252</v>
      </c>
      <c r="B1122" s="23" t="s">
        <v>2253</v>
      </c>
      <c r="C1122" s="23">
        <v>1979</v>
      </c>
      <c r="I1122" s="3" t="str">
        <f>+IFERROR(VLOOKUP(C1122,'Mov 2023 hasta ahora '!$C$2:$D$314,2,FALSE),"NO")</f>
        <v>NO</v>
      </c>
      <c r="K1122">
        <v>6</v>
      </c>
      <c r="L1122" t="s">
        <v>836</v>
      </c>
      <c r="M1122">
        <v>24</v>
      </c>
      <c r="O1122" s="29" t="s">
        <v>8672</v>
      </c>
      <c r="P1122" s="25" t="s">
        <v>8673</v>
      </c>
      <c r="Q1122" s="25">
        <v>1697</v>
      </c>
      <c r="R1122" t="s">
        <v>436</v>
      </c>
    </row>
    <row r="1123" spans="1:18" hidden="1">
      <c r="A1123" t="s">
        <v>2254</v>
      </c>
      <c r="B1123" t="s">
        <v>2255</v>
      </c>
      <c r="I1123" s="3" t="str">
        <f>+IFERROR(VLOOKUP(C1123,'Mov 2023 hasta ahora '!$C$2:$D$314,2,FALSE),"NO")</f>
        <v>NO</v>
      </c>
      <c r="K1123">
        <v>5</v>
      </c>
      <c r="L1123" t="s">
        <v>836</v>
      </c>
      <c r="M1123">
        <v>18</v>
      </c>
    </row>
    <row r="1124" spans="1:18" hidden="1">
      <c r="A1124" s="23" t="s">
        <v>2256</v>
      </c>
      <c r="B1124" s="23" t="s">
        <v>2257</v>
      </c>
      <c r="C1124" s="23">
        <v>170</v>
      </c>
      <c r="D1124" t="s">
        <v>436</v>
      </c>
      <c r="I1124" s="3" t="str">
        <f>+IFERROR(VLOOKUP(C1124,'Mov 2023 hasta ahora '!$C$2:$D$314,2,FALSE),"NO")</f>
        <v>NO</v>
      </c>
      <c r="K1124">
        <v>6</v>
      </c>
      <c r="L1124" t="s">
        <v>836</v>
      </c>
      <c r="M1124">
        <v>24</v>
      </c>
      <c r="O1124" s="29" t="s">
        <v>8725</v>
      </c>
      <c r="P1124" s="25" t="s">
        <v>8965</v>
      </c>
      <c r="Q1124" s="25">
        <v>1424</v>
      </c>
      <c r="R1124" t="s">
        <v>436</v>
      </c>
    </row>
    <row r="1125" spans="1:18" hidden="1">
      <c r="A1125" t="s">
        <v>2258</v>
      </c>
      <c r="B1125" t="s">
        <v>2259</v>
      </c>
      <c r="I1125" s="3" t="str">
        <f>+IFERROR(VLOOKUP(C1125,'Mov 2023 hasta ahora '!$C$2:$D$314,2,FALSE),"NO")</f>
        <v>NO</v>
      </c>
      <c r="K1125">
        <v>5</v>
      </c>
      <c r="L1125" t="s">
        <v>836</v>
      </c>
      <c r="M1125">
        <v>18</v>
      </c>
    </row>
    <row r="1126" spans="1:18" hidden="1">
      <c r="A1126" s="23" t="s">
        <v>2260</v>
      </c>
      <c r="B1126" s="23" t="s">
        <v>2261</v>
      </c>
      <c r="C1126" s="23">
        <v>169</v>
      </c>
      <c r="D1126" t="s">
        <v>436</v>
      </c>
      <c r="I1126" s="3">
        <f>+IFERROR(VLOOKUP(C1126,'Mov 2023 hasta ahora '!$C$2:$D$314,2,FALSE),"NO")</f>
        <v>406</v>
      </c>
      <c r="K1126">
        <v>6</v>
      </c>
      <c r="L1126" t="s">
        <v>836</v>
      </c>
      <c r="M1126">
        <v>24</v>
      </c>
      <c r="O1126" s="29" t="s">
        <v>8725</v>
      </c>
      <c r="P1126" s="25" t="s">
        <v>8965</v>
      </c>
      <c r="Q1126" s="25">
        <v>1424</v>
      </c>
      <c r="R1126" t="s">
        <v>436</v>
      </c>
    </row>
    <row r="1127" spans="1:18" hidden="1">
      <c r="A1127" t="s">
        <v>2262</v>
      </c>
      <c r="B1127" t="s">
        <v>2263</v>
      </c>
      <c r="I1127" s="3" t="str">
        <f>+IFERROR(VLOOKUP(C1127,'Mov 2023 hasta ahora '!$C$2:$D$314,2,FALSE),"NO")</f>
        <v>NO</v>
      </c>
      <c r="K1127">
        <v>5</v>
      </c>
      <c r="L1127" t="s">
        <v>836</v>
      </c>
      <c r="M1127">
        <v>18</v>
      </c>
    </row>
    <row r="1128" spans="1:18" hidden="1">
      <c r="A1128" s="23" t="s">
        <v>2264</v>
      </c>
      <c r="B1128" s="23" t="s">
        <v>2265</v>
      </c>
      <c r="C1128" s="23">
        <v>1424</v>
      </c>
      <c r="D1128" t="s">
        <v>436</v>
      </c>
      <c r="I1128" s="3">
        <f>+IFERROR(VLOOKUP(C1128,'Mov 2023 hasta ahora '!$C$2:$D$314,2,FALSE),"NO")</f>
        <v>807</v>
      </c>
      <c r="K1128">
        <v>6</v>
      </c>
      <c r="L1128" t="s">
        <v>836</v>
      </c>
      <c r="M1128">
        <v>24</v>
      </c>
      <c r="O1128" s="29" t="s">
        <v>8725</v>
      </c>
      <c r="P1128" s="25" t="s">
        <v>8965</v>
      </c>
      <c r="Q1128" s="25">
        <v>1424</v>
      </c>
      <c r="R1128" t="s">
        <v>436</v>
      </c>
    </row>
    <row r="1129" spans="1:18" hidden="1">
      <c r="A1129" t="s">
        <v>2266</v>
      </c>
      <c r="B1129" t="s">
        <v>2267</v>
      </c>
      <c r="I1129" s="3" t="str">
        <f>+IFERROR(VLOOKUP(C1129,'Mov 2023 hasta ahora '!$C$2:$D$314,2,FALSE),"NO")</f>
        <v>NO</v>
      </c>
      <c r="K1129">
        <v>4</v>
      </c>
      <c r="L1129" t="s">
        <v>836</v>
      </c>
      <c r="M1129">
        <v>14</v>
      </c>
    </row>
    <row r="1130" spans="1:18" hidden="1">
      <c r="A1130" t="s">
        <v>2268</v>
      </c>
      <c r="B1130" t="s">
        <v>2269</v>
      </c>
      <c r="I1130" s="3" t="str">
        <f>+IFERROR(VLOOKUP(C1130,'Mov 2023 hasta ahora '!$C$2:$D$314,2,FALSE),"NO")</f>
        <v>NO</v>
      </c>
      <c r="K1130">
        <v>5</v>
      </c>
      <c r="L1130" t="s">
        <v>836</v>
      </c>
      <c r="M1130">
        <v>18</v>
      </c>
    </row>
    <row r="1131" spans="1:18" hidden="1">
      <c r="A1131" s="23" t="s">
        <v>2270</v>
      </c>
      <c r="B1131" s="23" t="s">
        <v>2271</v>
      </c>
      <c r="C1131" s="23">
        <v>1572</v>
      </c>
      <c r="D1131" t="s">
        <v>436</v>
      </c>
      <c r="I1131" s="3" t="str">
        <f>+IFERROR(VLOOKUP(C1131,'Mov 2023 hasta ahora '!$C$2:$D$314,2,FALSE),"NO")</f>
        <v>NO</v>
      </c>
      <c r="K1131">
        <v>6</v>
      </c>
      <c r="L1131" t="s">
        <v>836</v>
      </c>
      <c r="M1131">
        <v>24</v>
      </c>
      <c r="O1131" s="29" t="s">
        <v>8966</v>
      </c>
      <c r="P1131" s="25" t="s">
        <v>8967</v>
      </c>
      <c r="Q1131" s="25">
        <v>2285</v>
      </c>
      <c r="R1131" t="s">
        <v>436</v>
      </c>
    </row>
    <row r="1132" spans="1:18" hidden="1">
      <c r="A1132" t="s">
        <v>2272</v>
      </c>
      <c r="B1132" t="s">
        <v>2273</v>
      </c>
      <c r="I1132" s="3" t="str">
        <f>+IFERROR(VLOOKUP(C1132,'Mov 2023 hasta ahora '!$C$2:$D$314,2,FALSE),"NO")</f>
        <v>NO</v>
      </c>
      <c r="K1132">
        <v>5</v>
      </c>
      <c r="L1132" t="s">
        <v>836</v>
      </c>
      <c r="M1132">
        <v>18</v>
      </c>
    </row>
    <row r="1133" spans="1:18" hidden="1">
      <c r="A1133" s="23" t="s">
        <v>2274</v>
      </c>
      <c r="B1133" s="23" t="s">
        <v>2275</v>
      </c>
      <c r="C1133" s="23">
        <v>1573</v>
      </c>
      <c r="D1133" t="s">
        <v>436</v>
      </c>
      <c r="I1133" s="3" t="str">
        <f>+IFERROR(VLOOKUP(C1133,'Mov 2023 hasta ahora '!$C$2:$D$314,2,FALSE),"NO")</f>
        <v>NO</v>
      </c>
      <c r="K1133">
        <v>6</v>
      </c>
      <c r="L1133" t="s">
        <v>836</v>
      </c>
      <c r="M1133">
        <v>24</v>
      </c>
      <c r="O1133" s="29" t="s">
        <v>8841</v>
      </c>
      <c r="P1133" s="25" t="s">
        <v>8740</v>
      </c>
      <c r="Q1133" s="25">
        <v>1573</v>
      </c>
      <c r="R1133" t="s">
        <v>436</v>
      </c>
    </row>
    <row r="1134" spans="1:18" hidden="1">
      <c r="A1134" s="23" t="s">
        <v>2276</v>
      </c>
      <c r="B1134" s="23" t="s">
        <v>2277</v>
      </c>
      <c r="C1134" s="23">
        <v>3846</v>
      </c>
      <c r="D1134" t="s">
        <v>436</v>
      </c>
      <c r="I1134" s="3" t="str">
        <f>+IFERROR(VLOOKUP(C1134,'Mov 2023 hasta ahora '!$C$2:$D$314,2,FALSE),"NO")</f>
        <v>NO</v>
      </c>
      <c r="K1134">
        <v>6</v>
      </c>
      <c r="L1134" t="s">
        <v>836</v>
      </c>
      <c r="M1134">
        <v>24</v>
      </c>
      <c r="O1134" s="29" t="s">
        <v>9173</v>
      </c>
      <c r="P1134" s="25" t="s">
        <v>8972</v>
      </c>
      <c r="Q1134" s="25">
        <v>1823</v>
      </c>
      <c r="R1134" t="s">
        <v>436</v>
      </c>
    </row>
    <row r="1135" spans="1:18" hidden="1">
      <c r="A1135" s="23" t="s">
        <v>2278</v>
      </c>
      <c r="B1135" s="23" t="s">
        <v>2279</v>
      </c>
      <c r="C1135" s="23">
        <v>3847</v>
      </c>
      <c r="D1135" t="s">
        <v>436</v>
      </c>
      <c r="I1135" s="3">
        <f>+IFERROR(VLOOKUP(C1135,'Mov 2023 hasta ahora '!$C$2:$D$314,2,FALSE),"NO")</f>
        <v>6</v>
      </c>
      <c r="K1135">
        <v>6</v>
      </c>
      <c r="L1135" t="s">
        <v>836</v>
      </c>
      <c r="M1135">
        <v>24</v>
      </c>
      <c r="O1135" s="25" t="s">
        <v>9168</v>
      </c>
      <c r="P1135" s="25" t="s">
        <v>8730</v>
      </c>
      <c r="Q1135" s="25">
        <v>3847</v>
      </c>
      <c r="R1135" t="s">
        <v>436</v>
      </c>
    </row>
    <row r="1136" spans="1:18" hidden="1">
      <c r="A1136" s="23" t="s">
        <v>2280</v>
      </c>
      <c r="B1136" s="23" t="s">
        <v>2281</v>
      </c>
      <c r="C1136" s="23">
        <v>3850</v>
      </c>
      <c r="D1136" t="s">
        <v>436</v>
      </c>
      <c r="I1136" s="3">
        <f>+IFERROR(VLOOKUP(C1136,'Mov 2023 hasta ahora '!$C$2:$D$314,2,FALSE),"NO")</f>
        <v>12</v>
      </c>
      <c r="K1136">
        <v>6</v>
      </c>
      <c r="L1136" t="s">
        <v>836</v>
      </c>
      <c r="M1136">
        <v>24</v>
      </c>
      <c r="O1136" s="29" t="s">
        <v>8679</v>
      </c>
      <c r="P1136" s="25" t="s">
        <v>8677</v>
      </c>
      <c r="Q1136" s="25">
        <v>2450</v>
      </c>
      <c r="R1136" t="s">
        <v>436</v>
      </c>
    </row>
    <row r="1137" spans="1:18" hidden="1">
      <c r="A1137" t="s">
        <v>2282</v>
      </c>
      <c r="B1137" t="s">
        <v>2283</v>
      </c>
      <c r="I1137" s="3" t="str">
        <f>+IFERROR(VLOOKUP(C1137,'Mov 2023 hasta ahora '!$C$2:$D$314,2,FALSE),"NO")</f>
        <v>NO</v>
      </c>
      <c r="K1137">
        <v>5</v>
      </c>
      <c r="L1137" t="s">
        <v>836</v>
      </c>
      <c r="M1137">
        <v>18</v>
      </c>
    </row>
    <row r="1138" spans="1:18" hidden="1">
      <c r="A1138" s="23" t="s">
        <v>2284</v>
      </c>
      <c r="B1138" s="23" t="s">
        <v>2285</v>
      </c>
      <c r="C1138" s="23">
        <v>1574</v>
      </c>
      <c r="D1138" t="s">
        <v>436</v>
      </c>
      <c r="I1138" s="3" t="str">
        <f>+IFERROR(VLOOKUP(C1138,'Mov 2023 hasta ahora '!$C$2:$D$314,2,FALSE),"NO")</f>
        <v>NO</v>
      </c>
      <c r="K1138">
        <v>6</v>
      </c>
      <c r="L1138" t="s">
        <v>836</v>
      </c>
      <c r="M1138">
        <v>24</v>
      </c>
      <c r="O1138" s="29" t="s">
        <v>8966</v>
      </c>
      <c r="P1138" s="25" t="s">
        <v>8967</v>
      </c>
      <c r="Q1138" s="25">
        <v>2285</v>
      </c>
      <c r="R1138" t="s">
        <v>436</v>
      </c>
    </row>
    <row r="1139" spans="1:18" hidden="1">
      <c r="A1139" t="s">
        <v>2286</v>
      </c>
      <c r="B1139" t="s">
        <v>2287</v>
      </c>
      <c r="I1139" s="3" t="str">
        <f>+IFERROR(VLOOKUP(C1139,'Mov 2023 hasta ahora '!$C$2:$D$314,2,FALSE),"NO")</f>
        <v>NO</v>
      </c>
      <c r="K1139">
        <v>3</v>
      </c>
      <c r="L1139" t="s">
        <v>836</v>
      </c>
      <c r="M1139">
        <v>10</v>
      </c>
    </row>
    <row r="1140" spans="1:18" hidden="1">
      <c r="A1140" t="s">
        <v>2288</v>
      </c>
      <c r="B1140" t="s">
        <v>2289</v>
      </c>
      <c r="I1140" s="3" t="str">
        <f>+IFERROR(VLOOKUP(C1140,'Mov 2023 hasta ahora '!$C$2:$D$314,2,FALSE),"NO")</f>
        <v>NO</v>
      </c>
      <c r="K1140">
        <v>4</v>
      </c>
      <c r="L1140" t="s">
        <v>836</v>
      </c>
      <c r="M1140">
        <v>14</v>
      </c>
    </row>
    <row r="1141" spans="1:18" hidden="1">
      <c r="A1141" t="s">
        <v>2290</v>
      </c>
      <c r="B1141" t="s">
        <v>2291</v>
      </c>
      <c r="I1141" s="3" t="str">
        <f>+IFERROR(VLOOKUP(C1141,'Mov 2023 hasta ahora '!$C$2:$D$314,2,FALSE),"NO")</f>
        <v>NO</v>
      </c>
      <c r="K1141">
        <v>5</v>
      </c>
      <c r="L1141" t="s">
        <v>836</v>
      </c>
      <c r="M1141">
        <v>18</v>
      </c>
    </row>
    <row r="1142" spans="1:18" hidden="1">
      <c r="A1142" s="23" t="s">
        <v>2292</v>
      </c>
      <c r="B1142" s="23" t="s">
        <v>2293</v>
      </c>
      <c r="C1142" s="23">
        <v>2918</v>
      </c>
      <c r="I1142" s="3" t="str">
        <f>+IFERROR(VLOOKUP(C1142,'Mov 2023 hasta ahora '!$C$2:$D$314,2,FALSE),"NO")</f>
        <v>NO</v>
      </c>
      <c r="K1142">
        <v>6</v>
      </c>
      <c r="L1142" t="s">
        <v>836</v>
      </c>
      <c r="M1142">
        <v>24</v>
      </c>
      <c r="O1142" s="29" t="s">
        <v>8739</v>
      </c>
      <c r="P1142" s="25" t="s">
        <v>9068</v>
      </c>
      <c r="Q1142" s="25">
        <v>2965</v>
      </c>
      <c r="R1142" t="s">
        <v>436</v>
      </c>
    </row>
    <row r="1143" spans="1:18" hidden="1">
      <c r="A1143" s="23" t="s">
        <v>2294</v>
      </c>
      <c r="B1143" s="23" t="s">
        <v>2295</v>
      </c>
      <c r="C1143" s="23">
        <v>2919</v>
      </c>
      <c r="I1143" s="3" t="str">
        <f>+IFERROR(VLOOKUP(C1143,'Mov 2023 hasta ahora '!$C$2:$D$314,2,FALSE),"NO")</f>
        <v>NO</v>
      </c>
      <c r="K1143">
        <v>6</v>
      </c>
      <c r="L1143" t="s">
        <v>836</v>
      </c>
      <c r="M1143">
        <v>24</v>
      </c>
      <c r="O1143" s="29" t="s">
        <v>8974</v>
      </c>
      <c r="P1143" s="25" t="s">
        <v>8969</v>
      </c>
      <c r="Q1143" s="25">
        <v>2284</v>
      </c>
      <c r="R1143" t="s">
        <v>436</v>
      </c>
    </row>
    <row r="1144" spans="1:18" hidden="1">
      <c r="A1144" s="23" t="s">
        <v>2296</v>
      </c>
      <c r="B1144" s="23" t="s">
        <v>2297</v>
      </c>
      <c r="C1144" s="23">
        <v>2920</v>
      </c>
      <c r="I1144" s="3" t="str">
        <f>+IFERROR(VLOOKUP(C1144,'Mov 2023 hasta ahora '!$C$2:$D$314,2,FALSE),"NO")</f>
        <v>NO</v>
      </c>
      <c r="K1144">
        <v>6</v>
      </c>
      <c r="L1144" t="s">
        <v>836</v>
      </c>
      <c r="M1144">
        <v>24</v>
      </c>
      <c r="O1144" s="29" t="s">
        <v>9173</v>
      </c>
      <c r="P1144" s="25" t="s">
        <v>8972</v>
      </c>
      <c r="Q1144" s="25">
        <v>1823</v>
      </c>
      <c r="R1144" t="s">
        <v>436</v>
      </c>
    </row>
    <row r="1145" spans="1:18" hidden="1">
      <c r="A1145" t="s">
        <v>2298</v>
      </c>
      <c r="B1145" t="s">
        <v>2299</v>
      </c>
      <c r="I1145" s="3" t="str">
        <f>+IFERROR(VLOOKUP(C1145,'Mov 2023 hasta ahora '!$C$2:$D$314,2,FALSE),"NO")</f>
        <v>NO</v>
      </c>
      <c r="K1145">
        <v>3</v>
      </c>
      <c r="L1145" t="s">
        <v>836</v>
      </c>
      <c r="M1145">
        <v>10</v>
      </c>
    </row>
    <row r="1146" spans="1:18" hidden="1">
      <c r="A1146" t="s">
        <v>2300</v>
      </c>
      <c r="B1146" t="s">
        <v>2301</v>
      </c>
      <c r="I1146" s="3" t="str">
        <f>+IFERROR(VLOOKUP(C1146,'Mov 2023 hasta ahora '!$C$2:$D$314,2,FALSE),"NO")</f>
        <v>NO</v>
      </c>
      <c r="K1146">
        <v>4</v>
      </c>
      <c r="L1146" t="s">
        <v>836</v>
      </c>
      <c r="M1146">
        <v>14</v>
      </c>
    </row>
    <row r="1147" spans="1:18" hidden="1">
      <c r="A1147" t="s">
        <v>2302</v>
      </c>
      <c r="B1147" t="s">
        <v>2303</v>
      </c>
      <c r="I1147" s="3" t="str">
        <f>+IFERROR(VLOOKUP(C1147,'Mov 2023 hasta ahora '!$C$2:$D$314,2,FALSE),"NO")</f>
        <v>NO</v>
      </c>
      <c r="K1147">
        <v>5</v>
      </c>
      <c r="L1147" t="s">
        <v>836</v>
      </c>
      <c r="M1147">
        <v>18</v>
      </c>
    </row>
    <row r="1148" spans="1:18" hidden="1">
      <c r="A1148" s="23" t="s">
        <v>2304</v>
      </c>
      <c r="B1148" s="23" t="s">
        <v>2305</v>
      </c>
      <c r="C1148" s="23">
        <v>2285</v>
      </c>
      <c r="D1148" t="s">
        <v>436</v>
      </c>
      <c r="I1148" s="3">
        <f>+IFERROR(VLOOKUP(C1148,'Mov 2023 hasta ahora '!$C$2:$D$314,2,FALSE),"NO")</f>
        <v>253</v>
      </c>
      <c r="K1148">
        <v>6</v>
      </c>
      <c r="L1148" t="s">
        <v>836</v>
      </c>
      <c r="M1148">
        <v>24</v>
      </c>
      <c r="O1148" s="29" t="s">
        <v>8966</v>
      </c>
      <c r="P1148" s="25" t="s">
        <v>8967</v>
      </c>
      <c r="Q1148" s="25">
        <v>2285</v>
      </c>
      <c r="R1148" t="s">
        <v>436</v>
      </c>
    </row>
    <row r="1149" spans="1:18" hidden="1">
      <c r="A1149" s="23" t="s">
        <v>2306</v>
      </c>
      <c r="B1149" s="23" t="s">
        <v>2307</v>
      </c>
      <c r="C1149" s="23">
        <v>3810</v>
      </c>
      <c r="D1149" t="s">
        <v>17</v>
      </c>
      <c r="I1149" s="3" t="str">
        <f>+IFERROR(VLOOKUP(C1149,'Mov 2023 hasta ahora '!$C$2:$D$314,2,FALSE),"NO")</f>
        <v>NO</v>
      </c>
      <c r="K1149">
        <v>6</v>
      </c>
      <c r="L1149" t="s">
        <v>836</v>
      </c>
      <c r="M1149">
        <v>22</v>
      </c>
      <c r="O1149" s="29" t="s">
        <v>9173</v>
      </c>
      <c r="P1149" s="25" t="s">
        <v>8972</v>
      </c>
      <c r="Q1149" s="25">
        <v>1823</v>
      </c>
      <c r="R1149" t="s">
        <v>436</v>
      </c>
    </row>
    <row r="1150" spans="1:18" hidden="1">
      <c r="A1150">
        <v>4.4000000000000004</v>
      </c>
      <c r="B1150" t="s">
        <v>2308</v>
      </c>
      <c r="I1150" s="3" t="str">
        <f>+IFERROR(VLOOKUP(C1150,'Mov 2023 hasta ahora '!$C$2:$D$314,2,FALSE),"NO")</f>
        <v>NO</v>
      </c>
      <c r="K1150">
        <v>2</v>
      </c>
      <c r="L1150" t="s">
        <v>836</v>
      </c>
      <c r="M1150">
        <v>3</v>
      </c>
    </row>
    <row r="1151" spans="1:18" hidden="1">
      <c r="A1151" t="s">
        <v>2309</v>
      </c>
      <c r="B1151" t="s">
        <v>2310</v>
      </c>
      <c r="I1151" s="3" t="str">
        <f>+IFERROR(VLOOKUP(C1151,'Mov 2023 hasta ahora '!$C$2:$D$314,2,FALSE),"NO")</f>
        <v>NO</v>
      </c>
      <c r="K1151">
        <v>3</v>
      </c>
      <c r="L1151" t="s">
        <v>836</v>
      </c>
      <c r="M1151">
        <v>10</v>
      </c>
    </row>
    <row r="1152" spans="1:18" hidden="1">
      <c r="A1152" t="s">
        <v>2311</v>
      </c>
      <c r="B1152" t="s">
        <v>2312</v>
      </c>
      <c r="I1152" s="3" t="str">
        <f>+IFERROR(VLOOKUP(C1152,'Mov 2023 hasta ahora '!$C$2:$D$314,2,FALSE),"NO")</f>
        <v>NO</v>
      </c>
      <c r="K1152">
        <v>4</v>
      </c>
      <c r="L1152" t="s">
        <v>836</v>
      </c>
      <c r="M1152">
        <v>14</v>
      </c>
    </row>
    <row r="1153" spans="1:18" hidden="1">
      <c r="A1153" t="s">
        <v>2313</v>
      </c>
      <c r="B1153" t="s">
        <v>2314</v>
      </c>
      <c r="I1153" s="3" t="str">
        <f>+IFERROR(VLOOKUP(C1153,'Mov 2023 hasta ahora '!$C$2:$D$314,2,FALSE),"NO")</f>
        <v>NO</v>
      </c>
      <c r="K1153">
        <v>5</v>
      </c>
      <c r="L1153" t="s">
        <v>836</v>
      </c>
      <c r="M1153">
        <v>18</v>
      </c>
    </row>
    <row r="1154" spans="1:18" hidden="1">
      <c r="A1154" s="23" t="s">
        <v>2315</v>
      </c>
      <c r="B1154" s="23" t="s">
        <v>2316</v>
      </c>
      <c r="C1154" s="23">
        <v>3373</v>
      </c>
      <c r="I1154" s="3" t="str">
        <f>+IFERROR(VLOOKUP(C1154,'Mov 2023 hasta ahora '!$C$2:$D$314,2,FALSE),"NO")</f>
        <v>NO</v>
      </c>
      <c r="K1154">
        <v>6</v>
      </c>
      <c r="L1154" t="s">
        <v>836</v>
      </c>
      <c r="M1154">
        <v>24</v>
      </c>
      <c r="O1154" s="29" t="s">
        <v>8691</v>
      </c>
      <c r="P1154" s="25" t="s">
        <v>8687</v>
      </c>
      <c r="Q1154" s="25">
        <v>1228</v>
      </c>
      <c r="R1154" t="s">
        <v>436</v>
      </c>
    </row>
    <row r="1155" spans="1:18" hidden="1">
      <c r="A1155" t="s">
        <v>2317</v>
      </c>
      <c r="B1155" t="s">
        <v>2318</v>
      </c>
      <c r="I1155" s="3" t="str">
        <f>+IFERROR(VLOOKUP(C1155,'Mov 2023 hasta ahora '!$C$2:$D$314,2,FALSE),"NO")</f>
        <v>NO</v>
      </c>
      <c r="K1155">
        <v>5</v>
      </c>
      <c r="L1155" t="s">
        <v>836</v>
      </c>
      <c r="M1155">
        <v>18</v>
      </c>
    </row>
    <row r="1156" spans="1:18" hidden="1">
      <c r="A1156" s="23" t="s">
        <v>2319</v>
      </c>
      <c r="B1156" s="23" t="s">
        <v>2320</v>
      </c>
      <c r="C1156" s="23">
        <v>3374</v>
      </c>
      <c r="I1156" s="3" t="str">
        <f>+IFERROR(VLOOKUP(C1156,'Mov 2023 hasta ahora '!$C$2:$D$314,2,FALSE),"NO")</f>
        <v>NO</v>
      </c>
      <c r="K1156">
        <v>6</v>
      </c>
      <c r="L1156" t="s">
        <v>836</v>
      </c>
      <c r="M1156">
        <v>24</v>
      </c>
      <c r="O1156" s="29" t="s">
        <v>8691</v>
      </c>
      <c r="P1156" s="25" t="s">
        <v>8687</v>
      </c>
      <c r="Q1156" s="25">
        <v>1228</v>
      </c>
      <c r="R1156" t="s">
        <v>436</v>
      </c>
    </row>
    <row r="1157" spans="1:18" hidden="1">
      <c r="A1157">
        <v>4.51</v>
      </c>
      <c r="B1157" t="s">
        <v>2321</v>
      </c>
      <c r="I1157" s="3" t="str">
        <f>+IFERROR(VLOOKUP(C1157,'Mov 2023 hasta ahora '!$C$2:$D$314,2,FALSE),"NO")</f>
        <v>NO</v>
      </c>
      <c r="K1157">
        <v>2</v>
      </c>
      <c r="L1157" t="s">
        <v>836</v>
      </c>
      <c r="M1157">
        <v>4</v>
      </c>
    </row>
    <row r="1158" spans="1:18" hidden="1">
      <c r="A1158" t="s">
        <v>2322</v>
      </c>
      <c r="B1158" t="s">
        <v>2323</v>
      </c>
      <c r="I1158" s="3" t="str">
        <f>+IFERROR(VLOOKUP(C1158,'Mov 2023 hasta ahora '!$C$2:$D$314,2,FALSE),"NO")</f>
        <v>NO</v>
      </c>
      <c r="J1158" t="s">
        <v>21</v>
      </c>
      <c r="K1158">
        <v>3</v>
      </c>
      <c r="L1158" t="s">
        <v>836</v>
      </c>
      <c r="M1158">
        <v>10</v>
      </c>
    </row>
    <row r="1159" spans="1:18" hidden="1">
      <c r="A1159" t="s">
        <v>2324</v>
      </c>
      <c r="B1159" t="s">
        <v>2325</v>
      </c>
      <c r="I1159" s="3" t="str">
        <f>+IFERROR(VLOOKUP(C1159,'Mov 2023 hasta ahora '!$C$2:$D$314,2,FALSE),"NO")</f>
        <v>NO</v>
      </c>
      <c r="J1159" t="s">
        <v>21</v>
      </c>
      <c r="K1159">
        <v>4</v>
      </c>
      <c r="L1159" t="s">
        <v>836</v>
      </c>
      <c r="M1159">
        <v>14</v>
      </c>
    </row>
    <row r="1160" spans="1:18" hidden="1">
      <c r="A1160" t="s">
        <v>2326</v>
      </c>
      <c r="B1160" t="s">
        <v>2327</v>
      </c>
      <c r="I1160" s="3" t="str">
        <f>+IFERROR(VLOOKUP(C1160,'Mov 2023 hasta ahora '!$C$2:$D$314,2,FALSE),"NO")</f>
        <v>NO</v>
      </c>
      <c r="J1160" t="s">
        <v>21</v>
      </c>
      <c r="K1160">
        <v>5</v>
      </c>
      <c r="L1160" t="s">
        <v>836</v>
      </c>
      <c r="M1160">
        <v>18</v>
      </c>
    </row>
    <row r="1161" spans="1:18" hidden="1">
      <c r="A1161" s="23" t="s">
        <v>2328</v>
      </c>
      <c r="B1161" s="23" t="s">
        <v>2329</v>
      </c>
      <c r="C1161" s="23">
        <v>1956</v>
      </c>
      <c r="I1161" s="3" t="str">
        <f>+IFERROR(VLOOKUP(C1161,'Mov 2023 hasta ahora '!$C$2:$D$314,2,FALSE),"NO")</f>
        <v>NO</v>
      </c>
      <c r="J1161" t="s">
        <v>21</v>
      </c>
      <c r="K1161">
        <v>6</v>
      </c>
      <c r="L1161" t="s">
        <v>836</v>
      </c>
      <c r="M1161">
        <v>24</v>
      </c>
      <c r="O1161" s="29" t="s">
        <v>8691</v>
      </c>
      <c r="P1161" s="25" t="s">
        <v>8687</v>
      </c>
      <c r="Q1161" s="25">
        <v>1228</v>
      </c>
      <c r="R1161" t="s">
        <v>436</v>
      </c>
    </row>
    <row r="1162" spans="1:18" hidden="1">
      <c r="A1162" s="23" t="s">
        <v>2330</v>
      </c>
      <c r="B1162" s="23" t="s">
        <v>2331</v>
      </c>
      <c r="C1162" s="23">
        <v>1912</v>
      </c>
      <c r="I1162" s="3" t="str">
        <f>+IFERROR(VLOOKUP(C1162,'Mov 2023 hasta ahora '!$C$2:$D$314,2,FALSE),"NO")</f>
        <v>NO</v>
      </c>
      <c r="J1162" t="s">
        <v>21</v>
      </c>
      <c r="K1162">
        <v>6</v>
      </c>
      <c r="L1162" t="s">
        <v>836</v>
      </c>
      <c r="M1162">
        <v>24</v>
      </c>
      <c r="O1162" s="29" t="s">
        <v>8691</v>
      </c>
      <c r="P1162" s="25" t="s">
        <v>8687</v>
      </c>
      <c r="Q1162" s="25">
        <v>1228</v>
      </c>
      <c r="R1162" t="s">
        <v>436</v>
      </c>
    </row>
    <row r="1163" spans="1:18" hidden="1">
      <c r="A1163" s="23" t="s">
        <v>2332</v>
      </c>
      <c r="B1163" s="23" t="s">
        <v>2333</v>
      </c>
      <c r="C1163" s="23">
        <v>1957</v>
      </c>
      <c r="I1163" s="3" t="str">
        <f>+IFERROR(VLOOKUP(C1163,'Mov 2023 hasta ahora '!$C$2:$D$314,2,FALSE),"NO")</f>
        <v>NO</v>
      </c>
      <c r="J1163" t="s">
        <v>21</v>
      </c>
      <c r="K1163">
        <v>6</v>
      </c>
      <c r="L1163" t="s">
        <v>836</v>
      </c>
      <c r="M1163">
        <v>24</v>
      </c>
      <c r="O1163" s="29" t="s">
        <v>8691</v>
      </c>
      <c r="P1163" s="25" t="s">
        <v>8687</v>
      </c>
      <c r="Q1163" s="25">
        <v>1228</v>
      </c>
      <c r="R1163" t="s">
        <v>436</v>
      </c>
    </row>
    <row r="1164" spans="1:18" hidden="1">
      <c r="A1164" s="23" t="s">
        <v>2334</v>
      </c>
      <c r="B1164" s="23" t="s">
        <v>2335</v>
      </c>
      <c r="C1164" s="23">
        <v>1911</v>
      </c>
      <c r="I1164" s="3" t="str">
        <f>+IFERROR(VLOOKUP(C1164,'Mov 2023 hasta ahora '!$C$2:$D$314,2,FALSE),"NO")</f>
        <v>NO</v>
      </c>
      <c r="J1164" t="s">
        <v>21</v>
      </c>
      <c r="K1164">
        <v>6</v>
      </c>
      <c r="L1164" t="s">
        <v>836</v>
      </c>
      <c r="M1164">
        <v>24</v>
      </c>
      <c r="O1164" s="29" t="s">
        <v>8691</v>
      </c>
      <c r="P1164" s="25" t="s">
        <v>8687</v>
      </c>
      <c r="Q1164" s="25">
        <v>1228</v>
      </c>
      <c r="R1164" t="s">
        <v>436</v>
      </c>
    </row>
    <row r="1165" spans="1:18" hidden="1">
      <c r="A1165" s="23" t="s">
        <v>2336</v>
      </c>
      <c r="B1165" s="23" t="s">
        <v>2337</v>
      </c>
      <c r="C1165" s="23">
        <v>1958</v>
      </c>
      <c r="I1165" s="3" t="str">
        <f>+IFERROR(VLOOKUP(C1165,'Mov 2023 hasta ahora '!$C$2:$D$314,2,FALSE),"NO")</f>
        <v>NO</v>
      </c>
      <c r="J1165" t="s">
        <v>21</v>
      </c>
      <c r="K1165">
        <v>6</v>
      </c>
      <c r="L1165" t="s">
        <v>836</v>
      </c>
      <c r="M1165">
        <v>24</v>
      </c>
      <c r="O1165" s="29" t="s">
        <v>8691</v>
      </c>
      <c r="P1165" s="25" t="s">
        <v>8687</v>
      </c>
      <c r="Q1165" s="25">
        <v>1228</v>
      </c>
      <c r="R1165" t="s">
        <v>436</v>
      </c>
    </row>
    <row r="1166" spans="1:18" hidden="1">
      <c r="A1166">
        <v>4.55</v>
      </c>
      <c r="B1166" t="s">
        <v>2338</v>
      </c>
      <c r="I1166" s="3" t="str">
        <f>+IFERROR(VLOOKUP(C1166,'Mov 2023 hasta ahora '!$C$2:$D$314,2,FALSE),"NO")</f>
        <v>NO</v>
      </c>
      <c r="K1166">
        <v>2</v>
      </c>
      <c r="L1166" t="s">
        <v>836</v>
      </c>
      <c r="M1166">
        <v>4</v>
      </c>
    </row>
    <row r="1167" spans="1:18" hidden="1">
      <c r="A1167" t="s">
        <v>2339</v>
      </c>
      <c r="B1167" t="s">
        <v>2340</v>
      </c>
      <c r="I1167" s="3" t="str">
        <f>+IFERROR(VLOOKUP(C1167,'Mov 2023 hasta ahora '!$C$2:$D$314,2,FALSE),"NO")</f>
        <v>NO</v>
      </c>
      <c r="J1167" t="s">
        <v>21</v>
      </c>
      <c r="K1167">
        <v>3</v>
      </c>
      <c r="L1167" t="s">
        <v>836</v>
      </c>
      <c r="M1167">
        <v>10</v>
      </c>
    </row>
    <row r="1168" spans="1:18" hidden="1">
      <c r="A1168" t="s">
        <v>2341</v>
      </c>
      <c r="B1168" t="s">
        <v>2342</v>
      </c>
      <c r="I1168" s="3" t="str">
        <f>+IFERROR(VLOOKUP(C1168,'Mov 2023 hasta ahora '!$C$2:$D$314,2,FALSE),"NO")</f>
        <v>NO</v>
      </c>
      <c r="J1168" t="s">
        <v>21</v>
      </c>
      <c r="K1168">
        <v>4</v>
      </c>
      <c r="L1168" t="s">
        <v>836</v>
      </c>
      <c r="M1168">
        <v>14</v>
      </c>
    </row>
    <row r="1169" spans="1:18" hidden="1">
      <c r="A1169" t="s">
        <v>2343</v>
      </c>
      <c r="B1169" t="s">
        <v>2344</v>
      </c>
      <c r="I1169" s="3" t="str">
        <f>+IFERROR(VLOOKUP(C1169,'Mov 2023 hasta ahora '!$C$2:$D$314,2,FALSE),"NO")</f>
        <v>NO</v>
      </c>
      <c r="J1169" t="s">
        <v>21</v>
      </c>
      <c r="K1169">
        <v>5</v>
      </c>
      <c r="L1169" t="s">
        <v>836</v>
      </c>
      <c r="M1169">
        <v>18</v>
      </c>
    </row>
    <row r="1170" spans="1:18" hidden="1">
      <c r="A1170" s="23" t="s">
        <v>2345</v>
      </c>
      <c r="B1170" s="23" t="s">
        <v>2346</v>
      </c>
      <c r="C1170" s="23">
        <v>1734</v>
      </c>
      <c r="D1170" t="s">
        <v>436</v>
      </c>
      <c r="I1170" s="3" t="str">
        <f>+IFERROR(VLOOKUP(C1170,'Mov 2023 hasta ahora '!$C$2:$D$314,2,FALSE),"NO")</f>
        <v>NO</v>
      </c>
      <c r="J1170" t="s">
        <v>21</v>
      </c>
      <c r="K1170">
        <v>6</v>
      </c>
      <c r="L1170" t="s">
        <v>836</v>
      </c>
      <c r="M1170">
        <v>24</v>
      </c>
      <c r="O1170" s="29" t="s">
        <v>8691</v>
      </c>
      <c r="P1170" s="25" t="s">
        <v>8687</v>
      </c>
      <c r="Q1170" s="25">
        <v>1228</v>
      </c>
      <c r="R1170" t="s">
        <v>436</v>
      </c>
    </row>
    <row r="1171" spans="1:18" hidden="1">
      <c r="A1171" t="s">
        <v>2347</v>
      </c>
      <c r="B1171" t="s">
        <v>2348</v>
      </c>
      <c r="I1171" s="3" t="str">
        <f>+IFERROR(VLOOKUP(C1171,'Mov 2023 hasta ahora '!$C$2:$D$314,2,FALSE),"NO")</f>
        <v>NO</v>
      </c>
      <c r="J1171" t="s">
        <v>21</v>
      </c>
      <c r="K1171">
        <v>3</v>
      </c>
      <c r="L1171" t="s">
        <v>836</v>
      </c>
      <c r="M1171">
        <v>10</v>
      </c>
    </row>
    <row r="1172" spans="1:18" hidden="1">
      <c r="A1172" t="s">
        <v>2349</v>
      </c>
      <c r="B1172" t="s">
        <v>2350</v>
      </c>
      <c r="I1172" s="3" t="str">
        <f>+IFERROR(VLOOKUP(C1172,'Mov 2023 hasta ahora '!$C$2:$D$314,2,FALSE),"NO")</f>
        <v>NO</v>
      </c>
      <c r="J1172" t="s">
        <v>21</v>
      </c>
      <c r="K1172">
        <v>4</v>
      </c>
      <c r="L1172" t="s">
        <v>836</v>
      </c>
      <c r="M1172">
        <v>14</v>
      </c>
    </row>
    <row r="1173" spans="1:18" hidden="1">
      <c r="A1173" t="s">
        <v>2351</v>
      </c>
      <c r="B1173" t="s">
        <v>2352</v>
      </c>
      <c r="I1173" s="3" t="str">
        <f>+IFERROR(VLOOKUP(C1173,'Mov 2023 hasta ahora '!$C$2:$D$314,2,FALSE),"NO")</f>
        <v>NO</v>
      </c>
      <c r="J1173" t="s">
        <v>21</v>
      </c>
      <c r="K1173">
        <v>5</v>
      </c>
      <c r="L1173" t="s">
        <v>836</v>
      </c>
      <c r="M1173">
        <v>18</v>
      </c>
    </row>
    <row r="1174" spans="1:18" hidden="1">
      <c r="A1174" s="23" t="s">
        <v>2353</v>
      </c>
      <c r="B1174" s="23" t="s">
        <v>2354</v>
      </c>
      <c r="C1174" s="23">
        <v>1735</v>
      </c>
      <c r="D1174" t="s">
        <v>436</v>
      </c>
      <c r="I1174" s="3" t="str">
        <f>+IFERROR(VLOOKUP(C1174,'Mov 2023 hasta ahora '!$C$2:$D$314,2,FALSE),"NO")</f>
        <v>NO</v>
      </c>
      <c r="J1174" t="s">
        <v>21</v>
      </c>
      <c r="K1174">
        <v>6</v>
      </c>
      <c r="L1174" t="s">
        <v>836</v>
      </c>
      <c r="M1174">
        <v>24</v>
      </c>
      <c r="O1174" s="29" t="s">
        <v>8691</v>
      </c>
      <c r="P1174" s="25" t="s">
        <v>8687</v>
      </c>
      <c r="Q1174" s="25">
        <v>1228</v>
      </c>
      <c r="R1174" t="s">
        <v>436</v>
      </c>
    </row>
    <row r="1175" spans="1:18" hidden="1">
      <c r="A1175">
        <v>5</v>
      </c>
      <c r="B1175" t="s">
        <v>2355</v>
      </c>
      <c r="I1175" s="3" t="str">
        <f>+IFERROR(VLOOKUP(C1175,'Mov 2023 hasta ahora '!$C$2:$D$314,2,FALSE),"NO")</f>
        <v>NO</v>
      </c>
      <c r="J1175" t="s">
        <v>18</v>
      </c>
      <c r="K1175">
        <v>1</v>
      </c>
      <c r="L1175" t="s">
        <v>836</v>
      </c>
      <c r="M1175">
        <v>1</v>
      </c>
    </row>
    <row r="1176" spans="1:18" hidden="1">
      <c r="A1176">
        <v>5.01</v>
      </c>
      <c r="B1176" t="s">
        <v>838</v>
      </c>
      <c r="I1176" s="3" t="str">
        <f>+IFERROR(VLOOKUP(C1176,'Mov 2023 hasta ahora '!$C$2:$D$314,2,FALSE),"NO")</f>
        <v>NO</v>
      </c>
      <c r="K1176">
        <v>2</v>
      </c>
      <c r="L1176" t="s">
        <v>836</v>
      </c>
      <c r="M1176">
        <v>4</v>
      </c>
    </row>
    <row r="1177" spans="1:18" hidden="1">
      <c r="A1177" t="s">
        <v>2357</v>
      </c>
      <c r="B1177" t="s">
        <v>840</v>
      </c>
      <c r="I1177" s="3" t="str">
        <f>+IFERROR(VLOOKUP(C1177,'Mov 2023 hasta ahora '!$C$2:$D$314,2,FALSE),"NO")</f>
        <v>NO</v>
      </c>
      <c r="K1177">
        <v>3</v>
      </c>
      <c r="L1177" t="s">
        <v>836</v>
      </c>
      <c r="M1177">
        <v>10</v>
      </c>
    </row>
    <row r="1178" spans="1:18" hidden="1">
      <c r="A1178" t="s">
        <v>2358</v>
      </c>
      <c r="B1178" t="s">
        <v>2359</v>
      </c>
      <c r="I1178" s="3" t="str">
        <f>+IFERROR(VLOOKUP(C1178,'Mov 2023 hasta ahora '!$C$2:$D$314,2,FALSE),"NO")</f>
        <v>NO</v>
      </c>
      <c r="K1178">
        <v>4</v>
      </c>
      <c r="L1178" t="s">
        <v>836</v>
      </c>
      <c r="M1178">
        <v>14</v>
      </c>
    </row>
    <row r="1179" spans="1:18" hidden="1">
      <c r="A1179" t="s">
        <v>2360</v>
      </c>
      <c r="B1179" t="s">
        <v>2361</v>
      </c>
      <c r="I1179" s="3" t="str">
        <f>+IFERROR(VLOOKUP(C1179,'Mov 2023 hasta ahora '!$C$2:$D$314,2,FALSE),"NO")</f>
        <v>NO</v>
      </c>
      <c r="K1179">
        <v>5</v>
      </c>
      <c r="L1179" t="s">
        <v>836</v>
      </c>
      <c r="M1179">
        <v>18</v>
      </c>
    </row>
    <row r="1180" spans="1:18" hidden="1">
      <c r="A1180" s="23" t="s">
        <v>2362</v>
      </c>
      <c r="B1180" s="23" t="s">
        <v>2363</v>
      </c>
      <c r="C1180" s="23">
        <v>176</v>
      </c>
      <c r="D1180" t="s">
        <v>436</v>
      </c>
      <c r="I1180" s="3">
        <f>+IFERROR(VLOOKUP(C1180,'Mov 2023 hasta ahora '!$C$2:$D$314,2,FALSE),"NO")</f>
        <v>118</v>
      </c>
      <c r="K1180">
        <v>6</v>
      </c>
      <c r="L1180" t="s">
        <v>836</v>
      </c>
      <c r="M1180">
        <v>24</v>
      </c>
      <c r="O1180" s="25" t="s">
        <v>8742</v>
      </c>
      <c r="P1180" s="25" t="s">
        <v>9063</v>
      </c>
      <c r="Q1180" s="25">
        <v>176</v>
      </c>
    </row>
    <row r="1181" spans="1:18" hidden="1">
      <c r="A1181" s="23" t="s">
        <v>2364</v>
      </c>
      <c r="B1181" s="23" t="s">
        <v>2365</v>
      </c>
      <c r="C1181" s="23">
        <v>1890</v>
      </c>
      <c r="D1181" t="s">
        <v>436</v>
      </c>
      <c r="I1181" s="3" t="str">
        <f>+IFERROR(VLOOKUP(C1181,'Mov 2023 hasta ahora '!$C$2:$D$314,2,FALSE),"NO")</f>
        <v>NO</v>
      </c>
      <c r="K1181">
        <v>6</v>
      </c>
      <c r="L1181" t="s">
        <v>836</v>
      </c>
      <c r="M1181">
        <v>24</v>
      </c>
      <c r="O1181" s="25" t="s">
        <v>8743</v>
      </c>
      <c r="P1181" s="25" t="s">
        <v>8747</v>
      </c>
      <c r="Q1181" s="25">
        <v>1890</v>
      </c>
    </row>
    <row r="1182" spans="1:18" hidden="1">
      <c r="A1182" t="s">
        <v>2366</v>
      </c>
      <c r="B1182" t="s">
        <v>2367</v>
      </c>
      <c r="I1182" s="3" t="str">
        <f>+IFERROR(VLOOKUP(C1182,'Mov 2023 hasta ahora '!$C$2:$D$314,2,FALSE),"NO")</f>
        <v>NO</v>
      </c>
      <c r="K1182">
        <v>4</v>
      </c>
      <c r="L1182" t="s">
        <v>836</v>
      </c>
      <c r="M1182">
        <v>14</v>
      </c>
    </row>
    <row r="1183" spans="1:18" hidden="1">
      <c r="A1183" t="s">
        <v>2368</v>
      </c>
      <c r="B1183" t="s">
        <v>2369</v>
      </c>
      <c r="I1183" s="3" t="str">
        <f>+IFERROR(VLOOKUP(C1183,'Mov 2023 hasta ahora '!$C$2:$D$314,2,FALSE),"NO")</f>
        <v>NO</v>
      </c>
      <c r="K1183">
        <v>5</v>
      </c>
      <c r="L1183" t="s">
        <v>836</v>
      </c>
      <c r="M1183">
        <v>18</v>
      </c>
    </row>
    <row r="1184" spans="1:18" hidden="1">
      <c r="A1184" s="23" t="s">
        <v>2370</v>
      </c>
      <c r="B1184" s="23" t="s">
        <v>2371</v>
      </c>
      <c r="C1184" s="23">
        <v>185</v>
      </c>
      <c r="D1184" t="s">
        <v>436</v>
      </c>
      <c r="I1184" s="3">
        <f>+IFERROR(VLOOKUP(C1184,'Mov 2023 hasta ahora '!$C$2:$D$314,2,FALSE),"NO")</f>
        <v>106</v>
      </c>
      <c r="K1184">
        <v>6</v>
      </c>
      <c r="L1184" t="s">
        <v>836</v>
      </c>
      <c r="M1184">
        <v>24</v>
      </c>
      <c r="O1184" s="25" t="s">
        <v>8746</v>
      </c>
      <c r="P1184" s="25" t="s">
        <v>9054</v>
      </c>
      <c r="Q1184" s="25">
        <v>185</v>
      </c>
      <c r="R1184" t="s">
        <v>436</v>
      </c>
    </row>
    <row r="1185" spans="1:18" hidden="1">
      <c r="A1185" s="23" t="s">
        <v>2372</v>
      </c>
      <c r="B1185" s="23" t="s">
        <v>2373</v>
      </c>
      <c r="C1185" s="23">
        <v>193</v>
      </c>
      <c r="D1185" t="s">
        <v>436</v>
      </c>
      <c r="I1185" s="3">
        <f>+IFERROR(VLOOKUP(C1185,'Mov 2023 hasta ahora '!$C$2:$D$314,2,FALSE),"NO")</f>
        <v>10</v>
      </c>
      <c r="K1185">
        <v>6</v>
      </c>
      <c r="L1185" t="s">
        <v>836</v>
      </c>
      <c r="M1185">
        <v>24</v>
      </c>
      <c r="O1185" s="25" t="s">
        <v>8748</v>
      </c>
      <c r="P1185" s="25" t="s">
        <v>9055</v>
      </c>
      <c r="Q1185" s="25">
        <v>193</v>
      </c>
    </row>
    <row r="1186" spans="1:18" hidden="1">
      <c r="A1186" s="23" t="s">
        <v>2374</v>
      </c>
      <c r="B1186" s="23" t="s">
        <v>2375</v>
      </c>
      <c r="C1186" s="23">
        <v>202</v>
      </c>
      <c r="D1186" t="s">
        <v>436</v>
      </c>
      <c r="I1186" s="3">
        <f>+IFERROR(VLOOKUP(C1186,'Mov 2023 hasta ahora '!$C$2:$D$314,2,FALSE),"NO")</f>
        <v>1</v>
      </c>
      <c r="K1186">
        <v>6</v>
      </c>
      <c r="L1186" t="s">
        <v>836</v>
      </c>
      <c r="M1186">
        <v>24</v>
      </c>
      <c r="O1186" s="25" t="s">
        <v>8749</v>
      </c>
      <c r="P1186" s="25" t="s">
        <v>9056</v>
      </c>
      <c r="Q1186" s="25">
        <v>202</v>
      </c>
    </row>
    <row r="1187" spans="1:18" hidden="1">
      <c r="A1187" s="23" t="s">
        <v>2376</v>
      </c>
      <c r="B1187" s="23" t="s">
        <v>2377</v>
      </c>
      <c r="C1187" s="23">
        <v>1351</v>
      </c>
      <c r="D1187" t="s">
        <v>436</v>
      </c>
      <c r="I1187" s="3">
        <f>+IFERROR(VLOOKUP(C1187,'Mov 2023 hasta ahora '!$C$2:$D$314,2,FALSE),"NO")</f>
        <v>7</v>
      </c>
      <c r="K1187">
        <v>6</v>
      </c>
      <c r="L1187" t="s">
        <v>836</v>
      </c>
      <c r="M1187">
        <v>24</v>
      </c>
      <c r="O1187" s="25" t="s">
        <v>8750</v>
      </c>
      <c r="P1187" s="25" t="s">
        <v>8968</v>
      </c>
      <c r="Q1187" s="25">
        <v>1351</v>
      </c>
    </row>
    <row r="1188" spans="1:18" hidden="1">
      <c r="A1188" s="23" t="s">
        <v>2378</v>
      </c>
      <c r="B1188" s="23" t="s">
        <v>2379</v>
      </c>
      <c r="C1188" s="23">
        <v>2321</v>
      </c>
      <c r="I1188" s="3" t="str">
        <f>+IFERROR(VLOOKUP(C1188,'Mov 2023 hasta ahora '!$C$2:$D$314,2,FALSE),"NO")</f>
        <v>NO</v>
      </c>
      <c r="K1188">
        <v>6</v>
      </c>
      <c r="L1188" t="s">
        <v>836</v>
      </c>
      <c r="M1188">
        <v>24</v>
      </c>
      <c r="O1188" s="29" t="s">
        <v>9027</v>
      </c>
      <c r="P1188" s="25" t="s">
        <v>9028</v>
      </c>
      <c r="Q1188" s="25">
        <v>1400</v>
      </c>
      <c r="R1188" t="s">
        <v>436</v>
      </c>
    </row>
    <row r="1189" spans="1:18" hidden="1">
      <c r="A1189" t="s">
        <v>2380</v>
      </c>
      <c r="B1189" t="s">
        <v>2381</v>
      </c>
      <c r="I1189" s="3" t="str">
        <f>+IFERROR(VLOOKUP(C1189,'Mov 2023 hasta ahora '!$C$2:$D$314,2,FALSE),"NO")</f>
        <v>NO</v>
      </c>
      <c r="K1189">
        <v>4</v>
      </c>
      <c r="L1189" t="s">
        <v>836</v>
      </c>
      <c r="M1189">
        <v>14</v>
      </c>
    </row>
    <row r="1190" spans="1:18" hidden="1">
      <c r="A1190" t="s">
        <v>2382</v>
      </c>
      <c r="B1190" t="s">
        <v>2383</v>
      </c>
      <c r="I1190" s="3" t="str">
        <f>+IFERROR(VLOOKUP(C1190,'Mov 2023 hasta ahora '!$C$2:$D$314,2,FALSE),"NO")</f>
        <v>NO</v>
      </c>
      <c r="K1190">
        <v>5</v>
      </c>
      <c r="L1190" t="s">
        <v>836</v>
      </c>
      <c r="M1190">
        <v>18</v>
      </c>
    </row>
    <row r="1191" spans="1:18" hidden="1">
      <c r="A1191" s="23" t="s">
        <v>2384</v>
      </c>
      <c r="B1191" s="23" t="s">
        <v>2385</v>
      </c>
      <c r="C1191" s="23">
        <v>212</v>
      </c>
      <c r="D1191" t="s">
        <v>436</v>
      </c>
      <c r="I1191" s="3">
        <f>+IFERROR(VLOOKUP(C1191,'Mov 2023 hasta ahora '!$C$2:$D$314,2,FALSE),"NO")</f>
        <v>116</v>
      </c>
      <c r="K1191">
        <v>6</v>
      </c>
      <c r="L1191" t="s">
        <v>836</v>
      </c>
      <c r="M1191">
        <v>24</v>
      </c>
      <c r="O1191" s="29" t="s">
        <v>9013</v>
      </c>
      <c r="P1191" s="25" t="s">
        <v>8756</v>
      </c>
      <c r="Q1191" s="25">
        <v>212</v>
      </c>
      <c r="R1191" t="s">
        <v>436</v>
      </c>
    </row>
    <row r="1192" spans="1:18" hidden="1">
      <c r="A1192" s="23" t="s">
        <v>2386</v>
      </c>
      <c r="B1192" s="23" t="s">
        <v>2387</v>
      </c>
      <c r="C1192" s="23">
        <v>1363</v>
      </c>
      <c r="D1192" t="s">
        <v>436</v>
      </c>
      <c r="I1192" s="3" t="str">
        <f>+IFERROR(VLOOKUP(C1192,'Mov 2023 hasta ahora '!$C$2:$D$314,2,FALSE),"NO")</f>
        <v>NO</v>
      </c>
      <c r="K1192">
        <v>6</v>
      </c>
      <c r="L1192" t="s">
        <v>836</v>
      </c>
      <c r="M1192">
        <v>24</v>
      </c>
      <c r="O1192" s="29" t="s">
        <v>9019</v>
      </c>
      <c r="P1192" s="25" t="s">
        <v>8762</v>
      </c>
      <c r="Q1192" s="25">
        <v>1758</v>
      </c>
      <c r="R1192" t="s">
        <v>436</v>
      </c>
    </row>
    <row r="1193" spans="1:18" hidden="1">
      <c r="A1193" t="s">
        <v>2388</v>
      </c>
      <c r="B1193" t="e">
        <v>#NAME?</v>
      </c>
      <c r="I1193" s="3" t="str">
        <f>+IFERROR(VLOOKUP(C1193,'Mov 2023 hasta ahora '!$C$2:$D$314,2,FALSE),"NO")</f>
        <v>NO</v>
      </c>
      <c r="K1193">
        <v>4</v>
      </c>
      <c r="L1193" t="s">
        <v>836</v>
      </c>
      <c r="M1193">
        <v>14</v>
      </c>
    </row>
    <row r="1194" spans="1:18" hidden="1">
      <c r="A1194" t="s">
        <v>2389</v>
      </c>
      <c r="B1194" t="s">
        <v>2390</v>
      </c>
      <c r="I1194" s="3" t="str">
        <f>+IFERROR(VLOOKUP(C1194,'Mov 2023 hasta ahora '!$C$2:$D$314,2,FALSE),"NO")</f>
        <v>NO</v>
      </c>
      <c r="K1194">
        <v>5</v>
      </c>
      <c r="L1194" t="s">
        <v>836</v>
      </c>
      <c r="M1194">
        <v>18</v>
      </c>
    </row>
    <row r="1195" spans="1:18" s="15" customFormat="1" hidden="1">
      <c r="A1195" s="23" t="s">
        <v>2391</v>
      </c>
      <c r="B1195" s="23" t="s">
        <v>2392</v>
      </c>
      <c r="C1195" s="23">
        <v>1317</v>
      </c>
      <c r="D1195" s="15" t="s">
        <v>436</v>
      </c>
      <c r="G1195"/>
      <c r="I1195" s="16" t="str">
        <f>+IFERROR(VLOOKUP(C1195,'Mov 2023 hasta ahora '!$C$2:$D$314,2,FALSE),"NO")</f>
        <v>NO</v>
      </c>
      <c r="K1195">
        <v>6</v>
      </c>
      <c r="L1195" t="s">
        <v>836</v>
      </c>
      <c r="M1195">
        <v>24</v>
      </c>
      <c r="O1195" s="29" t="s">
        <v>8793</v>
      </c>
      <c r="P1195" s="25" t="s">
        <v>8975</v>
      </c>
      <c r="Q1195" s="25">
        <v>1616</v>
      </c>
      <c r="R1195" t="s">
        <v>436</v>
      </c>
    </row>
    <row r="1196" spans="1:18" s="15" customFormat="1" hidden="1">
      <c r="A1196" s="23" t="s">
        <v>2393</v>
      </c>
      <c r="B1196" s="23" t="s">
        <v>2394</v>
      </c>
      <c r="C1196" s="23">
        <v>1326</v>
      </c>
      <c r="D1196" s="15" t="s">
        <v>436</v>
      </c>
      <c r="G1196"/>
      <c r="I1196" s="16" t="str">
        <f>+IFERROR(VLOOKUP(C1196,'Mov 2023 hasta ahora '!$C$2:$D$314,2,FALSE),"NO")</f>
        <v>NO</v>
      </c>
      <c r="K1196">
        <v>6</v>
      </c>
      <c r="L1196" t="s">
        <v>836</v>
      </c>
      <c r="M1196">
        <v>24</v>
      </c>
      <c r="O1196" s="29" t="s">
        <v>8793</v>
      </c>
      <c r="P1196" s="25" t="s">
        <v>8975</v>
      </c>
      <c r="Q1196" s="25">
        <v>1616</v>
      </c>
      <c r="R1196" t="s">
        <v>436</v>
      </c>
    </row>
    <row r="1197" spans="1:18" hidden="1">
      <c r="A1197" t="s">
        <v>2395</v>
      </c>
      <c r="B1197" t="s">
        <v>2396</v>
      </c>
      <c r="I1197" s="3" t="str">
        <f>+IFERROR(VLOOKUP(C1197,'Mov 2023 hasta ahora '!$C$2:$D$314,2,FALSE),"NO")</f>
        <v>NO</v>
      </c>
      <c r="K1197">
        <v>5</v>
      </c>
      <c r="L1197" t="s">
        <v>836</v>
      </c>
      <c r="M1197">
        <v>18</v>
      </c>
    </row>
    <row r="1198" spans="1:18" s="15" customFormat="1" hidden="1">
      <c r="A1198" s="23" t="s">
        <v>2397</v>
      </c>
      <c r="B1198" s="23" t="s">
        <v>2398</v>
      </c>
      <c r="C1198" s="23">
        <v>230</v>
      </c>
      <c r="D1198" s="15" t="s">
        <v>436</v>
      </c>
      <c r="G1198"/>
      <c r="I1198" s="16" t="str">
        <f>+IFERROR(VLOOKUP(C1198,'Mov 2023 hasta ahora '!$C$2:$D$314,2,FALSE),"NO")</f>
        <v>NO</v>
      </c>
      <c r="K1198">
        <v>6</v>
      </c>
      <c r="L1198" t="s">
        <v>836</v>
      </c>
      <c r="M1198">
        <v>24</v>
      </c>
      <c r="O1198" s="29" t="s">
        <v>8793</v>
      </c>
      <c r="P1198" s="25" t="s">
        <v>8975</v>
      </c>
      <c r="Q1198" s="25">
        <v>1616</v>
      </c>
      <c r="R1198" t="s">
        <v>436</v>
      </c>
    </row>
    <row r="1199" spans="1:18" s="15" customFormat="1" hidden="1">
      <c r="A1199" s="23" t="s">
        <v>2399</v>
      </c>
      <c r="B1199" s="23" t="s">
        <v>2400</v>
      </c>
      <c r="C1199" s="23">
        <v>239</v>
      </c>
      <c r="D1199" s="15" t="s">
        <v>436</v>
      </c>
      <c r="G1199"/>
      <c r="I1199" s="16" t="str">
        <f>+IFERROR(VLOOKUP(C1199,'Mov 2023 hasta ahora '!$C$2:$D$314,2,FALSE),"NO")</f>
        <v>NO</v>
      </c>
      <c r="K1199">
        <v>6</v>
      </c>
      <c r="L1199" t="s">
        <v>836</v>
      </c>
      <c r="M1199">
        <v>24</v>
      </c>
      <c r="O1199" s="29" t="s">
        <v>8793</v>
      </c>
      <c r="P1199" s="25" t="s">
        <v>8975</v>
      </c>
      <c r="Q1199" s="25">
        <v>1616</v>
      </c>
      <c r="R1199" t="s">
        <v>436</v>
      </c>
    </row>
    <row r="1200" spans="1:18" hidden="1">
      <c r="A1200" t="s">
        <v>2401</v>
      </c>
      <c r="B1200" t="s">
        <v>2402</v>
      </c>
      <c r="I1200" s="3" t="str">
        <f>+IFERROR(VLOOKUP(C1200,'Mov 2023 hasta ahora '!$C$2:$D$314,2,FALSE),"NO")</f>
        <v>NO</v>
      </c>
      <c r="K1200">
        <v>4</v>
      </c>
      <c r="L1200" t="s">
        <v>836</v>
      </c>
      <c r="M1200">
        <v>14</v>
      </c>
    </row>
    <row r="1201" spans="1:18" hidden="1">
      <c r="A1201" t="s">
        <v>2403</v>
      </c>
      <c r="B1201" t="s">
        <v>2404</v>
      </c>
      <c r="I1201" s="3" t="str">
        <f>+IFERROR(VLOOKUP(C1201,'Mov 2023 hasta ahora '!$C$2:$D$314,2,FALSE),"NO")</f>
        <v>NO</v>
      </c>
      <c r="K1201">
        <v>5</v>
      </c>
      <c r="L1201" t="s">
        <v>836</v>
      </c>
      <c r="M1201">
        <v>18</v>
      </c>
    </row>
    <row r="1202" spans="1:18" hidden="1">
      <c r="A1202" s="23" t="s">
        <v>2405</v>
      </c>
      <c r="B1202" s="23" t="s">
        <v>2406</v>
      </c>
      <c r="C1202" s="23">
        <v>311</v>
      </c>
      <c r="D1202" t="s">
        <v>436</v>
      </c>
      <c r="I1202" s="3">
        <f>+IFERROR(VLOOKUP(C1202,'Mov 2023 hasta ahora '!$C$2:$D$314,2,FALSE),"NO")</f>
        <v>30</v>
      </c>
      <c r="K1202">
        <v>6</v>
      </c>
      <c r="L1202" t="s">
        <v>836</v>
      </c>
      <c r="M1202">
        <v>24</v>
      </c>
      <c r="O1202" s="29" t="s">
        <v>8857</v>
      </c>
      <c r="P1202" s="25" t="s">
        <v>8980</v>
      </c>
      <c r="Q1202" s="25">
        <v>2178</v>
      </c>
      <c r="R1202" t="s">
        <v>436</v>
      </c>
    </row>
    <row r="1203" spans="1:18" hidden="1">
      <c r="A1203" s="23" t="s">
        <v>2407</v>
      </c>
      <c r="B1203" s="23" t="s">
        <v>2408</v>
      </c>
      <c r="C1203" s="23">
        <v>320</v>
      </c>
      <c r="D1203" t="s">
        <v>436</v>
      </c>
      <c r="I1203" s="3">
        <f>+IFERROR(VLOOKUP(C1203,'Mov 2023 hasta ahora '!$C$2:$D$314,2,FALSE),"NO")</f>
        <v>37</v>
      </c>
      <c r="K1203">
        <v>6</v>
      </c>
      <c r="L1203" t="s">
        <v>836</v>
      </c>
      <c r="M1203">
        <v>24</v>
      </c>
      <c r="O1203" s="29" t="s">
        <v>8846</v>
      </c>
      <c r="P1203" s="25" t="s">
        <v>8981</v>
      </c>
      <c r="Q1203" s="25">
        <v>2179</v>
      </c>
      <c r="R1203" t="s">
        <v>436</v>
      </c>
    </row>
    <row r="1204" spans="1:18" hidden="1">
      <c r="A1204" s="23" t="s">
        <v>2409</v>
      </c>
      <c r="B1204" s="23" t="s">
        <v>2410</v>
      </c>
      <c r="C1204" s="23">
        <v>329</v>
      </c>
      <c r="D1204" t="s">
        <v>436</v>
      </c>
      <c r="I1204" s="3" t="str">
        <f>+IFERROR(VLOOKUP(C1204,'Mov 2023 hasta ahora '!$C$2:$D$314,2,FALSE),"NO")</f>
        <v>NO</v>
      </c>
      <c r="K1204">
        <v>6</v>
      </c>
      <c r="L1204" t="s">
        <v>836</v>
      </c>
      <c r="M1204">
        <v>24</v>
      </c>
      <c r="O1204" s="29" t="s">
        <v>8846</v>
      </c>
      <c r="P1204" s="25" t="s">
        <v>8981</v>
      </c>
      <c r="Q1204" s="25">
        <v>2179</v>
      </c>
      <c r="R1204" t="s">
        <v>436</v>
      </c>
    </row>
    <row r="1205" spans="1:18" hidden="1">
      <c r="A1205" t="s">
        <v>2411</v>
      </c>
      <c r="B1205" t="s">
        <v>2412</v>
      </c>
      <c r="I1205" s="3" t="str">
        <f>+IFERROR(VLOOKUP(C1205,'Mov 2023 hasta ahora '!$C$2:$D$314,2,FALSE),"NO")</f>
        <v>NO</v>
      </c>
      <c r="K1205">
        <v>4</v>
      </c>
      <c r="L1205" t="s">
        <v>836</v>
      </c>
      <c r="M1205">
        <v>14</v>
      </c>
    </row>
    <row r="1206" spans="1:18" hidden="1">
      <c r="A1206" t="s">
        <v>2413</v>
      </c>
      <c r="B1206" t="s">
        <v>2414</v>
      </c>
      <c r="I1206" s="3" t="str">
        <f>+IFERROR(VLOOKUP(C1206,'Mov 2023 hasta ahora '!$C$2:$D$314,2,FALSE),"NO")</f>
        <v>NO</v>
      </c>
      <c r="K1206">
        <v>5</v>
      </c>
      <c r="L1206" t="s">
        <v>836</v>
      </c>
      <c r="M1206">
        <v>18</v>
      </c>
    </row>
    <row r="1207" spans="1:18" s="13" customFormat="1" hidden="1">
      <c r="A1207" s="23" t="s">
        <v>2415</v>
      </c>
      <c r="B1207" s="23" t="s">
        <v>2416</v>
      </c>
      <c r="C1207" s="23">
        <v>366</v>
      </c>
      <c r="D1207" s="13" t="s">
        <v>436</v>
      </c>
      <c r="G1207"/>
      <c r="I1207" s="14" t="str">
        <f>+IFERROR(VLOOKUP(C1207,'Mov 2023 hasta ahora '!$C$2:$D$314,2,FALSE),"NO")</f>
        <v>NO</v>
      </c>
      <c r="K1207">
        <v>6</v>
      </c>
      <c r="L1207" t="s">
        <v>836</v>
      </c>
      <c r="M1207">
        <v>24</v>
      </c>
      <c r="O1207" s="29" t="s">
        <v>8853</v>
      </c>
      <c r="P1207" s="25" t="s">
        <v>8986</v>
      </c>
      <c r="Q1207" s="25">
        <v>366</v>
      </c>
      <c r="R1207" t="s">
        <v>436</v>
      </c>
    </row>
    <row r="1208" spans="1:18" hidden="1">
      <c r="A1208" t="s">
        <v>2417</v>
      </c>
      <c r="B1208" t="s">
        <v>2418</v>
      </c>
      <c r="I1208" s="3" t="str">
        <f>+IFERROR(VLOOKUP(C1208,'Mov 2023 hasta ahora '!$C$2:$D$314,2,FALSE),"NO")</f>
        <v>NO</v>
      </c>
      <c r="K1208">
        <v>5</v>
      </c>
      <c r="L1208" t="s">
        <v>836</v>
      </c>
      <c r="M1208">
        <v>18</v>
      </c>
    </row>
    <row r="1209" spans="1:18" s="13" customFormat="1" hidden="1">
      <c r="A1209" s="23" t="s">
        <v>2419</v>
      </c>
      <c r="B1209" s="23" t="s">
        <v>2420</v>
      </c>
      <c r="C1209" s="23">
        <v>393</v>
      </c>
      <c r="D1209" s="13" t="s">
        <v>436</v>
      </c>
      <c r="G1209"/>
      <c r="I1209" s="14" t="str">
        <f>+IFERROR(VLOOKUP(C1209,'Mov 2023 hasta ahora '!$C$2:$D$314,2,FALSE),"NO")</f>
        <v>NO</v>
      </c>
      <c r="K1209">
        <v>6</v>
      </c>
      <c r="L1209" t="s">
        <v>836</v>
      </c>
      <c r="M1209">
        <v>24</v>
      </c>
      <c r="O1209" s="29" t="s">
        <v>8853</v>
      </c>
      <c r="P1209" s="25" t="s">
        <v>8986</v>
      </c>
      <c r="Q1209" s="25">
        <v>366</v>
      </c>
      <c r="R1209" t="s">
        <v>436</v>
      </c>
    </row>
    <row r="1210" spans="1:18" hidden="1">
      <c r="A1210" t="s">
        <v>2421</v>
      </c>
      <c r="B1210" t="s">
        <v>2422</v>
      </c>
      <c r="I1210" s="3" t="str">
        <f>+IFERROR(VLOOKUP(C1210,'Mov 2023 hasta ahora '!$C$2:$D$314,2,FALSE),"NO")</f>
        <v>NO</v>
      </c>
      <c r="K1210">
        <v>5</v>
      </c>
      <c r="L1210" t="s">
        <v>836</v>
      </c>
      <c r="M1210">
        <v>18</v>
      </c>
    </row>
    <row r="1211" spans="1:18" s="13" customFormat="1" hidden="1">
      <c r="A1211" s="23" t="s">
        <v>2423</v>
      </c>
      <c r="B1211" s="23" t="s">
        <v>2424</v>
      </c>
      <c r="C1211" s="23">
        <v>420</v>
      </c>
      <c r="D1211" s="13" t="s">
        <v>436</v>
      </c>
      <c r="G1211"/>
      <c r="I1211" s="14" t="str">
        <f>+IFERROR(VLOOKUP(C1211,'Mov 2023 hasta ahora '!$C$2:$D$314,2,FALSE),"NO")</f>
        <v>NO</v>
      </c>
      <c r="K1211">
        <v>6</v>
      </c>
      <c r="L1211" t="s">
        <v>836</v>
      </c>
      <c r="M1211">
        <v>24</v>
      </c>
      <c r="O1211" s="29" t="s">
        <v>8853</v>
      </c>
      <c r="P1211" s="25" t="s">
        <v>8986</v>
      </c>
      <c r="Q1211" s="25">
        <v>366</v>
      </c>
      <c r="R1211" t="s">
        <v>436</v>
      </c>
    </row>
    <row r="1212" spans="1:18" hidden="1">
      <c r="A1212" t="s">
        <v>2425</v>
      </c>
      <c r="B1212" t="s">
        <v>2426</v>
      </c>
      <c r="I1212" s="3" t="str">
        <f>+IFERROR(VLOOKUP(C1212,'Mov 2023 hasta ahora '!$C$2:$D$314,2,FALSE),"NO")</f>
        <v>NO</v>
      </c>
      <c r="K1212">
        <v>5</v>
      </c>
      <c r="L1212" t="s">
        <v>836</v>
      </c>
      <c r="M1212">
        <v>18</v>
      </c>
    </row>
    <row r="1213" spans="1:18" s="13" customFormat="1" hidden="1">
      <c r="A1213" s="23" t="s">
        <v>2427</v>
      </c>
      <c r="B1213" s="23" t="s">
        <v>2428</v>
      </c>
      <c r="C1213" s="23">
        <v>447</v>
      </c>
      <c r="D1213" s="13" t="s">
        <v>436</v>
      </c>
      <c r="G1213"/>
      <c r="I1213" s="14" t="str">
        <f>+IFERROR(VLOOKUP(C1213,'Mov 2023 hasta ahora '!$C$2:$D$314,2,FALSE),"NO")</f>
        <v>NO</v>
      </c>
      <c r="K1213">
        <v>6</v>
      </c>
      <c r="L1213" t="s">
        <v>836</v>
      </c>
      <c r="M1213">
        <v>24</v>
      </c>
      <c r="O1213" s="29" t="s">
        <v>8853</v>
      </c>
      <c r="P1213" s="25" t="s">
        <v>8986</v>
      </c>
      <c r="Q1213" s="25">
        <v>366</v>
      </c>
      <c r="R1213" t="s">
        <v>436</v>
      </c>
    </row>
    <row r="1214" spans="1:18" hidden="1">
      <c r="A1214" t="s">
        <v>2429</v>
      </c>
      <c r="B1214" t="s">
        <v>2430</v>
      </c>
      <c r="I1214" s="3" t="str">
        <f>+IFERROR(VLOOKUP(C1214,'Mov 2023 hasta ahora '!$C$2:$D$314,2,FALSE),"NO")</f>
        <v>NO</v>
      </c>
      <c r="K1214">
        <v>5</v>
      </c>
      <c r="L1214" t="s">
        <v>836</v>
      </c>
      <c r="M1214">
        <v>18</v>
      </c>
    </row>
    <row r="1215" spans="1:18" s="13" customFormat="1" hidden="1">
      <c r="A1215" s="23" t="s">
        <v>2431</v>
      </c>
      <c r="B1215" s="23" t="s">
        <v>2432</v>
      </c>
      <c r="C1215" s="23">
        <v>456</v>
      </c>
      <c r="D1215" s="13" t="s">
        <v>436</v>
      </c>
      <c r="G1215"/>
      <c r="I1215" s="14" t="str">
        <f>+IFERROR(VLOOKUP(C1215,'Mov 2023 hasta ahora '!$C$2:$D$314,2,FALSE),"NO")</f>
        <v>NO</v>
      </c>
      <c r="K1215">
        <v>6</v>
      </c>
      <c r="L1215" t="s">
        <v>836</v>
      </c>
      <c r="M1215">
        <v>24</v>
      </c>
      <c r="O1215" s="29" t="s">
        <v>8867</v>
      </c>
      <c r="P1215" s="25" t="s">
        <v>8987</v>
      </c>
      <c r="Q1215" s="25">
        <v>456</v>
      </c>
      <c r="R1215" t="s">
        <v>436</v>
      </c>
    </row>
    <row r="1216" spans="1:18" s="13" customFormat="1" hidden="1">
      <c r="A1216" s="23" t="s">
        <v>2433</v>
      </c>
      <c r="B1216" s="23" t="s">
        <v>2434</v>
      </c>
      <c r="C1216" s="23">
        <v>465</v>
      </c>
      <c r="D1216" s="13" t="s">
        <v>436</v>
      </c>
      <c r="G1216"/>
      <c r="I1216" s="14" t="str">
        <f>+IFERROR(VLOOKUP(C1216,'Mov 2023 hasta ahora '!$C$2:$D$314,2,FALSE),"NO")</f>
        <v>NO</v>
      </c>
      <c r="K1216">
        <v>6</v>
      </c>
      <c r="L1216" t="s">
        <v>836</v>
      </c>
      <c r="M1216">
        <v>24</v>
      </c>
      <c r="O1216" s="29" t="s">
        <v>8853</v>
      </c>
      <c r="P1216" s="25" t="s">
        <v>8986</v>
      </c>
      <c r="Q1216" s="25">
        <v>366</v>
      </c>
      <c r="R1216" t="s">
        <v>436</v>
      </c>
    </row>
    <row r="1217" spans="1:18" s="13" customFormat="1" hidden="1">
      <c r="A1217" s="23" t="s">
        <v>2435</v>
      </c>
      <c r="B1217" s="23" t="s">
        <v>2436</v>
      </c>
      <c r="C1217" s="23">
        <v>474</v>
      </c>
      <c r="D1217" s="13" t="s">
        <v>436</v>
      </c>
      <c r="G1217"/>
      <c r="I1217" s="14" t="str">
        <f>+IFERROR(VLOOKUP(C1217,'Mov 2023 hasta ahora '!$C$2:$D$314,2,FALSE),"NO")</f>
        <v>NO</v>
      </c>
      <c r="K1217">
        <v>6</v>
      </c>
      <c r="L1217" t="s">
        <v>836</v>
      </c>
      <c r="M1217">
        <v>24</v>
      </c>
      <c r="O1217" s="29" t="s">
        <v>8853</v>
      </c>
      <c r="P1217" s="25" t="s">
        <v>8986</v>
      </c>
      <c r="Q1217" s="25">
        <v>366</v>
      </c>
      <c r="R1217" t="s">
        <v>436</v>
      </c>
    </row>
    <row r="1218" spans="1:18" hidden="1">
      <c r="A1218" t="s">
        <v>2437</v>
      </c>
      <c r="B1218" t="s">
        <v>2438</v>
      </c>
      <c r="I1218" s="3" t="str">
        <f>+IFERROR(VLOOKUP(C1218,'Mov 2023 hasta ahora '!$C$2:$D$314,2,FALSE),"NO")</f>
        <v>NO</v>
      </c>
      <c r="K1218">
        <v>4</v>
      </c>
      <c r="L1218" t="s">
        <v>836</v>
      </c>
      <c r="M1218">
        <v>14</v>
      </c>
    </row>
    <row r="1219" spans="1:18" hidden="1">
      <c r="A1219" t="s">
        <v>2439</v>
      </c>
      <c r="B1219" t="s">
        <v>2440</v>
      </c>
      <c r="I1219" s="3" t="str">
        <f>+IFERROR(VLOOKUP(C1219,'Mov 2023 hasta ahora '!$C$2:$D$314,2,FALSE),"NO")</f>
        <v>NO</v>
      </c>
      <c r="K1219">
        <v>5</v>
      </c>
      <c r="L1219" t="s">
        <v>836</v>
      </c>
      <c r="M1219">
        <v>18</v>
      </c>
    </row>
    <row r="1220" spans="1:18" s="13" customFormat="1" hidden="1">
      <c r="A1220" s="23" t="s">
        <v>2441</v>
      </c>
      <c r="B1220" s="23" t="s">
        <v>2442</v>
      </c>
      <c r="C1220" s="23">
        <v>483</v>
      </c>
      <c r="D1220" s="13" t="s">
        <v>436</v>
      </c>
      <c r="G1220"/>
      <c r="I1220" s="14" t="str">
        <f>+IFERROR(VLOOKUP(C1220,'Mov 2023 hasta ahora '!$C$2:$D$314,2,FALSE),"NO")</f>
        <v>NO</v>
      </c>
      <c r="K1220">
        <v>6</v>
      </c>
      <c r="L1220" t="s">
        <v>836</v>
      </c>
      <c r="M1220">
        <v>24</v>
      </c>
      <c r="O1220" s="29" t="s">
        <v>8867</v>
      </c>
      <c r="P1220" s="25" t="s">
        <v>8987</v>
      </c>
      <c r="Q1220" s="25">
        <v>456</v>
      </c>
      <c r="R1220" t="s">
        <v>436</v>
      </c>
    </row>
    <row r="1221" spans="1:18" s="13" customFormat="1" hidden="1">
      <c r="A1221" s="23" t="s">
        <v>2443</v>
      </c>
      <c r="B1221" s="23" t="s">
        <v>2444</v>
      </c>
      <c r="C1221" s="23">
        <v>501</v>
      </c>
      <c r="D1221" s="13" t="s">
        <v>436</v>
      </c>
      <c r="G1221"/>
      <c r="I1221" s="14" t="str">
        <f>+IFERROR(VLOOKUP(C1221,'Mov 2023 hasta ahora '!$C$2:$D$314,2,FALSE),"NO")</f>
        <v>NO</v>
      </c>
      <c r="K1221">
        <v>6</v>
      </c>
      <c r="L1221" t="s">
        <v>836</v>
      </c>
      <c r="M1221">
        <v>24</v>
      </c>
      <c r="O1221" s="29" t="s">
        <v>8853</v>
      </c>
      <c r="P1221" s="25" t="s">
        <v>8986</v>
      </c>
      <c r="Q1221" s="25">
        <v>366</v>
      </c>
      <c r="R1221" t="s">
        <v>436</v>
      </c>
    </row>
    <row r="1222" spans="1:18" hidden="1">
      <c r="A1222" t="s">
        <v>2445</v>
      </c>
      <c r="B1222" t="s">
        <v>2446</v>
      </c>
      <c r="I1222" s="3" t="str">
        <f>+IFERROR(VLOOKUP(C1222,'Mov 2023 hasta ahora '!$C$2:$D$314,2,FALSE),"NO")</f>
        <v>NO</v>
      </c>
      <c r="K1222">
        <v>5</v>
      </c>
      <c r="L1222" t="s">
        <v>836</v>
      </c>
      <c r="M1222">
        <v>18</v>
      </c>
    </row>
    <row r="1223" spans="1:18" s="13" customFormat="1" hidden="1">
      <c r="A1223" s="23" t="s">
        <v>2447</v>
      </c>
      <c r="B1223" s="23" t="s">
        <v>2448</v>
      </c>
      <c r="C1223" s="23">
        <v>510</v>
      </c>
      <c r="D1223" s="13" t="s">
        <v>436</v>
      </c>
      <c r="G1223"/>
      <c r="I1223" s="14" t="str">
        <f>+IFERROR(VLOOKUP(C1223,'Mov 2023 hasta ahora '!$C$2:$D$314,2,FALSE),"NO")</f>
        <v>NO</v>
      </c>
      <c r="K1223">
        <v>6</v>
      </c>
      <c r="L1223" t="s">
        <v>836</v>
      </c>
      <c r="M1223">
        <v>24</v>
      </c>
      <c r="O1223" s="29" t="s">
        <v>8867</v>
      </c>
      <c r="P1223" s="25" t="s">
        <v>8987</v>
      </c>
      <c r="Q1223" s="25">
        <v>456</v>
      </c>
      <c r="R1223" t="s">
        <v>436</v>
      </c>
    </row>
    <row r="1224" spans="1:18" s="13" customFormat="1" hidden="1">
      <c r="A1224" s="23" t="s">
        <v>2449</v>
      </c>
      <c r="B1224" s="23" t="s">
        <v>2450</v>
      </c>
      <c r="C1224" s="23">
        <v>528</v>
      </c>
      <c r="D1224" s="13" t="s">
        <v>436</v>
      </c>
      <c r="G1224"/>
      <c r="I1224" s="14" t="str">
        <f>+IFERROR(VLOOKUP(C1224,'Mov 2023 hasta ahora '!$C$2:$D$314,2,FALSE),"NO")</f>
        <v>NO</v>
      </c>
      <c r="K1224">
        <v>6</v>
      </c>
      <c r="L1224" t="s">
        <v>836</v>
      </c>
      <c r="M1224">
        <v>24</v>
      </c>
      <c r="O1224" s="29" t="s">
        <v>8853</v>
      </c>
      <c r="P1224" s="25" t="s">
        <v>8986</v>
      </c>
      <c r="Q1224" s="25">
        <v>366</v>
      </c>
      <c r="R1224" t="s">
        <v>436</v>
      </c>
    </row>
    <row r="1225" spans="1:18" hidden="1">
      <c r="A1225" t="s">
        <v>2451</v>
      </c>
      <c r="B1225" t="s">
        <v>2452</v>
      </c>
      <c r="I1225" s="3" t="str">
        <f>+IFERROR(VLOOKUP(C1225,'Mov 2023 hasta ahora '!$C$2:$D$314,2,FALSE),"NO")</f>
        <v>NO</v>
      </c>
      <c r="K1225">
        <v>5</v>
      </c>
      <c r="L1225" t="s">
        <v>836</v>
      </c>
      <c r="M1225">
        <v>18</v>
      </c>
    </row>
    <row r="1226" spans="1:18" s="13" customFormat="1" hidden="1">
      <c r="A1226" s="23" t="s">
        <v>2453</v>
      </c>
      <c r="B1226" s="23" t="s">
        <v>2454</v>
      </c>
      <c r="C1226" s="23">
        <v>537</v>
      </c>
      <c r="D1226" s="13" t="s">
        <v>436</v>
      </c>
      <c r="G1226"/>
      <c r="I1226" s="14">
        <f>+IFERROR(VLOOKUP(C1226,'Mov 2023 hasta ahora '!$C$2:$D$314,2,FALSE),"NO")</f>
        <v>2</v>
      </c>
      <c r="K1226">
        <v>6</v>
      </c>
      <c r="L1226" t="s">
        <v>836</v>
      </c>
      <c r="M1226">
        <v>24</v>
      </c>
      <c r="O1226" s="29" t="s">
        <v>8867</v>
      </c>
      <c r="P1226" s="25" t="s">
        <v>8987</v>
      </c>
      <c r="Q1226" s="25">
        <v>456</v>
      </c>
      <c r="R1226" t="s">
        <v>436</v>
      </c>
    </row>
    <row r="1227" spans="1:18" s="13" customFormat="1" hidden="1">
      <c r="A1227" s="23" t="s">
        <v>2455</v>
      </c>
      <c r="B1227" s="23" t="s">
        <v>2456</v>
      </c>
      <c r="C1227" s="23">
        <v>546</v>
      </c>
      <c r="D1227" s="13" t="s">
        <v>436</v>
      </c>
      <c r="G1227"/>
      <c r="I1227" s="14" t="str">
        <f>+IFERROR(VLOOKUP(C1227,'Mov 2023 hasta ahora '!$C$2:$D$314,2,FALSE),"NO")</f>
        <v>NO</v>
      </c>
      <c r="K1227">
        <v>6</v>
      </c>
      <c r="L1227" t="s">
        <v>836</v>
      </c>
      <c r="M1227">
        <v>24</v>
      </c>
      <c r="O1227" s="29" t="s">
        <v>8850</v>
      </c>
      <c r="P1227" s="25" t="s">
        <v>8854</v>
      </c>
      <c r="Q1227" s="25">
        <v>1420</v>
      </c>
      <c r="R1227" t="s">
        <v>436</v>
      </c>
    </row>
    <row r="1228" spans="1:18" s="13" customFormat="1" hidden="1">
      <c r="A1228" s="23" t="s">
        <v>2457</v>
      </c>
      <c r="B1228" s="23" t="s">
        <v>2458</v>
      </c>
      <c r="C1228" s="23">
        <v>555</v>
      </c>
      <c r="D1228" s="13" t="s">
        <v>436</v>
      </c>
      <c r="G1228"/>
      <c r="I1228" s="14" t="str">
        <f>+IFERROR(VLOOKUP(C1228,'Mov 2023 hasta ahora '!$C$2:$D$314,2,FALSE),"NO")</f>
        <v>NO</v>
      </c>
      <c r="K1228">
        <v>6</v>
      </c>
      <c r="L1228" t="s">
        <v>836</v>
      </c>
      <c r="M1228">
        <v>24</v>
      </c>
      <c r="O1228" s="29" t="s">
        <v>8853</v>
      </c>
      <c r="P1228" s="25" t="s">
        <v>8986</v>
      </c>
      <c r="Q1228" s="25">
        <v>366</v>
      </c>
      <c r="R1228" t="s">
        <v>436</v>
      </c>
    </row>
    <row r="1229" spans="1:18" hidden="1">
      <c r="A1229" t="s">
        <v>2459</v>
      </c>
      <c r="B1229" t="s">
        <v>2460</v>
      </c>
      <c r="I1229" s="3" t="str">
        <f>+IFERROR(VLOOKUP(C1229,'Mov 2023 hasta ahora '!$C$2:$D$314,2,FALSE),"NO")</f>
        <v>NO</v>
      </c>
      <c r="K1229">
        <v>5</v>
      </c>
      <c r="L1229" t="s">
        <v>836</v>
      </c>
      <c r="M1229">
        <v>18</v>
      </c>
    </row>
    <row r="1230" spans="1:18" s="13" customFormat="1" hidden="1">
      <c r="A1230" s="23" t="s">
        <v>2461</v>
      </c>
      <c r="B1230" s="23" t="s">
        <v>2462</v>
      </c>
      <c r="C1230" s="23">
        <v>564</v>
      </c>
      <c r="D1230" s="13" t="s">
        <v>436</v>
      </c>
      <c r="G1230"/>
      <c r="I1230" s="14" t="str">
        <f>+IFERROR(VLOOKUP(C1230,'Mov 2023 hasta ahora '!$C$2:$D$314,2,FALSE),"NO")</f>
        <v>NO</v>
      </c>
      <c r="K1230">
        <v>6</v>
      </c>
      <c r="L1230" t="s">
        <v>836</v>
      </c>
      <c r="M1230">
        <v>24</v>
      </c>
      <c r="O1230" s="29" t="s">
        <v>8867</v>
      </c>
      <c r="P1230" s="25" t="s">
        <v>8987</v>
      </c>
      <c r="Q1230" s="25">
        <v>456</v>
      </c>
      <c r="R1230" t="s">
        <v>436</v>
      </c>
    </row>
    <row r="1231" spans="1:18" s="13" customFormat="1" hidden="1">
      <c r="A1231" s="23" t="s">
        <v>2463</v>
      </c>
      <c r="B1231" s="23" t="s">
        <v>2464</v>
      </c>
      <c r="C1231" s="23">
        <v>582</v>
      </c>
      <c r="D1231" s="13" t="s">
        <v>436</v>
      </c>
      <c r="G1231"/>
      <c r="I1231" s="14" t="str">
        <f>+IFERROR(VLOOKUP(C1231,'Mov 2023 hasta ahora '!$C$2:$D$314,2,FALSE),"NO")</f>
        <v>NO</v>
      </c>
      <c r="K1231">
        <v>6</v>
      </c>
      <c r="L1231" t="s">
        <v>836</v>
      </c>
      <c r="M1231">
        <v>24</v>
      </c>
      <c r="O1231" s="29" t="s">
        <v>8853</v>
      </c>
      <c r="P1231" s="25" t="s">
        <v>8986</v>
      </c>
      <c r="Q1231" s="25">
        <v>366</v>
      </c>
      <c r="R1231" t="s">
        <v>436</v>
      </c>
    </row>
    <row r="1232" spans="1:18" hidden="1">
      <c r="A1232" t="s">
        <v>2465</v>
      </c>
      <c r="B1232" t="s">
        <v>2466</v>
      </c>
      <c r="I1232" s="3" t="str">
        <f>+IFERROR(VLOOKUP(C1232,'Mov 2023 hasta ahora '!$C$2:$D$314,2,FALSE),"NO")</f>
        <v>NO</v>
      </c>
      <c r="K1232">
        <v>4</v>
      </c>
      <c r="L1232" t="s">
        <v>836</v>
      </c>
      <c r="M1232">
        <v>14</v>
      </c>
    </row>
    <row r="1233" spans="1:18" hidden="1">
      <c r="A1233" t="s">
        <v>2467</v>
      </c>
      <c r="B1233" t="s">
        <v>2468</v>
      </c>
      <c r="I1233" s="3" t="str">
        <f>+IFERROR(VLOOKUP(C1233,'Mov 2023 hasta ahora '!$C$2:$D$314,2,FALSE),"NO")</f>
        <v>NO</v>
      </c>
      <c r="K1233">
        <v>5</v>
      </c>
      <c r="L1233" t="s">
        <v>836</v>
      </c>
      <c r="M1233">
        <v>18</v>
      </c>
    </row>
    <row r="1234" spans="1:18" s="13" customFormat="1" hidden="1">
      <c r="A1234" s="23" t="s">
        <v>2469</v>
      </c>
      <c r="B1234" s="23" t="s">
        <v>2470</v>
      </c>
      <c r="C1234" s="23">
        <v>591</v>
      </c>
      <c r="D1234" s="13" t="s">
        <v>436</v>
      </c>
      <c r="G1234"/>
      <c r="I1234" s="14" t="str">
        <f>+IFERROR(VLOOKUP(C1234,'Mov 2023 hasta ahora '!$C$2:$D$314,2,FALSE),"NO")</f>
        <v>NO</v>
      </c>
      <c r="K1234">
        <v>6</v>
      </c>
      <c r="L1234" t="s">
        <v>836</v>
      </c>
      <c r="M1234">
        <v>24</v>
      </c>
      <c r="O1234" s="29" t="s">
        <v>8998</v>
      </c>
      <c r="P1234" s="25" t="s">
        <v>8859</v>
      </c>
      <c r="Q1234" s="25">
        <v>591</v>
      </c>
      <c r="R1234" t="s">
        <v>436</v>
      </c>
    </row>
    <row r="1235" spans="1:18" s="13" customFormat="1" hidden="1">
      <c r="A1235" s="23" t="s">
        <v>2471</v>
      </c>
      <c r="B1235" s="23" t="s">
        <v>2472</v>
      </c>
      <c r="C1235" s="23">
        <v>609</v>
      </c>
      <c r="D1235" s="13" t="s">
        <v>436</v>
      </c>
      <c r="G1235"/>
      <c r="I1235" s="14" t="str">
        <f>+IFERROR(VLOOKUP(C1235,'Mov 2023 hasta ahora '!$C$2:$D$314,2,FALSE),"NO")</f>
        <v>NO</v>
      </c>
      <c r="K1235">
        <v>6</v>
      </c>
      <c r="L1235" t="s">
        <v>836</v>
      </c>
      <c r="M1235">
        <v>24</v>
      </c>
      <c r="O1235" s="29" t="s">
        <v>8999</v>
      </c>
      <c r="P1235" s="25" t="s">
        <v>8849</v>
      </c>
      <c r="Q1235" s="25">
        <v>609</v>
      </c>
      <c r="R1235" t="s">
        <v>436</v>
      </c>
    </row>
    <row r="1236" spans="1:18" hidden="1">
      <c r="A1236" t="s">
        <v>2473</v>
      </c>
      <c r="B1236" t="s">
        <v>2474</v>
      </c>
      <c r="I1236" s="3" t="str">
        <f>+IFERROR(VLOOKUP(C1236,'Mov 2023 hasta ahora '!$C$2:$D$314,2,FALSE),"NO")</f>
        <v>NO</v>
      </c>
      <c r="K1236">
        <v>5</v>
      </c>
      <c r="L1236" t="s">
        <v>836</v>
      </c>
      <c r="M1236">
        <v>18</v>
      </c>
    </row>
    <row r="1237" spans="1:18" s="13" customFormat="1" hidden="1">
      <c r="A1237" s="23" t="s">
        <v>2475</v>
      </c>
      <c r="B1237" s="23" t="s">
        <v>2476</v>
      </c>
      <c r="C1237" s="23">
        <v>618</v>
      </c>
      <c r="D1237" s="13" t="s">
        <v>436</v>
      </c>
      <c r="G1237"/>
      <c r="I1237" s="14" t="str">
        <f>+IFERROR(VLOOKUP(C1237,'Mov 2023 hasta ahora '!$C$2:$D$314,2,FALSE),"NO")</f>
        <v>NO</v>
      </c>
      <c r="K1237">
        <v>6</v>
      </c>
      <c r="L1237" t="s">
        <v>836</v>
      </c>
      <c r="M1237">
        <v>24</v>
      </c>
      <c r="O1237" s="29" t="s">
        <v>8998</v>
      </c>
      <c r="P1237" s="25" t="s">
        <v>8859</v>
      </c>
      <c r="Q1237" s="25">
        <v>591</v>
      </c>
      <c r="R1237" t="s">
        <v>436</v>
      </c>
    </row>
    <row r="1238" spans="1:18" s="13" customFormat="1" hidden="1">
      <c r="A1238" s="23" t="s">
        <v>2477</v>
      </c>
      <c r="B1238" s="23" t="s">
        <v>2478</v>
      </c>
      <c r="C1238" s="23">
        <v>627</v>
      </c>
      <c r="D1238" s="13" t="s">
        <v>436</v>
      </c>
      <c r="G1238"/>
      <c r="I1238" s="14" t="str">
        <f>+IFERROR(VLOOKUP(C1238,'Mov 2023 hasta ahora '!$C$2:$D$314,2,FALSE),"NO")</f>
        <v>NO</v>
      </c>
      <c r="K1238">
        <v>6</v>
      </c>
      <c r="L1238" t="s">
        <v>836</v>
      </c>
      <c r="M1238">
        <v>24</v>
      </c>
      <c r="O1238" s="29" t="s">
        <v>8999</v>
      </c>
      <c r="P1238" s="25" t="s">
        <v>8849</v>
      </c>
      <c r="Q1238" s="25">
        <v>609</v>
      </c>
      <c r="R1238" t="s">
        <v>436</v>
      </c>
    </row>
    <row r="1239" spans="1:18" s="13" customFormat="1" hidden="1">
      <c r="A1239" s="23" t="s">
        <v>2479</v>
      </c>
      <c r="B1239" s="23" t="s">
        <v>2480</v>
      </c>
      <c r="C1239" s="23">
        <v>636</v>
      </c>
      <c r="D1239" s="13" t="s">
        <v>436</v>
      </c>
      <c r="G1239"/>
      <c r="I1239" s="14" t="str">
        <f>+IFERROR(VLOOKUP(C1239,'Mov 2023 hasta ahora '!$C$2:$D$314,2,FALSE),"NO")</f>
        <v>NO</v>
      </c>
      <c r="K1239">
        <v>6</v>
      </c>
      <c r="L1239" t="s">
        <v>836</v>
      </c>
      <c r="M1239">
        <v>24</v>
      </c>
      <c r="O1239" s="29" t="s">
        <v>8999</v>
      </c>
      <c r="P1239" s="25" t="s">
        <v>8849</v>
      </c>
      <c r="Q1239" s="25">
        <v>609</v>
      </c>
      <c r="R1239" t="s">
        <v>436</v>
      </c>
    </row>
    <row r="1240" spans="1:18" hidden="1">
      <c r="A1240" t="s">
        <v>2481</v>
      </c>
      <c r="B1240" t="s">
        <v>2482</v>
      </c>
      <c r="I1240" s="3" t="str">
        <f>+IFERROR(VLOOKUP(C1240,'Mov 2023 hasta ahora '!$C$2:$D$314,2,FALSE),"NO")</f>
        <v>NO</v>
      </c>
      <c r="K1240">
        <v>4</v>
      </c>
      <c r="L1240" t="s">
        <v>836</v>
      </c>
      <c r="M1240">
        <v>14</v>
      </c>
    </row>
    <row r="1241" spans="1:18" hidden="1">
      <c r="A1241" t="s">
        <v>2483</v>
      </c>
      <c r="B1241" t="s">
        <v>2484</v>
      </c>
      <c r="I1241" s="3" t="str">
        <f>+IFERROR(VLOOKUP(C1241,'Mov 2023 hasta ahora '!$C$2:$D$314,2,FALSE),"NO")</f>
        <v>NO</v>
      </c>
      <c r="K1241">
        <v>5</v>
      </c>
      <c r="L1241" t="s">
        <v>836</v>
      </c>
      <c r="M1241">
        <v>18</v>
      </c>
    </row>
    <row r="1242" spans="1:18" s="13" customFormat="1" hidden="1">
      <c r="A1242" s="23" t="s">
        <v>2485</v>
      </c>
      <c r="B1242" s="23" t="s">
        <v>2486</v>
      </c>
      <c r="C1242" s="23">
        <v>645</v>
      </c>
      <c r="D1242" s="13" t="s">
        <v>436</v>
      </c>
      <c r="G1242"/>
      <c r="I1242" s="14" t="str">
        <f>+IFERROR(VLOOKUP(C1242,'Mov 2023 hasta ahora '!$C$2:$D$314,2,FALSE),"NO")</f>
        <v>NO</v>
      </c>
      <c r="K1242">
        <v>6</v>
      </c>
      <c r="L1242" t="s">
        <v>836</v>
      </c>
      <c r="M1242">
        <v>24</v>
      </c>
      <c r="O1242" s="29" t="s">
        <v>8767</v>
      </c>
      <c r="P1242" s="25" t="s">
        <v>8993</v>
      </c>
      <c r="Q1242" s="25">
        <v>645</v>
      </c>
      <c r="R1242" t="s">
        <v>436</v>
      </c>
    </row>
    <row r="1243" spans="1:18" s="13" customFormat="1" hidden="1">
      <c r="A1243" s="23" t="s">
        <v>2487</v>
      </c>
      <c r="B1243" s="23" t="s">
        <v>2488</v>
      </c>
      <c r="C1243" s="23">
        <v>663</v>
      </c>
      <c r="D1243" s="13" t="s">
        <v>436</v>
      </c>
      <c r="G1243"/>
      <c r="I1243" s="14" t="str">
        <f>+IFERROR(VLOOKUP(C1243,'Mov 2023 hasta ahora '!$C$2:$D$314,2,FALSE),"NO")</f>
        <v>NO</v>
      </c>
      <c r="K1243">
        <v>6</v>
      </c>
      <c r="L1243" t="s">
        <v>836</v>
      </c>
      <c r="M1243">
        <v>24</v>
      </c>
      <c r="O1243" s="30" t="s">
        <v>8768</v>
      </c>
      <c r="P1243" s="30" t="s">
        <v>8994</v>
      </c>
      <c r="Q1243" s="30">
        <v>663</v>
      </c>
      <c r="R1243" s="13" t="s">
        <v>436</v>
      </c>
    </row>
    <row r="1244" spans="1:18" hidden="1">
      <c r="A1244" t="s">
        <v>2489</v>
      </c>
      <c r="B1244" t="s">
        <v>2490</v>
      </c>
      <c r="I1244" s="3" t="str">
        <f>+IFERROR(VLOOKUP(C1244,'Mov 2023 hasta ahora '!$C$2:$D$314,2,FALSE),"NO")</f>
        <v>NO</v>
      </c>
      <c r="K1244">
        <v>5</v>
      </c>
      <c r="L1244" t="s">
        <v>836</v>
      </c>
      <c r="M1244">
        <v>18</v>
      </c>
    </row>
    <row r="1245" spans="1:18" s="13" customFormat="1" hidden="1">
      <c r="A1245" s="23" t="s">
        <v>2491</v>
      </c>
      <c r="B1245" s="23" t="s">
        <v>2492</v>
      </c>
      <c r="C1245" s="23">
        <v>672</v>
      </c>
      <c r="D1245" s="13" t="s">
        <v>436</v>
      </c>
      <c r="G1245"/>
      <c r="I1245" s="14" t="str">
        <f>+IFERROR(VLOOKUP(C1245,'Mov 2023 hasta ahora '!$C$2:$D$314,2,FALSE),"NO")</f>
        <v>NO</v>
      </c>
      <c r="K1245">
        <v>6</v>
      </c>
      <c r="L1245" t="s">
        <v>836</v>
      </c>
      <c r="M1245">
        <v>24</v>
      </c>
      <c r="O1245" s="29" t="s">
        <v>8767</v>
      </c>
      <c r="P1245" s="25" t="s">
        <v>8993</v>
      </c>
      <c r="Q1245" s="25">
        <v>645</v>
      </c>
      <c r="R1245" t="s">
        <v>436</v>
      </c>
    </row>
    <row r="1246" spans="1:18" s="13" customFormat="1" hidden="1">
      <c r="A1246" s="23" t="s">
        <v>2493</v>
      </c>
      <c r="B1246" s="23" t="s">
        <v>2494</v>
      </c>
      <c r="C1246" s="23">
        <v>690</v>
      </c>
      <c r="D1246" s="13" t="s">
        <v>436</v>
      </c>
      <c r="G1246"/>
      <c r="I1246" s="14" t="str">
        <f>+IFERROR(VLOOKUP(C1246,'Mov 2023 hasta ahora '!$C$2:$D$314,2,FALSE),"NO")</f>
        <v>NO</v>
      </c>
      <c r="K1246">
        <v>6</v>
      </c>
      <c r="L1246" t="s">
        <v>836</v>
      </c>
      <c r="M1246">
        <v>24</v>
      </c>
      <c r="O1246" s="30" t="s">
        <v>8768</v>
      </c>
      <c r="P1246" s="30" t="s">
        <v>8994</v>
      </c>
      <c r="Q1246" s="30">
        <v>663</v>
      </c>
      <c r="R1246" s="13" t="s">
        <v>436</v>
      </c>
    </row>
    <row r="1247" spans="1:18" hidden="1">
      <c r="A1247" t="s">
        <v>2495</v>
      </c>
      <c r="B1247" t="s">
        <v>2496</v>
      </c>
      <c r="I1247" s="3" t="str">
        <f>+IFERROR(VLOOKUP(C1247,'Mov 2023 hasta ahora '!$C$2:$D$314,2,FALSE),"NO")</f>
        <v>NO</v>
      </c>
      <c r="K1247">
        <v>5</v>
      </c>
      <c r="L1247" t="s">
        <v>836</v>
      </c>
      <c r="M1247">
        <v>18</v>
      </c>
    </row>
    <row r="1248" spans="1:18" s="13" customFormat="1" hidden="1">
      <c r="A1248" s="23" t="s">
        <v>2497</v>
      </c>
      <c r="B1248" s="23" t="s">
        <v>2498</v>
      </c>
      <c r="C1248" s="23">
        <v>699</v>
      </c>
      <c r="D1248" s="13" t="s">
        <v>436</v>
      </c>
      <c r="G1248"/>
      <c r="I1248" s="14" t="str">
        <f>+IFERROR(VLOOKUP(C1248,'Mov 2023 hasta ahora '!$C$2:$D$314,2,FALSE),"NO")</f>
        <v>NO</v>
      </c>
      <c r="K1248">
        <v>6</v>
      </c>
      <c r="L1248" t="s">
        <v>836</v>
      </c>
      <c r="M1248">
        <v>24</v>
      </c>
      <c r="O1248" s="29" t="s">
        <v>8767</v>
      </c>
      <c r="P1248" s="25" t="s">
        <v>8993</v>
      </c>
      <c r="Q1248" s="25">
        <v>645</v>
      </c>
      <c r="R1248" t="s">
        <v>436</v>
      </c>
    </row>
    <row r="1249" spans="1:18" s="13" customFormat="1" hidden="1">
      <c r="A1249" s="23" t="s">
        <v>2499</v>
      </c>
      <c r="B1249" s="23" t="s">
        <v>2500</v>
      </c>
      <c r="C1249" s="23">
        <v>717</v>
      </c>
      <c r="D1249" s="13" t="s">
        <v>436</v>
      </c>
      <c r="G1249"/>
      <c r="I1249" s="14">
        <f>+IFERROR(VLOOKUP(C1249,'Mov 2023 hasta ahora '!$C$2:$D$314,2,FALSE),"NO")</f>
        <v>3</v>
      </c>
      <c r="K1249">
        <v>6</v>
      </c>
      <c r="L1249" t="s">
        <v>836</v>
      </c>
      <c r="M1249">
        <v>24</v>
      </c>
      <c r="O1249" s="30" t="s">
        <v>8768</v>
      </c>
      <c r="P1249" s="30" t="s">
        <v>8994</v>
      </c>
      <c r="Q1249" s="30">
        <v>663</v>
      </c>
      <c r="R1249" s="13" t="s">
        <v>436</v>
      </c>
    </row>
    <row r="1250" spans="1:18" hidden="1">
      <c r="A1250" t="s">
        <v>2501</v>
      </c>
      <c r="B1250" t="s">
        <v>2502</v>
      </c>
      <c r="I1250" s="3" t="str">
        <f>+IFERROR(VLOOKUP(C1250,'Mov 2023 hasta ahora '!$C$2:$D$314,2,FALSE),"NO")</f>
        <v>NO</v>
      </c>
      <c r="K1250">
        <v>5</v>
      </c>
      <c r="L1250" t="s">
        <v>836</v>
      </c>
      <c r="M1250">
        <v>18</v>
      </c>
    </row>
    <row r="1251" spans="1:18" s="13" customFormat="1" hidden="1">
      <c r="A1251" s="23" t="s">
        <v>2503</v>
      </c>
      <c r="B1251" s="23" t="s">
        <v>2504</v>
      </c>
      <c r="C1251" s="23">
        <v>726</v>
      </c>
      <c r="D1251" s="13" t="s">
        <v>436</v>
      </c>
      <c r="G1251"/>
      <c r="I1251" s="14">
        <f>+IFERROR(VLOOKUP(C1251,'Mov 2023 hasta ahora '!$C$2:$D$314,2,FALSE),"NO")</f>
        <v>4</v>
      </c>
      <c r="K1251">
        <v>6</v>
      </c>
      <c r="L1251" t="s">
        <v>836</v>
      </c>
      <c r="M1251">
        <v>24</v>
      </c>
      <c r="O1251" s="29" t="s">
        <v>8767</v>
      </c>
      <c r="P1251" s="25" t="s">
        <v>8993</v>
      </c>
      <c r="Q1251" s="25">
        <v>645</v>
      </c>
      <c r="R1251" t="s">
        <v>436</v>
      </c>
    </row>
    <row r="1252" spans="1:18" s="13" customFormat="1" hidden="1">
      <c r="A1252" s="23" t="s">
        <v>2505</v>
      </c>
      <c r="B1252" s="23" t="s">
        <v>2506</v>
      </c>
      <c r="C1252" s="23">
        <v>744</v>
      </c>
      <c r="D1252" s="13" t="s">
        <v>436</v>
      </c>
      <c r="G1252"/>
      <c r="I1252" s="14" t="str">
        <f>+IFERROR(VLOOKUP(C1252,'Mov 2023 hasta ahora '!$C$2:$D$314,2,FALSE),"NO")</f>
        <v>NO</v>
      </c>
      <c r="K1252">
        <v>6</v>
      </c>
      <c r="L1252" t="s">
        <v>836</v>
      </c>
      <c r="M1252">
        <v>24</v>
      </c>
      <c r="O1252" s="30" t="s">
        <v>8768</v>
      </c>
      <c r="P1252" s="30" t="s">
        <v>8994</v>
      </c>
      <c r="Q1252" s="30">
        <v>663</v>
      </c>
      <c r="R1252" s="13" t="s">
        <v>436</v>
      </c>
    </row>
    <row r="1253" spans="1:18" hidden="1">
      <c r="A1253" t="s">
        <v>2507</v>
      </c>
      <c r="B1253" t="s">
        <v>2508</v>
      </c>
      <c r="I1253" s="3" t="str">
        <f>+IFERROR(VLOOKUP(C1253,'Mov 2023 hasta ahora '!$C$2:$D$314,2,FALSE),"NO")</f>
        <v>NO</v>
      </c>
      <c r="K1253">
        <v>5</v>
      </c>
      <c r="L1253" t="s">
        <v>836</v>
      </c>
      <c r="M1253">
        <v>18</v>
      </c>
    </row>
    <row r="1254" spans="1:18" s="13" customFormat="1" hidden="1">
      <c r="A1254" s="23" t="s">
        <v>2509</v>
      </c>
      <c r="B1254" s="23" t="s">
        <v>2510</v>
      </c>
      <c r="C1254" s="23">
        <v>753</v>
      </c>
      <c r="D1254" s="13" t="s">
        <v>436</v>
      </c>
      <c r="G1254"/>
      <c r="I1254" s="14">
        <f>+IFERROR(VLOOKUP(C1254,'Mov 2023 hasta ahora '!$C$2:$D$314,2,FALSE),"NO")</f>
        <v>3</v>
      </c>
      <c r="K1254">
        <v>6</v>
      </c>
      <c r="L1254" t="s">
        <v>836</v>
      </c>
      <c r="M1254">
        <v>24</v>
      </c>
      <c r="O1254" s="29" t="s">
        <v>8767</v>
      </c>
      <c r="P1254" s="25" t="s">
        <v>8993</v>
      </c>
      <c r="Q1254" s="25">
        <v>645</v>
      </c>
      <c r="R1254" t="s">
        <v>436</v>
      </c>
    </row>
    <row r="1255" spans="1:18" s="13" customFormat="1" hidden="1">
      <c r="A1255" s="23" t="s">
        <v>2511</v>
      </c>
      <c r="B1255" s="23" t="s">
        <v>2512</v>
      </c>
      <c r="C1255" s="23">
        <v>771</v>
      </c>
      <c r="D1255" s="13" t="s">
        <v>436</v>
      </c>
      <c r="G1255"/>
      <c r="I1255" s="14" t="str">
        <f>+IFERROR(VLOOKUP(C1255,'Mov 2023 hasta ahora '!$C$2:$D$314,2,FALSE),"NO")</f>
        <v>NO</v>
      </c>
      <c r="K1255">
        <v>6</v>
      </c>
      <c r="L1255" t="s">
        <v>836</v>
      </c>
      <c r="M1255">
        <v>24</v>
      </c>
      <c r="O1255" s="30" t="s">
        <v>8768</v>
      </c>
      <c r="P1255" s="30" t="s">
        <v>8994</v>
      </c>
      <c r="Q1255" s="30">
        <v>663</v>
      </c>
      <c r="R1255" s="13" t="s">
        <v>436</v>
      </c>
    </row>
    <row r="1256" spans="1:18" hidden="1">
      <c r="A1256" t="s">
        <v>2513</v>
      </c>
      <c r="B1256" t="s">
        <v>2514</v>
      </c>
      <c r="I1256" s="3" t="str">
        <f>+IFERROR(VLOOKUP(C1256,'Mov 2023 hasta ahora '!$C$2:$D$314,2,FALSE),"NO")</f>
        <v>NO</v>
      </c>
      <c r="K1256">
        <v>5</v>
      </c>
      <c r="L1256" t="s">
        <v>836</v>
      </c>
      <c r="M1256">
        <v>18</v>
      </c>
    </row>
    <row r="1257" spans="1:18" s="13" customFormat="1" hidden="1">
      <c r="A1257" s="23" t="s">
        <v>2515</v>
      </c>
      <c r="B1257" s="23" t="s">
        <v>2516</v>
      </c>
      <c r="C1257" s="23">
        <v>780</v>
      </c>
      <c r="D1257" s="13" t="s">
        <v>436</v>
      </c>
      <c r="G1257"/>
      <c r="I1257" s="14" t="str">
        <f>+IFERROR(VLOOKUP(C1257,'Mov 2023 hasta ahora '!$C$2:$D$314,2,FALSE),"NO")</f>
        <v>NO</v>
      </c>
      <c r="K1257">
        <v>6</v>
      </c>
      <c r="L1257" t="s">
        <v>836</v>
      </c>
      <c r="M1257">
        <v>24</v>
      </c>
      <c r="O1257" s="29" t="s">
        <v>8767</v>
      </c>
      <c r="P1257" s="25" t="s">
        <v>8993</v>
      </c>
      <c r="Q1257" s="25">
        <v>645</v>
      </c>
      <c r="R1257" t="s">
        <v>436</v>
      </c>
    </row>
    <row r="1258" spans="1:18" s="13" customFormat="1" hidden="1">
      <c r="A1258" s="23" t="s">
        <v>2517</v>
      </c>
      <c r="B1258" s="23" t="s">
        <v>2518</v>
      </c>
      <c r="C1258" s="23">
        <v>798</v>
      </c>
      <c r="D1258" s="13" t="s">
        <v>436</v>
      </c>
      <c r="G1258"/>
      <c r="I1258" s="14" t="str">
        <f>+IFERROR(VLOOKUP(C1258,'Mov 2023 hasta ahora '!$C$2:$D$314,2,FALSE),"NO")</f>
        <v>NO</v>
      </c>
      <c r="K1258">
        <v>6</v>
      </c>
      <c r="L1258" t="s">
        <v>836</v>
      </c>
      <c r="M1258">
        <v>24</v>
      </c>
      <c r="O1258" s="30" t="s">
        <v>8768</v>
      </c>
      <c r="P1258" s="30" t="s">
        <v>8994</v>
      </c>
      <c r="Q1258" s="30">
        <v>663</v>
      </c>
      <c r="R1258" s="13" t="s">
        <v>436</v>
      </c>
    </row>
    <row r="1259" spans="1:18" hidden="1">
      <c r="A1259" t="s">
        <v>2519</v>
      </c>
      <c r="B1259" t="s">
        <v>2520</v>
      </c>
      <c r="I1259" s="3" t="str">
        <f>+IFERROR(VLOOKUP(C1259,'Mov 2023 hasta ahora '!$C$2:$D$314,2,FALSE),"NO")</f>
        <v>NO</v>
      </c>
      <c r="K1259">
        <v>5</v>
      </c>
      <c r="L1259" t="s">
        <v>836</v>
      </c>
      <c r="M1259">
        <v>18</v>
      </c>
    </row>
    <row r="1260" spans="1:18" s="13" customFormat="1" hidden="1">
      <c r="A1260" s="23" t="s">
        <v>2521</v>
      </c>
      <c r="B1260" s="23" t="s">
        <v>2522</v>
      </c>
      <c r="C1260" s="23">
        <v>807</v>
      </c>
      <c r="D1260" s="13" t="s">
        <v>436</v>
      </c>
      <c r="G1260"/>
      <c r="I1260" s="14" t="str">
        <f>+IFERROR(VLOOKUP(C1260,'Mov 2023 hasta ahora '!$C$2:$D$314,2,FALSE),"NO")</f>
        <v>NO</v>
      </c>
      <c r="K1260">
        <v>6</v>
      </c>
      <c r="L1260" t="s">
        <v>836</v>
      </c>
      <c r="M1260">
        <v>24</v>
      </c>
      <c r="O1260" s="29" t="s">
        <v>8767</v>
      </c>
      <c r="P1260" s="25" t="s">
        <v>8993</v>
      </c>
      <c r="Q1260" s="25">
        <v>645</v>
      </c>
      <c r="R1260" t="s">
        <v>436</v>
      </c>
    </row>
    <row r="1261" spans="1:18" s="13" customFormat="1" hidden="1">
      <c r="A1261" s="23" t="s">
        <v>2523</v>
      </c>
      <c r="B1261" s="23" t="s">
        <v>2524</v>
      </c>
      <c r="C1261" s="23">
        <v>816</v>
      </c>
      <c r="D1261" s="13" t="s">
        <v>436</v>
      </c>
      <c r="G1261"/>
      <c r="I1261" s="14" t="str">
        <f>+IFERROR(VLOOKUP(C1261,'Mov 2023 hasta ahora '!$C$2:$D$314,2,FALSE),"NO")</f>
        <v>NO</v>
      </c>
      <c r="K1261">
        <v>6</v>
      </c>
      <c r="L1261" t="s">
        <v>836</v>
      </c>
      <c r="M1261">
        <v>24</v>
      </c>
      <c r="O1261" s="29" t="s">
        <v>8768</v>
      </c>
      <c r="P1261" s="25" t="s">
        <v>8994</v>
      </c>
      <c r="Q1261" s="25">
        <v>663</v>
      </c>
      <c r="R1261" t="s">
        <v>436</v>
      </c>
    </row>
    <row r="1262" spans="1:18" s="13" customFormat="1" hidden="1">
      <c r="A1262" s="23" t="s">
        <v>2525</v>
      </c>
      <c r="B1262" s="23" t="s">
        <v>2526</v>
      </c>
      <c r="C1262" s="23">
        <v>825</v>
      </c>
      <c r="D1262" s="13" t="s">
        <v>436</v>
      </c>
      <c r="G1262"/>
      <c r="I1262" s="14" t="str">
        <f>+IFERROR(VLOOKUP(C1262,'Mov 2023 hasta ahora '!$C$2:$D$314,2,FALSE),"NO")</f>
        <v>NO</v>
      </c>
      <c r="K1262">
        <v>6</v>
      </c>
      <c r="L1262" t="s">
        <v>836</v>
      </c>
      <c r="M1262">
        <v>24</v>
      </c>
      <c r="O1262" s="30" t="s">
        <v>8768</v>
      </c>
      <c r="P1262" s="30" t="s">
        <v>8994</v>
      </c>
      <c r="Q1262" s="30">
        <v>663</v>
      </c>
      <c r="R1262" s="13" t="s">
        <v>436</v>
      </c>
    </row>
    <row r="1263" spans="1:18" hidden="1">
      <c r="A1263" t="s">
        <v>2527</v>
      </c>
      <c r="B1263" t="s">
        <v>2528</v>
      </c>
      <c r="I1263" s="3" t="str">
        <f>+IFERROR(VLOOKUP(C1263,'Mov 2023 hasta ahora '!$C$2:$D$314,2,FALSE),"NO")</f>
        <v>NO</v>
      </c>
      <c r="K1263">
        <v>5</v>
      </c>
      <c r="L1263" t="s">
        <v>836</v>
      </c>
      <c r="M1263">
        <v>18</v>
      </c>
    </row>
    <row r="1264" spans="1:18" hidden="1">
      <c r="A1264" t="s">
        <v>2529</v>
      </c>
      <c r="B1264" t="s">
        <v>2530</v>
      </c>
      <c r="I1264" s="3" t="str">
        <f>+IFERROR(VLOOKUP(C1264,'Mov 2023 hasta ahora '!$C$2:$D$314,2,FALSE),"NO")</f>
        <v>NO</v>
      </c>
      <c r="K1264">
        <v>4</v>
      </c>
      <c r="L1264" t="s">
        <v>836</v>
      </c>
      <c r="M1264">
        <v>14</v>
      </c>
    </row>
    <row r="1265" spans="1:18" hidden="1">
      <c r="A1265" t="s">
        <v>2531</v>
      </c>
      <c r="B1265" t="s">
        <v>2532</v>
      </c>
      <c r="I1265" s="3" t="str">
        <f>+IFERROR(VLOOKUP(C1265,'Mov 2023 hasta ahora '!$C$2:$D$314,2,FALSE),"NO")</f>
        <v>NO</v>
      </c>
      <c r="K1265">
        <v>5</v>
      </c>
      <c r="L1265" t="s">
        <v>836</v>
      </c>
      <c r="M1265">
        <v>18</v>
      </c>
    </row>
    <row r="1266" spans="1:18" s="13" customFormat="1" hidden="1">
      <c r="A1266" s="23" t="s">
        <v>2533</v>
      </c>
      <c r="B1266" s="23" t="s">
        <v>2534</v>
      </c>
      <c r="C1266" s="23">
        <v>834</v>
      </c>
      <c r="D1266" s="13" t="s">
        <v>436</v>
      </c>
      <c r="G1266"/>
      <c r="I1266" s="14" t="str">
        <f>+IFERROR(VLOOKUP(C1266,'Mov 2023 hasta ahora '!$C$2:$D$314,2,FALSE),"NO")</f>
        <v>NO</v>
      </c>
      <c r="K1266">
        <v>6</v>
      </c>
      <c r="L1266" t="s">
        <v>836</v>
      </c>
      <c r="M1266">
        <v>24</v>
      </c>
      <c r="O1266" s="29" t="s">
        <v>8858</v>
      </c>
      <c r="P1266" s="25" t="s">
        <v>8862</v>
      </c>
      <c r="Q1266" s="25">
        <v>834</v>
      </c>
      <c r="R1266" t="s">
        <v>436</v>
      </c>
    </row>
    <row r="1267" spans="1:18" s="13" customFormat="1" hidden="1">
      <c r="A1267" s="23" t="s">
        <v>2535</v>
      </c>
      <c r="B1267" s="23" t="s">
        <v>2536</v>
      </c>
      <c r="C1267" s="23">
        <v>852</v>
      </c>
      <c r="D1267" s="13" t="s">
        <v>436</v>
      </c>
      <c r="G1267"/>
      <c r="I1267" s="14" t="str">
        <f>+IFERROR(VLOOKUP(C1267,'Mov 2023 hasta ahora '!$C$2:$D$314,2,FALSE),"NO")</f>
        <v>NO</v>
      </c>
      <c r="K1267">
        <v>6</v>
      </c>
      <c r="L1267" t="s">
        <v>836</v>
      </c>
      <c r="M1267">
        <v>24</v>
      </c>
      <c r="O1267" s="29" t="s">
        <v>8847</v>
      </c>
      <c r="P1267" s="25" t="s">
        <v>8851</v>
      </c>
      <c r="Q1267" s="25">
        <v>852</v>
      </c>
      <c r="R1267" t="s">
        <v>436</v>
      </c>
    </row>
    <row r="1268" spans="1:18" hidden="1">
      <c r="A1268" t="s">
        <v>2537</v>
      </c>
      <c r="B1268" t="s">
        <v>2538</v>
      </c>
      <c r="I1268" s="3" t="str">
        <f>+IFERROR(VLOOKUP(C1268,'Mov 2023 hasta ahora '!$C$2:$D$314,2,FALSE),"NO")</f>
        <v>NO</v>
      </c>
      <c r="K1268">
        <v>5</v>
      </c>
      <c r="L1268" t="s">
        <v>836</v>
      </c>
      <c r="M1268">
        <v>18</v>
      </c>
    </row>
    <row r="1269" spans="1:18" s="13" customFormat="1" hidden="1">
      <c r="A1269" s="23" t="s">
        <v>2539</v>
      </c>
      <c r="B1269" s="23" t="s">
        <v>2540</v>
      </c>
      <c r="C1269" s="23">
        <v>861</v>
      </c>
      <c r="D1269" s="13" t="s">
        <v>436</v>
      </c>
      <c r="G1269"/>
      <c r="I1269" s="14" t="str">
        <f>+IFERROR(VLOOKUP(C1269,'Mov 2023 hasta ahora '!$C$2:$D$314,2,FALSE),"NO")</f>
        <v>NO</v>
      </c>
      <c r="K1269">
        <v>6</v>
      </c>
      <c r="L1269" t="s">
        <v>836</v>
      </c>
      <c r="M1269">
        <v>24</v>
      </c>
      <c r="O1269" s="29" t="s">
        <v>8858</v>
      </c>
      <c r="P1269" s="25" t="s">
        <v>8862</v>
      </c>
      <c r="Q1269" s="25">
        <v>834</v>
      </c>
      <c r="R1269" t="s">
        <v>436</v>
      </c>
    </row>
    <row r="1270" spans="1:18" s="13" customFormat="1" hidden="1">
      <c r="A1270" s="23" t="s">
        <v>2541</v>
      </c>
      <c r="B1270" s="23" t="s">
        <v>2542</v>
      </c>
      <c r="C1270" s="23">
        <v>870</v>
      </c>
      <c r="D1270" s="13" t="s">
        <v>436</v>
      </c>
      <c r="G1270"/>
      <c r="I1270" s="14" t="str">
        <f>+IFERROR(VLOOKUP(C1270,'Mov 2023 hasta ahora '!$C$2:$D$314,2,FALSE),"NO")</f>
        <v>NO</v>
      </c>
      <c r="K1270">
        <v>6</v>
      </c>
      <c r="L1270" t="s">
        <v>836</v>
      </c>
      <c r="M1270">
        <v>24</v>
      </c>
      <c r="O1270" s="29" t="s">
        <v>8847</v>
      </c>
      <c r="P1270" s="25" t="s">
        <v>8851</v>
      </c>
      <c r="Q1270" s="25">
        <v>852</v>
      </c>
      <c r="R1270" t="s">
        <v>436</v>
      </c>
    </row>
    <row r="1271" spans="1:18" s="13" customFormat="1" hidden="1">
      <c r="A1271" s="23" t="s">
        <v>2543</v>
      </c>
      <c r="B1271" s="23" t="s">
        <v>2544</v>
      </c>
      <c r="C1271" s="23">
        <v>879</v>
      </c>
      <c r="D1271" s="13" t="s">
        <v>436</v>
      </c>
      <c r="G1271"/>
      <c r="I1271" s="14" t="str">
        <f>+IFERROR(VLOOKUP(C1271,'Mov 2023 hasta ahora '!$C$2:$D$314,2,FALSE),"NO")</f>
        <v>NO</v>
      </c>
      <c r="K1271">
        <v>6</v>
      </c>
      <c r="L1271" t="s">
        <v>836</v>
      </c>
      <c r="M1271">
        <v>24</v>
      </c>
      <c r="O1271" s="29" t="s">
        <v>8847</v>
      </c>
      <c r="P1271" s="25" t="s">
        <v>8851</v>
      </c>
      <c r="Q1271" s="25">
        <v>852</v>
      </c>
      <c r="R1271" t="s">
        <v>436</v>
      </c>
    </row>
    <row r="1272" spans="1:18" hidden="1">
      <c r="A1272" t="s">
        <v>2545</v>
      </c>
      <c r="B1272" t="s">
        <v>2546</v>
      </c>
      <c r="I1272" s="3" t="str">
        <f>+IFERROR(VLOOKUP(C1272,'Mov 2023 hasta ahora '!$C$2:$D$314,2,FALSE),"NO")</f>
        <v>NO</v>
      </c>
      <c r="K1272">
        <v>5</v>
      </c>
      <c r="L1272" t="s">
        <v>836</v>
      </c>
      <c r="M1272">
        <v>18</v>
      </c>
    </row>
    <row r="1273" spans="1:18" s="13" customFormat="1" hidden="1">
      <c r="A1273" s="23" t="s">
        <v>2547</v>
      </c>
      <c r="B1273" s="23" t="s">
        <v>2548</v>
      </c>
      <c r="C1273" s="23">
        <v>888</v>
      </c>
      <c r="D1273" s="13" t="s">
        <v>436</v>
      </c>
      <c r="G1273"/>
      <c r="I1273" s="14" t="str">
        <f>+IFERROR(VLOOKUP(C1273,'Mov 2023 hasta ahora '!$C$2:$D$314,2,FALSE),"NO")</f>
        <v>NO</v>
      </c>
      <c r="K1273">
        <v>6</v>
      </c>
      <c r="L1273" t="s">
        <v>836</v>
      </c>
      <c r="M1273">
        <v>24</v>
      </c>
      <c r="O1273" s="29" t="s">
        <v>8858</v>
      </c>
      <c r="P1273" s="25" t="s">
        <v>8862</v>
      </c>
      <c r="Q1273" s="25">
        <v>834</v>
      </c>
      <c r="R1273" t="s">
        <v>436</v>
      </c>
    </row>
    <row r="1274" spans="1:18" s="13" customFormat="1" hidden="1">
      <c r="A1274" s="23" t="s">
        <v>2549</v>
      </c>
      <c r="B1274" s="23" t="s">
        <v>2550</v>
      </c>
      <c r="C1274" s="23">
        <v>906</v>
      </c>
      <c r="D1274" s="13" t="s">
        <v>436</v>
      </c>
      <c r="G1274"/>
      <c r="I1274" s="14" t="str">
        <f>+IFERROR(VLOOKUP(C1274,'Mov 2023 hasta ahora '!$C$2:$D$314,2,FALSE),"NO")</f>
        <v>NO</v>
      </c>
      <c r="K1274">
        <v>6</v>
      </c>
      <c r="L1274" t="s">
        <v>836</v>
      </c>
      <c r="M1274">
        <v>24</v>
      </c>
      <c r="O1274" s="29" t="s">
        <v>8847</v>
      </c>
      <c r="P1274" s="25" t="s">
        <v>8851</v>
      </c>
      <c r="Q1274" s="25">
        <v>852</v>
      </c>
      <c r="R1274" t="s">
        <v>436</v>
      </c>
    </row>
    <row r="1275" spans="1:18" hidden="1">
      <c r="A1275" t="s">
        <v>2551</v>
      </c>
      <c r="B1275" t="s">
        <v>2552</v>
      </c>
      <c r="I1275" s="3" t="str">
        <f>+IFERROR(VLOOKUP(C1275,'Mov 2023 hasta ahora '!$C$2:$D$314,2,FALSE),"NO")</f>
        <v>NO</v>
      </c>
      <c r="K1275">
        <v>5</v>
      </c>
      <c r="L1275" t="s">
        <v>836</v>
      </c>
      <c r="M1275">
        <v>18</v>
      </c>
    </row>
    <row r="1276" spans="1:18" s="13" customFormat="1" hidden="1">
      <c r="A1276" s="23" t="s">
        <v>2553</v>
      </c>
      <c r="B1276" s="23" t="s">
        <v>2554</v>
      </c>
      <c r="C1276" s="23">
        <v>915</v>
      </c>
      <c r="D1276" s="13" t="s">
        <v>436</v>
      </c>
      <c r="G1276"/>
      <c r="I1276" s="14" t="str">
        <f>+IFERROR(VLOOKUP(C1276,'Mov 2023 hasta ahora '!$C$2:$D$314,2,FALSE),"NO")</f>
        <v>NO</v>
      </c>
      <c r="K1276">
        <v>6</v>
      </c>
      <c r="L1276" t="s">
        <v>836</v>
      </c>
      <c r="M1276">
        <v>24</v>
      </c>
      <c r="O1276" s="29" t="s">
        <v>8858</v>
      </c>
      <c r="P1276" s="25" t="s">
        <v>8862</v>
      </c>
      <c r="Q1276" s="25">
        <v>834</v>
      </c>
      <c r="R1276" t="s">
        <v>436</v>
      </c>
    </row>
    <row r="1277" spans="1:18" s="13" customFormat="1" hidden="1">
      <c r="A1277" s="23" t="s">
        <v>2555</v>
      </c>
      <c r="B1277" s="23" t="s">
        <v>2556</v>
      </c>
      <c r="C1277" s="23">
        <v>933</v>
      </c>
      <c r="D1277" s="13" t="s">
        <v>436</v>
      </c>
      <c r="G1277"/>
      <c r="I1277" s="14" t="str">
        <f>+IFERROR(VLOOKUP(C1277,'Mov 2023 hasta ahora '!$C$2:$D$314,2,FALSE),"NO")</f>
        <v>NO</v>
      </c>
      <c r="K1277">
        <v>6</v>
      </c>
      <c r="L1277" t="s">
        <v>836</v>
      </c>
      <c r="M1277">
        <v>24</v>
      </c>
      <c r="O1277" s="29" t="s">
        <v>8847</v>
      </c>
      <c r="P1277" s="25" t="s">
        <v>8851</v>
      </c>
      <c r="Q1277" s="25">
        <v>852</v>
      </c>
      <c r="R1277" t="s">
        <v>436</v>
      </c>
    </row>
    <row r="1278" spans="1:18" hidden="1">
      <c r="A1278" t="s">
        <v>2557</v>
      </c>
      <c r="B1278" t="s">
        <v>2558</v>
      </c>
      <c r="I1278" s="3" t="str">
        <f>+IFERROR(VLOOKUP(C1278,'Mov 2023 hasta ahora '!$C$2:$D$314,2,FALSE),"NO")</f>
        <v>NO</v>
      </c>
      <c r="K1278">
        <v>5</v>
      </c>
      <c r="L1278" t="s">
        <v>836</v>
      </c>
      <c r="M1278">
        <v>18</v>
      </c>
    </row>
    <row r="1279" spans="1:18" s="13" customFormat="1" hidden="1">
      <c r="A1279" s="23" t="s">
        <v>2559</v>
      </c>
      <c r="B1279" s="23" t="s">
        <v>2560</v>
      </c>
      <c r="C1279" s="23">
        <v>942</v>
      </c>
      <c r="D1279" s="13" t="s">
        <v>436</v>
      </c>
      <c r="G1279"/>
      <c r="I1279" s="14" t="str">
        <f>+IFERROR(VLOOKUP(C1279,'Mov 2023 hasta ahora '!$C$2:$D$314,2,FALSE),"NO")</f>
        <v>NO</v>
      </c>
      <c r="K1279">
        <v>6</v>
      </c>
      <c r="L1279" t="s">
        <v>836</v>
      </c>
      <c r="M1279">
        <v>24</v>
      </c>
      <c r="O1279" s="29" t="s">
        <v>8858</v>
      </c>
      <c r="P1279" s="25" t="s">
        <v>8862</v>
      </c>
      <c r="Q1279" s="25">
        <v>834</v>
      </c>
      <c r="R1279" t="s">
        <v>436</v>
      </c>
    </row>
    <row r="1280" spans="1:18" s="13" customFormat="1" hidden="1">
      <c r="A1280" s="23" t="s">
        <v>2561</v>
      </c>
      <c r="B1280" s="23" t="s">
        <v>2562</v>
      </c>
      <c r="C1280" s="23">
        <v>960</v>
      </c>
      <c r="D1280" s="13" t="s">
        <v>436</v>
      </c>
      <c r="G1280"/>
      <c r="I1280" s="14">
        <f>+IFERROR(VLOOKUP(C1280,'Mov 2023 hasta ahora '!$C$2:$D$314,2,FALSE),"NO")</f>
        <v>1</v>
      </c>
      <c r="K1280">
        <v>6</v>
      </c>
      <c r="L1280" t="s">
        <v>836</v>
      </c>
      <c r="M1280">
        <v>24</v>
      </c>
      <c r="O1280" s="29" t="s">
        <v>8847</v>
      </c>
      <c r="P1280" s="25" t="s">
        <v>8851</v>
      </c>
      <c r="Q1280" s="25">
        <v>852</v>
      </c>
      <c r="R1280" t="s">
        <v>436</v>
      </c>
    </row>
    <row r="1281" spans="1:18" hidden="1">
      <c r="A1281" t="s">
        <v>2563</v>
      </c>
      <c r="B1281" t="s">
        <v>2564</v>
      </c>
      <c r="I1281" s="3" t="str">
        <f>+IFERROR(VLOOKUP(C1281,'Mov 2023 hasta ahora '!$C$2:$D$314,2,FALSE),"NO")</f>
        <v>NO</v>
      </c>
      <c r="K1281">
        <v>5</v>
      </c>
      <c r="L1281" t="s">
        <v>836</v>
      </c>
      <c r="M1281">
        <v>18</v>
      </c>
    </row>
    <row r="1282" spans="1:18" s="13" customFormat="1" hidden="1">
      <c r="A1282" s="23" t="s">
        <v>2565</v>
      </c>
      <c r="B1282" s="23" t="s">
        <v>2566</v>
      </c>
      <c r="C1282" s="23">
        <v>969</v>
      </c>
      <c r="D1282" s="13" t="s">
        <v>436</v>
      </c>
      <c r="G1282"/>
      <c r="I1282" s="14" t="str">
        <f>+IFERROR(VLOOKUP(C1282,'Mov 2023 hasta ahora '!$C$2:$D$314,2,FALSE),"NO")</f>
        <v>NO</v>
      </c>
      <c r="K1282">
        <v>6</v>
      </c>
      <c r="L1282" t="s">
        <v>836</v>
      </c>
      <c r="M1282">
        <v>24</v>
      </c>
      <c r="O1282" s="29" t="s">
        <v>8858</v>
      </c>
      <c r="P1282" s="25" t="s">
        <v>8862</v>
      </c>
      <c r="Q1282" s="25">
        <v>834</v>
      </c>
      <c r="R1282" t="s">
        <v>436</v>
      </c>
    </row>
    <row r="1283" spans="1:18" s="13" customFormat="1" hidden="1">
      <c r="A1283" s="23" t="s">
        <v>2567</v>
      </c>
      <c r="B1283" s="23" t="s">
        <v>2568</v>
      </c>
      <c r="C1283" s="23">
        <v>987</v>
      </c>
      <c r="D1283" s="13" t="s">
        <v>436</v>
      </c>
      <c r="G1283"/>
      <c r="I1283" s="14" t="str">
        <f>+IFERROR(VLOOKUP(C1283,'Mov 2023 hasta ahora '!$C$2:$D$314,2,FALSE),"NO")</f>
        <v>NO</v>
      </c>
      <c r="K1283">
        <v>6</v>
      </c>
      <c r="L1283" t="s">
        <v>836</v>
      </c>
      <c r="M1283">
        <v>24</v>
      </c>
      <c r="O1283" s="29" t="s">
        <v>8847</v>
      </c>
      <c r="P1283" s="25" t="s">
        <v>8851</v>
      </c>
      <c r="Q1283" s="25">
        <v>852</v>
      </c>
      <c r="R1283" t="s">
        <v>436</v>
      </c>
    </row>
    <row r="1284" spans="1:18" hidden="1">
      <c r="A1284" t="s">
        <v>2569</v>
      </c>
      <c r="B1284" t="s">
        <v>2570</v>
      </c>
      <c r="I1284" s="3" t="str">
        <f>+IFERROR(VLOOKUP(C1284,'Mov 2023 hasta ahora '!$C$2:$D$314,2,FALSE),"NO")</f>
        <v>NO</v>
      </c>
      <c r="K1284">
        <v>5</v>
      </c>
      <c r="L1284" t="s">
        <v>836</v>
      </c>
      <c r="M1284">
        <v>18</v>
      </c>
    </row>
    <row r="1285" spans="1:18" s="13" customFormat="1" hidden="1">
      <c r="A1285" s="23" t="s">
        <v>2571</v>
      </c>
      <c r="B1285" s="23" t="s">
        <v>2572</v>
      </c>
      <c r="C1285" s="23">
        <v>997</v>
      </c>
      <c r="D1285" s="13" t="s">
        <v>436</v>
      </c>
      <c r="G1285"/>
      <c r="I1285" s="14" t="str">
        <f>+IFERROR(VLOOKUP(C1285,'Mov 2023 hasta ahora '!$C$2:$D$314,2,FALSE),"NO")</f>
        <v>NO</v>
      </c>
      <c r="K1285">
        <v>6</v>
      </c>
      <c r="L1285" t="s">
        <v>836</v>
      </c>
      <c r="M1285">
        <v>24</v>
      </c>
      <c r="O1285" s="29" t="s">
        <v>8858</v>
      </c>
      <c r="P1285" s="25" t="s">
        <v>8862</v>
      </c>
      <c r="Q1285" s="25">
        <v>834</v>
      </c>
      <c r="R1285" t="s">
        <v>436</v>
      </c>
    </row>
    <row r="1286" spans="1:18" s="13" customFormat="1" hidden="1">
      <c r="A1286" s="23" t="s">
        <v>2573</v>
      </c>
      <c r="B1286" s="23" t="s">
        <v>2574</v>
      </c>
      <c r="C1286" s="23">
        <v>1015</v>
      </c>
      <c r="D1286" s="13" t="s">
        <v>436</v>
      </c>
      <c r="G1286"/>
      <c r="I1286" s="14" t="str">
        <f>+IFERROR(VLOOKUP(C1286,'Mov 2023 hasta ahora '!$C$2:$D$314,2,FALSE),"NO")</f>
        <v>NO</v>
      </c>
      <c r="K1286">
        <v>6</v>
      </c>
      <c r="L1286" t="s">
        <v>836</v>
      </c>
      <c r="M1286">
        <v>24</v>
      </c>
      <c r="O1286" s="29" t="s">
        <v>8847</v>
      </c>
      <c r="P1286" s="25" t="s">
        <v>8851</v>
      </c>
      <c r="Q1286" s="25">
        <v>852</v>
      </c>
      <c r="R1286" t="s">
        <v>436</v>
      </c>
    </row>
    <row r="1287" spans="1:18" hidden="1">
      <c r="A1287" t="s">
        <v>2575</v>
      </c>
      <c r="B1287" t="s">
        <v>2576</v>
      </c>
      <c r="I1287" s="3" t="str">
        <f>+IFERROR(VLOOKUP(C1287,'Mov 2023 hasta ahora '!$C$2:$D$314,2,FALSE),"NO")</f>
        <v>NO</v>
      </c>
      <c r="K1287">
        <v>5</v>
      </c>
      <c r="L1287" t="s">
        <v>836</v>
      </c>
      <c r="M1287">
        <v>18</v>
      </c>
    </row>
    <row r="1288" spans="1:18" hidden="1">
      <c r="A1288" t="s">
        <v>2577</v>
      </c>
      <c r="B1288" t="s">
        <v>2578</v>
      </c>
      <c r="I1288" s="3" t="str">
        <f>+IFERROR(VLOOKUP(C1288,'Mov 2023 hasta ahora '!$C$2:$D$314,2,FALSE),"NO")</f>
        <v>NO</v>
      </c>
      <c r="K1288">
        <v>4</v>
      </c>
      <c r="L1288" t="s">
        <v>836</v>
      </c>
      <c r="M1288">
        <v>14</v>
      </c>
    </row>
    <row r="1289" spans="1:18" hidden="1">
      <c r="A1289" t="s">
        <v>2579</v>
      </c>
      <c r="B1289" t="s">
        <v>2580</v>
      </c>
      <c r="I1289" s="3" t="str">
        <f>+IFERROR(VLOOKUP(C1289,'Mov 2023 hasta ahora '!$C$2:$D$314,2,FALSE),"NO")</f>
        <v>NO</v>
      </c>
      <c r="K1289">
        <v>5</v>
      </c>
      <c r="L1289" t="s">
        <v>836</v>
      </c>
      <c r="M1289">
        <v>18</v>
      </c>
    </row>
    <row r="1290" spans="1:18" s="13" customFormat="1" hidden="1">
      <c r="A1290" s="23" t="s">
        <v>2581</v>
      </c>
      <c r="B1290" s="23" t="s">
        <v>2582</v>
      </c>
      <c r="C1290" s="23">
        <v>1024</v>
      </c>
      <c r="D1290" s="13" t="s">
        <v>436</v>
      </c>
      <c r="G1290"/>
      <c r="I1290" s="14" t="str">
        <f>+IFERROR(VLOOKUP(C1290,'Mov 2023 hasta ahora '!$C$2:$D$314,2,FALSE),"NO")</f>
        <v>NO</v>
      </c>
      <c r="K1290">
        <v>6</v>
      </c>
      <c r="L1290" t="s">
        <v>836</v>
      </c>
      <c r="M1290">
        <v>24</v>
      </c>
      <c r="O1290" s="29" t="s">
        <v>9009</v>
      </c>
      <c r="P1290" s="25" t="s">
        <v>9005</v>
      </c>
      <c r="Q1290" s="25">
        <v>1024</v>
      </c>
      <c r="R1290" t="s">
        <v>436</v>
      </c>
    </row>
    <row r="1291" spans="1:18" s="13" customFormat="1" hidden="1">
      <c r="A1291" s="23" t="s">
        <v>2583</v>
      </c>
      <c r="B1291" s="23" t="s">
        <v>2584</v>
      </c>
      <c r="C1291" s="23">
        <v>1033</v>
      </c>
      <c r="D1291" s="13" t="s">
        <v>436</v>
      </c>
      <c r="G1291"/>
      <c r="I1291" s="14" t="str">
        <f>+IFERROR(VLOOKUP(C1291,'Mov 2023 hasta ahora '!$C$2:$D$314,2,FALSE),"NO")</f>
        <v>NO</v>
      </c>
      <c r="K1291">
        <v>6</v>
      </c>
      <c r="L1291" t="s">
        <v>836</v>
      </c>
      <c r="M1291">
        <v>24</v>
      </c>
      <c r="O1291" s="29" t="s">
        <v>9010</v>
      </c>
      <c r="P1291" s="25" t="s">
        <v>9006</v>
      </c>
      <c r="Q1291" s="25">
        <v>1042</v>
      </c>
      <c r="R1291" t="s">
        <v>436</v>
      </c>
    </row>
    <row r="1292" spans="1:18" s="13" customFormat="1" hidden="1">
      <c r="A1292" s="23" t="s">
        <v>2585</v>
      </c>
      <c r="B1292" s="23" t="s">
        <v>2586</v>
      </c>
      <c r="C1292" s="23">
        <v>1042</v>
      </c>
      <c r="D1292" s="13" t="s">
        <v>436</v>
      </c>
      <c r="G1292"/>
      <c r="I1292" s="14" t="str">
        <f>+IFERROR(VLOOKUP(C1292,'Mov 2023 hasta ahora '!$C$2:$D$314,2,FALSE),"NO")</f>
        <v>NO</v>
      </c>
      <c r="K1292">
        <v>6</v>
      </c>
      <c r="L1292" t="s">
        <v>836</v>
      </c>
      <c r="M1292">
        <v>24</v>
      </c>
      <c r="O1292" s="29" t="s">
        <v>9010</v>
      </c>
      <c r="P1292" s="25" t="s">
        <v>9006</v>
      </c>
      <c r="Q1292" s="25">
        <v>1042</v>
      </c>
      <c r="R1292" t="s">
        <v>436</v>
      </c>
    </row>
    <row r="1293" spans="1:18" hidden="1">
      <c r="A1293" t="s">
        <v>2587</v>
      </c>
      <c r="B1293" t="s">
        <v>2588</v>
      </c>
      <c r="I1293" s="3" t="str">
        <f>+IFERROR(VLOOKUP(C1293,'Mov 2023 hasta ahora '!$C$2:$D$314,2,FALSE),"NO")</f>
        <v>NO</v>
      </c>
      <c r="K1293">
        <v>5</v>
      </c>
      <c r="L1293" t="s">
        <v>836</v>
      </c>
      <c r="M1293">
        <v>18</v>
      </c>
    </row>
    <row r="1294" spans="1:18" s="13" customFormat="1" hidden="1">
      <c r="A1294" s="23" t="s">
        <v>2589</v>
      </c>
      <c r="B1294" s="23" t="s">
        <v>2590</v>
      </c>
      <c r="C1294" s="23">
        <v>1051</v>
      </c>
      <c r="D1294" s="13" t="s">
        <v>436</v>
      </c>
      <c r="G1294"/>
      <c r="I1294" s="14" t="str">
        <f>+IFERROR(VLOOKUP(C1294,'Mov 2023 hasta ahora '!$C$2:$D$314,2,FALSE),"NO")</f>
        <v>NO</v>
      </c>
      <c r="K1294">
        <v>6</v>
      </c>
      <c r="L1294" t="s">
        <v>836</v>
      </c>
      <c r="M1294">
        <v>24</v>
      </c>
      <c r="O1294" s="29" t="s">
        <v>9009</v>
      </c>
      <c r="P1294" s="25" t="s">
        <v>9005</v>
      </c>
      <c r="Q1294" s="25">
        <v>1024</v>
      </c>
      <c r="R1294" t="s">
        <v>436</v>
      </c>
    </row>
    <row r="1295" spans="1:18" s="13" customFormat="1" hidden="1">
      <c r="A1295" s="23" t="s">
        <v>2591</v>
      </c>
      <c r="B1295" s="23" t="s">
        <v>2592</v>
      </c>
      <c r="C1295" s="23">
        <v>1060</v>
      </c>
      <c r="D1295" s="13" t="s">
        <v>436</v>
      </c>
      <c r="G1295"/>
      <c r="I1295" s="14" t="str">
        <f>+IFERROR(VLOOKUP(C1295,'Mov 2023 hasta ahora '!$C$2:$D$314,2,FALSE),"NO")</f>
        <v>NO</v>
      </c>
      <c r="K1295">
        <v>6</v>
      </c>
      <c r="L1295" t="s">
        <v>836</v>
      </c>
      <c r="M1295">
        <v>24</v>
      </c>
      <c r="O1295" s="29" t="s">
        <v>9010</v>
      </c>
      <c r="P1295" s="25" t="s">
        <v>9006</v>
      </c>
      <c r="Q1295" s="25">
        <v>1042</v>
      </c>
      <c r="R1295" t="s">
        <v>436</v>
      </c>
    </row>
    <row r="1296" spans="1:18" s="13" customFormat="1" hidden="1">
      <c r="A1296" s="23" t="s">
        <v>2593</v>
      </c>
      <c r="B1296" s="23" t="s">
        <v>2594</v>
      </c>
      <c r="C1296" s="23">
        <v>1069</v>
      </c>
      <c r="D1296" s="13" t="s">
        <v>436</v>
      </c>
      <c r="G1296"/>
      <c r="I1296" s="14">
        <f>+IFERROR(VLOOKUP(C1296,'Mov 2023 hasta ahora '!$C$2:$D$314,2,FALSE),"NO")</f>
        <v>1</v>
      </c>
      <c r="K1296">
        <v>6</v>
      </c>
      <c r="L1296" t="s">
        <v>836</v>
      </c>
      <c r="M1296">
        <v>24</v>
      </c>
      <c r="O1296" s="29" t="s">
        <v>9010</v>
      </c>
      <c r="P1296" s="25" t="s">
        <v>9006</v>
      </c>
      <c r="Q1296" s="25">
        <v>1042</v>
      </c>
      <c r="R1296" t="s">
        <v>436</v>
      </c>
    </row>
    <row r="1297" spans="1:18" hidden="1">
      <c r="A1297" t="s">
        <v>2595</v>
      </c>
      <c r="B1297" t="s">
        <v>2596</v>
      </c>
      <c r="I1297" s="3" t="str">
        <f>+IFERROR(VLOOKUP(C1297,'Mov 2023 hasta ahora '!$C$2:$D$314,2,FALSE),"NO")</f>
        <v>NO</v>
      </c>
      <c r="K1297">
        <v>5</v>
      </c>
      <c r="L1297" t="s">
        <v>836</v>
      </c>
      <c r="M1297">
        <v>18</v>
      </c>
    </row>
    <row r="1298" spans="1:18" s="13" customFormat="1" hidden="1">
      <c r="A1298" s="23" t="s">
        <v>2597</v>
      </c>
      <c r="B1298" s="23" t="s">
        <v>2598</v>
      </c>
      <c r="C1298" s="23">
        <v>1078</v>
      </c>
      <c r="D1298" s="13" t="s">
        <v>436</v>
      </c>
      <c r="G1298"/>
      <c r="I1298" s="14" t="str">
        <f>+IFERROR(VLOOKUP(C1298,'Mov 2023 hasta ahora '!$C$2:$D$314,2,FALSE),"NO")</f>
        <v>NO</v>
      </c>
      <c r="K1298">
        <v>6</v>
      </c>
      <c r="L1298" t="s">
        <v>836</v>
      </c>
      <c r="M1298">
        <v>24</v>
      </c>
      <c r="O1298" s="29" t="s">
        <v>9009</v>
      </c>
      <c r="P1298" s="25" t="s">
        <v>9005</v>
      </c>
      <c r="Q1298" s="25">
        <v>1024</v>
      </c>
      <c r="R1298" t="s">
        <v>436</v>
      </c>
    </row>
    <row r="1299" spans="1:18" s="13" customFormat="1" hidden="1">
      <c r="A1299" s="23" t="s">
        <v>2599</v>
      </c>
      <c r="B1299" s="23" t="s">
        <v>2600</v>
      </c>
      <c r="C1299" s="23">
        <v>1087</v>
      </c>
      <c r="D1299" s="13" t="s">
        <v>436</v>
      </c>
      <c r="G1299"/>
      <c r="I1299" s="14" t="str">
        <f>+IFERROR(VLOOKUP(C1299,'Mov 2023 hasta ahora '!$C$2:$D$314,2,FALSE),"NO")</f>
        <v>NO</v>
      </c>
      <c r="K1299">
        <v>6</v>
      </c>
      <c r="L1299" t="s">
        <v>836</v>
      </c>
      <c r="M1299">
        <v>24</v>
      </c>
      <c r="O1299" s="29" t="s">
        <v>9010</v>
      </c>
      <c r="P1299" s="25" t="s">
        <v>9006</v>
      </c>
      <c r="Q1299" s="25">
        <v>1042</v>
      </c>
      <c r="R1299" t="s">
        <v>436</v>
      </c>
    </row>
    <row r="1300" spans="1:18" s="13" customFormat="1" hidden="1">
      <c r="A1300" s="23" t="s">
        <v>2601</v>
      </c>
      <c r="B1300" s="23" t="s">
        <v>2602</v>
      </c>
      <c r="C1300" s="23">
        <v>1096</v>
      </c>
      <c r="D1300" s="13" t="s">
        <v>436</v>
      </c>
      <c r="G1300"/>
      <c r="I1300" s="14" t="str">
        <f>+IFERROR(VLOOKUP(C1300,'Mov 2023 hasta ahora '!$C$2:$D$314,2,FALSE),"NO")</f>
        <v>NO</v>
      </c>
      <c r="K1300">
        <v>6</v>
      </c>
      <c r="L1300" t="s">
        <v>836</v>
      </c>
      <c r="M1300">
        <v>24</v>
      </c>
      <c r="O1300" s="29" t="s">
        <v>9010</v>
      </c>
      <c r="P1300" s="25" t="s">
        <v>9006</v>
      </c>
      <c r="Q1300" s="25">
        <v>1042</v>
      </c>
      <c r="R1300" t="s">
        <v>436</v>
      </c>
    </row>
    <row r="1301" spans="1:18" hidden="1">
      <c r="A1301" t="s">
        <v>2603</v>
      </c>
      <c r="B1301" t="s">
        <v>2604</v>
      </c>
      <c r="I1301" s="3" t="str">
        <f>+IFERROR(VLOOKUP(C1301,'Mov 2023 hasta ahora '!$C$2:$D$314,2,FALSE),"NO")</f>
        <v>NO</v>
      </c>
      <c r="K1301">
        <v>4</v>
      </c>
      <c r="L1301" t="s">
        <v>836</v>
      </c>
      <c r="M1301">
        <v>14</v>
      </c>
    </row>
    <row r="1302" spans="1:18" hidden="1">
      <c r="A1302" t="s">
        <v>2605</v>
      </c>
      <c r="B1302" t="s">
        <v>2606</v>
      </c>
      <c r="I1302" s="3" t="str">
        <f>+IFERROR(VLOOKUP(C1302,'Mov 2023 hasta ahora '!$C$2:$D$314,2,FALSE),"NO")</f>
        <v>NO</v>
      </c>
      <c r="K1302">
        <v>5</v>
      </c>
      <c r="L1302" t="s">
        <v>836</v>
      </c>
      <c r="M1302">
        <v>18</v>
      </c>
    </row>
    <row r="1303" spans="1:18" s="13" customFormat="1" hidden="1">
      <c r="A1303" s="23" t="s">
        <v>2607</v>
      </c>
      <c r="B1303" s="23" t="s">
        <v>2608</v>
      </c>
      <c r="C1303" s="23">
        <v>1105</v>
      </c>
      <c r="D1303" s="13" t="s">
        <v>436</v>
      </c>
      <c r="G1303"/>
      <c r="I1303" s="14" t="str">
        <f>+IFERROR(VLOOKUP(C1303,'Mov 2023 hasta ahora '!$C$2:$D$314,2,FALSE),"NO")</f>
        <v>NO</v>
      </c>
      <c r="K1303">
        <v>6</v>
      </c>
      <c r="L1303" t="s">
        <v>836</v>
      </c>
      <c r="M1303">
        <v>24</v>
      </c>
      <c r="O1303" s="29" t="s">
        <v>8861</v>
      </c>
      <c r="P1303" s="25" t="s">
        <v>8868</v>
      </c>
      <c r="Q1303" s="25">
        <v>1419</v>
      </c>
      <c r="R1303" t="s">
        <v>436</v>
      </c>
    </row>
    <row r="1304" spans="1:18" s="13" customFormat="1" hidden="1">
      <c r="A1304" s="23" t="s">
        <v>2609</v>
      </c>
      <c r="B1304" s="23" t="s">
        <v>2610</v>
      </c>
      <c r="C1304" s="23">
        <v>1114</v>
      </c>
      <c r="D1304" s="13" t="s">
        <v>436</v>
      </c>
      <c r="G1304"/>
      <c r="I1304" s="14" t="str">
        <f>+IFERROR(VLOOKUP(C1304,'Mov 2023 hasta ahora '!$C$2:$D$314,2,FALSE),"NO")</f>
        <v>NO</v>
      </c>
      <c r="K1304">
        <v>6</v>
      </c>
      <c r="L1304" t="s">
        <v>836</v>
      </c>
      <c r="M1304">
        <v>24</v>
      </c>
      <c r="O1304" s="29" t="s">
        <v>8850</v>
      </c>
      <c r="P1304" s="25" t="s">
        <v>8854</v>
      </c>
      <c r="Q1304" s="25">
        <v>1420</v>
      </c>
      <c r="R1304" t="s">
        <v>436</v>
      </c>
    </row>
    <row r="1305" spans="1:18" s="13" customFormat="1" hidden="1">
      <c r="A1305" s="23" t="s">
        <v>2611</v>
      </c>
      <c r="B1305" s="23" t="s">
        <v>2612</v>
      </c>
      <c r="C1305" s="23">
        <v>1123</v>
      </c>
      <c r="D1305" s="13" t="s">
        <v>436</v>
      </c>
      <c r="G1305"/>
      <c r="I1305" s="14">
        <f>+IFERROR(VLOOKUP(C1305,'Mov 2023 hasta ahora '!$C$2:$D$314,2,FALSE),"NO")</f>
        <v>1</v>
      </c>
      <c r="K1305">
        <v>6</v>
      </c>
      <c r="L1305" t="s">
        <v>836</v>
      </c>
      <c r="M1305">
        <v>24</v>
      </c>
      <c r="O1305" s="29" t="s">
        <v>8850</v>
      </c>
      <c r="P1305" s="25" t="s">
        <v>8854</v>
      </c>
      <c r="Q1305" s="25">
        <v>1420</v>
      </c>
      <c r="R1305" t="s">
        <v>436</v>
      </c>
    </row>
    <row r="1306" spans="1:18" hidden="1">
      <c r="A1306" t="s">
        <v>2613</v>
      </c>
      <c r="B1306" t="s">
        <v>2614</v>
      </c>
      <c r="I1306" s="3" t="str">
        <f>+IFERROR(VLOOKUP(C1306,'Mov 2023 hasta ahora '!$C$2:$D$314,2,FALSE),"NO")</f>
        <v>NO</v>
      </c>
      <c r="K1306">
        <v>4</v>
      </c>
      <c r="L1306" t="s">
        <v>836</v>
      </c>
      <c r="M1306">
        <v>14</v>
      </c>
    </row>
    <row r="1307" spans="1:18" hidden="1">
      <c r="A1307" t="s">
        <v>2615</v>
      </c>
      <c r="B1307" t="s">
        <v>2616</v>
      </c>
      <c r="I1307" s="3" t="str">
        <f>+IFERROR(VLOOKUP(C1307,'Mov 2023 hasta ahora '!$C$2:$D$314,2,FALSE),"NO")</f>
        <v>NO</v>
      </c>
      <c r="K1307">
        <v>5</v>
      </c>
      <c r="L1307" t="s">
        <v>836</v>
      </c>
      <c r="M1307">
        <v>18</v>
      </c>
    </row>
    <row r="1308" spans="1:18" hidden="1">
      <c r="A1308" t="s">
        <v>2617</v>
      </c>
      <c r="B1308" t="s">
        <v>2618</v>
      </c>
      <c r="I1308" s="3" t="str">
        <f>+IFERROR(VLOOKUP(C1308,'Mov 2023 hasta ahora '!$C$2:$D$314,2,FALSE),"NO")</f>
        <v>NO</v>
      </c>
      <c r="K1308">
        <v>5</v>
      </c>
      <c r="L1308" t="s">
        <v>836</v>
      </c>
      <c r="M1308">
        <v>18</v>
      </c>
    </row>
    <row r="1309" spans="1:18" s="13" customFormat="1" hidden="1">
      <c r="A1309" s="23" t="s">
        <v>2619</v>
      </c>
      <c r="B1309" s="23" t="s">
        <v>2620</v>
      </c>
      <c r="C1309" s="23">
        <v>1132</v>
      </c>
      <c r="D1309" s="13" t="s">
        <v>436</v>
      </c>
      <c r="G1309"/>
      <c r="I1309" s="14" t="str">
        <f>+IFERROR(VLOOKUP(C1309,'Mov 2023 hasta ahora '!$C$2:$D$314,2,FALSE),"NO")</f>
        <v>NO</v>
      </c>
      <c r="K1309">
        <v>6</v>
      </c>
      <c r="L1309" t="s">
        <v>836</v>
      </c>
      <c r="M1309">
        <v>24</v>
      </c>
      <c r="O1309" s="29" t="s">
        <v>9000</v>
      </c>
      <c r="P1309" s="25" t="s">
        <v>8863</v>
      </c>
      <c r="Q1309" s="25">
        <v>1132</v>
      </c>
      <c r="R1309" t="s">
        <v>436</v>
      </c>
    </row>
    <row r="1310" spans="1:18" s="13" customFormat="1" hidden="1">
      <c r="A1310" s="23" t="s">
        <v>2621</v>
      </c>
      <c r="B1310" s="23" t="s">
        <v>2622</v>
      </c>
      <c r="C1310" s="23">
        <v>1141</v>
      </c>
      <c r="D1310" s="13" t="s">
        <v>436</v>
      </c>
      <c r="G1310"/>
      <c r="I1310" s="14" t="str">
        <f>+IFERROR(VLOOKUP(C1310,'Mov 2023 hasta ahora '!$C$2:$D$314,2,FALSE),"NO")</f>
        <v>NO</v>
      </c>
      <c r="K1310">
        <v>6</v>
      </c>
      <c r="L1310" t="s">
        <v>836</v>
      </c>
      <c r="M1310">
        <v>24</v>
      </c>
      <c r="O1310" s="29" t="s">
        <v>9001</v>
      </c>
      <c r="P1310" s="25" t="s">
        <v>8852</v>
      </c>
      <c r="Q1310" s="25">
        <v>1150</v>
      </c>
      <c r="R1310" t="s">
        <v>436</v>
      </c>
    </row>
    <row r="1311" spans="1:18" s="13" customFormat="1" hidden="1">
      <c r="A1311" s="23" t="s">
        <v>2623</v>
      </c>
      <c r="B1311" s="23" t="s">
        <v>2624</v>
      </c>
      <c r="C1311" s="23">
        <v>1150</v>
      </c>
      <c r="D1311" s="13" t="s">
        <v>436</v>
      </c>
      <c r="G1311"/>
      <c r="I1311" s="14">
        <f>+IFERROR(VLOOKUP(C1311,'Mov 2023 hasta ahora '!$C$2:$D$314,2,FALSE),"NO")</f>
        <v>4</v>
      </c>
      <c r="K1311">
        <v>6</v>
      </c>
      <c r="L1311" t="s">
        <v>836</v>
      </c>
      <c r="M1311">
        <v>24</v>
      </c>
      <c r="O1311" s="29" t="s">
        <v>9001</v>
      </c>
      <c r="P1311" s="25" t="s">
        <v>8852</v>
      </c>
      <c r="Q1311" s="25">
        <v>1150</v>
      </c>
      <c r="R1311" t="s">
        <v>436</v>
      </c>
    </row>
    <row r="1312" spans="1:18" hidden="1">
      <c r="A1312" t="s">
        <v>2625</v>
      </c>
      <c r="B1312" t="s">
        <v>2626</v>
      </c>
      <c r="I1312" s="3" t="str">
        <f>+IFERROR(VLOOKUP(C1312,'Mov 2023 hasta ahora '!$C$2:$D$314,2,FALSE),"NO")</f>
        <v>NO</v>
      </c>
      <c r="K1312">
        <v>4</v>
      </c>
      <c r="L1312" t="s">
        <v>836</v>
      </c>
      <c r="M1312">
        <v>14</v>
      </c>
    </row>
    <row r="1313" spans="1:18" hidden="1">
      <c r="A1313" t="s">
        <v>2627</v>
      </c>
      <c r="B1313" t="s">
        <v>2628</v>
      </c>
      <c r="I1313" s="3" t="str">
        <f>+IFERROR(VLOOKUP(C1313,'Mov 2023 hasta ahora '!$C$2:$D$314,2,FALSE),"NO")</f>
        <v>NO</v>
      </c>
      <c r="K1313">
        <v>5</v>
      </c>
      <c r="L1313" t="s">
        <v>836</v>
      </c>
      <c r="M1313">
        <v>18</v>
      </c>
    </row>
    <row r="1314" spans="1:18" s="13" customFormat="1" hidden="1">
      <c r="A1314" s="23" t="s">
        <v>2629</v>
      </c>
      <c r="B1314" s="23" t="s">
        <v>2630</v>
      </c>
      <c r="C1314" s="23">
        <v>1159</v>
      </c>
      <c r="D1314" s="13" t="s">
        <v>436</v>
      </c>
      <c r="G1314"/>
      <c r="I1314" s="14" t="str">
        <f>+IFERROR(VLOOKUP(C1314,'Mov 2023 hasta ahora '!$C$2:$D$314,2,FALSE),"NO")</f>
        <v>NO</v>
      </c>
      <c r="K1314">
        <v>6</v>
      </c>
      <c r="L1314" t="s">
        <v>836</v>
      </c>
      <c r="M1314">
        <v>24</v>
      </c>
      <c r="O1314" s="29" t="s">
        <v>8861</v>
      </c>
      <c r="P1314" s="25" t="s">
        <v>8868</v>
      </c>
      <c r="Q1314" s="25">
        <v>1419</v>
      </c>
      <c r="R1314" t="s">
        <v>436</v>
      </c>
    </row>
    <row r="1315" spans="1:18" s="13" customFormat="1" hidden="1">
      <c r="A1315" s="23" t="s">
        <v>2631</v>
      </c>
      <c r="B1315" s="23" t="s">
        <v>2632</v>
      </c>
      <c r="C1315" s="23">
        <v>1168</v>
      </c>
      <c r="D1315" s="13" t="s">
        <v>436</v>
      </c>
      <c r="G1315"/>
      <c r="I1315" s="14" t="str">
        <f>+IFERROR(VLOOKUP(C1315,'Mov 2023 hasta ahora '!$C$2:$D$314,2,FALSE),"NO")</f>
        <v>NO</v>
      </c>
      <c r="K1315">
        <v>6</v>
      </c>
      <c r="L1315" t="s">
        <v>836</v>
      </c>
      <c r="M1315">
        <v>24</v>
      </c>
      <c r="O1315" s="29" t="s">
        <v>8850</v>
      </c>
      <c r="P1315" s="25" t="s">
        <v>8854</v>
      </c>
      <c r="Q1315" s="25">
        <v>1420</v>
      </c>
      <c r="R1315" t="s">
        <v>436</v>
      </c>
    </row>
    <row r="1316" spans="1:18" s="13" customFormat="1" hidden="1">
      <c r="A1316" s="23" t="s">
        <v>2633</v>
      </c>
      <c r="B1316" s="23" t="s">
        <v>2634</v>
      </c>
      <c r="C1316" s="23">
        <v>1177</v>
      </c>
      <c r="D1316" s="13" t="s">
        <v>436</v>
      </c>
      <c r="G1316"/>
      <c r="I1316" s="14" t="str">
        <f>+IFERROR(VLOOKUP(C1316,'Mov 2023 hasta ahora '!$C$2:$D$314,2,FALSE),"NO")</f>
        <v>NO</v>
      </c>
      <c r="K1316">
        <v>6</v>
      </c>
      <c r="L1316" t="s">
        <v>836</v>
      </c>
      <c r="M1316">
        <v>24</v>
      </c>
      <c r="O1316" s="29" t="s">
        <v>8850</v>
      </c>
      <c r="P1316" s="25" t="s">
        <v>8854</v>
      </c>
      <c r="Q1316" s="25">
        <v>1420</v>
      </c>
      <c r="R1316" t="s">
        <v>436</v>
      </c>
    </row>
    <row r="1317" spans="1:18" hidden="1">
      <c r="A1317" t="s">
        <v>2635</v>
      </c>
      <c r="B1317" t="s">
        <v>2636</v>
      </c>
      <c r="I1317" s="3" t="str">
        <f>+IFERROR(VLOOKUP(C1317,'Mov 2023 hasta ahora '!$C$2:$D$314,2,FALSE),"NO")</f>
        <v>NO</v>
      </c>
      <c r="K1317">
        <v>5</v>
      </c>
      <c r="L1317" t="s">
        <v>836</v>
      </c>
      <c r="M1317">
        <v>18</v>
      </c>
    </row>
    <row r="1318" spans="1:18" s="13" customFormat="1" hidden="1">
      <c r="A1318" s="23" t="s">
        <v>2637</v>
      </c>
      <c r="B1318" s="23" t="s">
        <v>2638</v>
      </c>
      <c r="C1318" s="23">
        <v>1186</v>
      </c>
      <c r="D1318" s="13" t="s">
        <v>436</v>
      </c>
      <c r="G1318"/>
      <c r="I1318" s="14" t="str">
        <f>+IFERROR(VLOOKUP(C1318,'Mov 2023 hasta ahora '!$C$2:$D$314,2,FALSE),"NO")</f>
        <v>NO</v>
      </c>
      <c r="K1318">
        <v>6</v>
      </c>
      <c r="L1318" t="s">
        <v>836</v>
      </c>
      <c r="M1318">
        <v>24</v>
      </c>
      <c r="O1318" s="29" t="s">
        <v>8861</v>
      </c>
      <c r="P1318" s="25" t="s">
        <v>8868</v>
      </c>
      <c r="Q1318" s="25">
        <v>1419</v>
      </c>
      <c r="R1318" t="s">
        <v>436</v>
      </c>
    </row>
    <row r="1319" spans="1:18" s="13" customFormat="1" hidden="1">
      <c r="A1319" s="23" t="s">
        <v>2639</v>
      </c>
      <c r="B1319" s="23" t="s">
        <v>2640</v>
      </c>
      <c r="C1319" s="23">
        <v>1195</v>
      </c>
      <c r="D1319" s="13" t="s">
        <v>436</v>
      </c>
      <c r="G1319"/>
      <c r="I1319" s="14" t="str">
        <f>+IFERROR(VLOOKUP(C1319,'Mov 2023 hasta ahora '!$C$2:$D$314,2,FALSE),"NO")</f>
        <v>NO</v>
      </c>
      <c r="K1319">
        <v>6</v>
      </c>
      <c r="L1319" t="s">
        <v>836</v>
      </c>
      <c r="M1319">
        <v>24</v>
      </c>
      <c r="O1319" s="29" t="s">
        <v>8850</v>
      </c>
      <c r="P1319" s="25" t="s">
        <v>8854</v>
      </c>
      <c r="Q1319" s="25">
        <v>1420</v>
      </c>
      <c r="R1319" t="s">
        <v>436</v>
      </c>
    </row>
    <row r="1320" spans="1:18" s="13" customFormat="1" hidden="1">
      <c r="A1320" s="23" t="s">
        <v>2641</v>
      </c>
      <c r="B1320" s="23" t="s">
        <v>2642</v>
      </c>
      <c r="C1320" s="23">
        <v>1204</v>
      </c>
      <c r="D1320" s="13" t="s">
        <v>436</v>
      </c>
      <c r="G1320"/>
      <c r="I1320" s="14" t="str">
        <f>+IFERROR(VLOOKUP(C1320,'Mov 2023 hasta ahora '!$C$2:$D$314,2,FALSE),"NO")</f>
        <v>NO</v>
      </c>
      <c r="K1320">
        <v>6</v>
      </c>
      <c r="L1320" t="s">
        <v>836</v>
      </c>
      <c r="M1320">
        <v>24</v>
      </c>
      <c r="O1320" s="29" t="s">
        <v>8850</v>
      </c>
      <c r="P1320" s="25" t="s">
        <v>8854</v>
      </c>
      <c r="Q1320" s="25">
        <v>1420</v>
      </c>
      <c r="R1320" t="s">
        <v>436</v>
      </c>
    </row>
    <row r="1321" spans="1:18" hidden="1">
      <c r="A1321" t="s">
        <v>2643</v>
      </c>
      <c r="B1321" t="s">
        <v>2644</v>
      </c>
      <c r="I1321" s="3" t="str">
        <f>+IFERROR(VLOOKUP(C1321,'Mov 2023 hasta ahora '!$C$2:$D$314,2,FALSE),"NO")</f>
        <v>NO</v>
      </c>
      <c r="K1321">
        <v>4</v>
      </c>
      <c r="L1321" t="s">
        <v>836</v>
      </c>
      <c r="M1321">
        <v>14</v>
      </c>
    </row>
    <row r="1322" spans="1:18" hidden="1">
      <c r="A1322" t="s">
        <v>2645</v>
      </c>
      <c r="B1322" t="s">
        <v>2646</v>
      </c>
      <c r="I1322" s="3" t="str">
        <f>+IFERROR(VLOOKUP(C1322,'Mov 2023 hasta ahora '!$C$2:$D$314,2,FALSE),"NO")</f>
        <v>NO</v>
      </c>
      <c r="K1322">
        <v>5</v>
      </c>
      <c r="L1322" t="s">
        <v>836</v>
      </c>
      <c r="M1322">
        <v>18</v>
      </c>
    </row>
    <row r="1323" spans="1:18" hidden="1">
      <c r="A1323" s="23" t="s">
        <v>2647</v>
      </c>
      <c r="B1323" s="23" t="s">
        <v>2648</v>
      </c>
      <c r="C1323" s="23">
        <v>1534</v>
      </c>
      <c r="D1323" t="s">
        <v>436</v>
      </c>
      <c r="I1323" s="3">
        <f>+IFERROR(VLOOKUP(C1323,'Mov 2023 hasta ahora '!$C$2:$D$314,2,FALSE),"NO")</f>
        <v>15</v>
      </c>
      <c r="K1323">
        <v>6</v>
      </c>
      <c r="L1323" t="s">
        <v>836</v>
      </c>
      <c r="M1323">
        <v>24</v>
      </c>
      <c r="O1323" s="29" t="s">
        <v>9059</v>
      </c>
      <c r="P1323" s="25" t="s">
        <v>9060</v>
      </c>
      <c r="Q1323" s="25">
        <v>1534</v>
      </c>
      <c r="R1323" t="s">
        <v>436</v>
      </c>
    </row>
    <row r="1324" spans="1:18" hidden="1">
      <c r="A1324" s="23" t="s">
        <v>2649</v>
      </c>
      <c r="B1324" s="23" t="s">
        <v>2650</v>
      </c>
      <c r="C1324" s="23">
        <v>1213</v>
      </c>
      <c r="D1324" t="s">
        <v>436</v>
      </c>
      <c r="I1324" s="3">
        <f>+IFERROR(VLOOKUP(C1324,'Mov 2023 hasta ahora '!$C$2:$D$314,2,FALSE),"NO")</f>
        <v>90</v>
      </c>
      <c r="K1324">
        <v>6</v>
      </c>
      <c r="L1324" t="s">
        <v>836</v>
      </c>
      <c r="M1324">
        <v>24</v>
      </c>
      <c r="O1324" s="29" t="s">
        <v>9030</v>
      </c>
      <c r="P1324" s="25" t="s">
        <v>9029</v>
      </c>
      <c r="Q1324" s="25">
        <v>3817</v>
      </c>
      <c r="R1324" t="s">
        <v>436</v>
      </c>
    </row>
    <row r="1325" spans="1:18" hidden="1">
      <c r="A1325" s="23" t="s">
        <v>2651</v>
      </c>
      <c r="B1325" s="23" t="s">
        <v>2652</v>
      </c>
      <c r="C1325" s="23">
        <v>2324</v>
      </c>
      <c r="I1325" s="3" t="str">
        <f>+IFERROR(VLOOKUP(C1325,'Mov 2023 hasta ahora '!$C$2:$D$314,2,FALSE),"NO")</f>
        <v>NO</v>
      </c>
      <c r="K1325">
        <v>6</v>
      </c>
      <c r="L1325" t="s">
        <v>836</v>
      </c>
      <c r="M1325">
        <v>24</v>
      </c>
      <c r="O1325" s="29" t="s">
        <v>8691</v>
      </c>
      <c r="P1325" s="25" t="s">
        <v>8687</v>
      </c>
      <c r="Q1325" s="25">
        <v>1228</v>
      </c>
      <c r="R1325" t="s">
        <v>436</v>
      </c>
    </row>
    <row r="1326" spans="1:18" hidden="1">
      <c r="A1326" t="s">
        <v>2653</v>
      </c>
      <c r="B1326" t="s">
        <v>2654</v>
      </c>
      <c r="I1326" s="3" t="str">
        <f>+IFERROR(VLOOKUP(C1326,'Mov 2023 hasta ahora '!$C$2:$D$314,2,FALSE),"NO")</f>
        <v>NO</v>
      </c>
      <c r="K1326">
        <v>5</v>
      </c>
      <c r="L1326" t="s">
        <v>836</v>
      </c>
      <c r="M1326">
        <v>18</v>
      </c>
    </row>
    <row r="1327" spans="1:18" hidden="1">
      <c r="A1327" s="23" t="s">
        <v>2655</v>
      </c>
      <c r="B1327" s="23" t="s">
        <v>2656</v>
      </c>
      <c r="C1327" s="23">
        <v>1546</v>
      </c>
      <c r="D1327" t="s">
        <v>436</v>
      </c>
      <c r="I1327" s="3" t="str">
        <f>+IFERROR(VLOOKUP(C1327,'Mov 2023 hasta ahora '!$C$2:$D$314,2,FALSE),"NO")</f>
        <v>NO</v>
      </c>
      <c r="K1327">
        <v>6</v>
      </c>
      <c r="L1327" t="s">
        <v>836</v>
      </c>
      <c r="M1327">
        <v>24</v>
      </c>
      <c r="O1327" s="29" t="s">
        <v>9049</v>
      </c>
      <c r="P1327" s="25" t="s">
        <v>9050</v>
      </c>
      <c r="Q1327" s="25">
        <v>1363</v>
      </c>
      <c r="R1327" t="s">
        <v>436</v>
      </c>
    </row>
    <row r="1328" spans="1:18" hidden="1">
      <c r="A1328" s="23" t="s">
        <v>2657</v>
      </c>
      <c r="B1328" s="23" t="s">
        <v>2658</v>
      </c>
      <c r="C1328" s="23">
        <v>1371</v>
      </c>
      <c r="D1328" t="s">
        <v>436</v>
      </c>
      <c r="I1328" s="3" t="str">
        <f>+IFERROR(VLOOKUP(C1328,'Mov 2023 hasta ahora '!$C$2:$D$314,2,FALSE),"NO")</f>
        <v>NO</v>
      </c>
      <c r="K1328">
        <v>6</v>
      </c>
      <c r="L1328" t="s">
        <v>836</v>
      </c>
      <c r="M1328">
        <v>24</v>
      </c>
      <c r="O1328" s="29" t="s">
        <v>9014</v>
      </c>
      <c r="P1328" s="25" t="s">
        <v>8890</v>
      </c>
      <c r="Q1328" s="25">
        <v>1244</v>
      </c>
      <c r="R1328" t="s">
        <v>436</v>
      </c>
    </row>
    <row r="1329" spans="1:18" hidden="1">
      <c r="A1329" t="s">
        <v>2659</v>
      </c>
      <c r="B1329" t="s">
        <v>2660</v>
      </c>
      <c r="I1329" s="3" t="str">
        <f>+IFERROR(VLOOKUP(C1329,'Mov 2023 hasta ahora '!$C$2:$D$314,2,FALSE),"NO")</f>
        <v>NO</v>
      </c>
      <c r="K1329">
        <v>4</v>
      </c>
      <c r="L1329" t="s">
        <v>836</v>
      </c>
      <c r="M1329">
        <v>14</v>
      </c>
    </row>
    <row r="1330" spans="1:18" hidden="1">
      <c r="A1330" t="s">
        <v>2661</v>
      </c>
      <c r="B1330" t="s">
        <v>2662</v>
      </c>
      <c r="I1330" s="3" t="str">
        <f>+IFERROR(VLOOKUP(C1330,'Mov 2023 hasta ahora '!$C$2:$D$314,2,FALSE),"NO")</f>
        <v>NO</v>
      </c>
      <c r="K1330">
        <v>5</v>
      </c>
      <c r="L1330" t="s">
        <v>836</v>
      </c>
      <c r="M1330">
        <v>18</v>
      </c>
    </row>
    <row r="1331" spans="1:18" hidden="1">
      <c r="A1331" s="23" t="s">
        <v>2663</v>
      </c>
      <c r="B1331" s="23" t="s">
        <v>2664</v>
      </c>
      <c r="C1331" s="23">
        <v>2627</v>
      </c>
      <c r="I1331" s="3" t="str">
        <f>+IFERROR(VLOOKUP(C1331,'Mov 2023 hasta ahora '!$C$2:$D$314,2,FALSE),"NO")</f>
        <v>NO</v>
      </c>
      <c r="K1331">
        <v>6</v>
      </c>
      <c r="L1331" t="s">
        <v>836</v>
      </c>
      <c r="M1331">
        <v>24</v>
      </c>
      <c r="O1331" s="29" t="s">
        <v>8773</v>
      </c>
      <c r="P1331" s="25" t="s">
        <v>8772</v>
      </c>
      <c r="Q1331" s="25">
        <v>2629</v>
      </c>
    </row>
    <row r="1332" spans="1:18" hidden="1">
      <c r="A1332" s="23" t="s">
        <v>2665</v>
      </c>
      <c r="B1332" s="23" t="s">
        <v>2666</v>
      </c>
      <c r="C1332" s="23">
        <v>2628</v>
      </c>
      <c r="I1332" s="3">
        <f>+IFERROR(VLOOKUP(C1332,'Mov 2023 hasta ahora '!$C$2:$D$314,2,FALSE),"NO")</f>
        <v>1</v>
      </c>
      <c r="K1332">
        <v>6</v>
      </c>
      <c r="L1332" t="s">
        <v>836</v>
      </c>
      <c r="M1332">
        <v>24</v>
      </c>
      <c r="O1332" s="25" t="s">
        <v>8773</v>
      </c>
      <c r="P1332" s="25" t="s">
        <v>8772</v>
      </c>
      <c r="Q1332" s="25">
        <v>2629</v>
      </c>
    </row>
    <row r="1333" spans="1:18" hidden="1">
      <c r="A1333" s="23" t="s">
        <v>2667</v>
      </c>
      <c r="B1333" s="23" t="s">
        <v>2668</v>
      </c>
      <c r="C1333" s="23">
        <v>2629</v>
      </c>
      <c r="I1333" s="3" t="str">
        <f>+IFERROR(VLOOKUP(C1333,'Mov 2023 hasta ahora '!$C$2:$D$314,2,FALSE),"NO")</f>
        <v>NO</v>
      </c>
      <c r="K1333">
        <v>6</v>
      </c>
      <c r="L1333" t="s">
        <v>836</v>
      </c>
      <c r="M1333">
        <v>24</v>
      </c>
      <c r="O1333" s="29" t="s">
        <v>8773</v>
      </c>
      <c r="P1333" s="25" t="s">
        <v>8772</v>
      </c>
      <c r="Q1333" s="25">
        <v>2629</v>
      </c>
      <c r="R1333" t="s">
        <v>436</v>
      </c>
    </row>
    <row r="1334" spans="1:18" hidden="1">
      <c r="A1334" s="23" t="s">
        <v>2669</v>
      </c>
      <c r="B1334" s="23" t="s">
        <v>2670</v>
      </c>
      <c r="C1334" s="23">
        <v>2630</v>
      </c>
      <c r="I1334" s="3" t="str">
        <f>+IFERROR(VLOOKUP(C1334,'Mov 2023 hasta ahora '!$C$2:$D$314,2,FALSE),"NO")</f>
        <v>NO</v>
      </c>
      <c r="K1334">
        <v>6</v>
      </c>
      <c r="L1334" t="s">
        <v>836</v>
      </c>
      <c r="M1334">
        <v>24</v>
      </c>
      <c r="O1334" s="29" t="s">
        <v>8773</v>
      </c>
      <c r="P1334" s="25" t="s">
        <v>8772</v>
      </c>
      <c r="Q1334" s="25">
        <v>2629</v>
      </c>
      <c r="R1334" t="s">
        <v>436</v>
      </c>
    </row>
    <row r="1335" spans="1:18" hidden="1">
      <c r="A1335" s="23" t="s">
        <v>2671</v>
      </c>
      <c r="B1335" s="23" t="s">
        <v>2672</v>
      </c>
      <c r="C1335" s="23">
        <v>2631</v>
      </c>
      <c r="I1335" s="3" t="str">
        <f>+IFERROR(VLOOKUP(C1335,'Mov 2023 hasta ahora '!$C$2:$D$314,2,FALSE),"NO")</f>
        <v>NO</v>
      </c>
      <c r="K1335">
        <v>6</v>
      </c>
      <c r="L1335" t="s">
        <v>836</v>
      </c>
      <c r="M1335">
        <v>24</v>
      </c>
      <c r="O1335" s="29" t="s">
        <v>8746</v>
      </c>
      <c r="P1335" s="25" t="s">
        <v>9054</v>
      </c>
      <c r="Q1335" s="25">
        <v>185</v>
      </c>
      <c r="R1335" t="s">
        <v>436</v>
      </c>
    </row>
    <row r="1336" spans="1:18" hidden="1">
      <c r="A1336" s="23" t="s">
        <v>2673</v>
      </c>
      <c r="B1336" s="23" t="s">
        <v>2674</v>
      </c>
      <c r="C1336" s="23">
        <v>2632</v>
      </c>
      <c r="I1336" s="3" t="str">
        <f>+IFERROR(VLOOKUP(C1336,'Mov 2023 hasta ahora '!$C$2:$D$314,2,FALSE),"NO")</f>
        <v>NO</v>
      </c>
      <c r="K1336">
        <v>6</v>
      </c>
      <c r="L1336" t="s">
        <v>836</v>
      </c>
      <c r="M1336">
        <v>24</v>
      </c>
      <c r="O1336" s="29" t="s">
        <v>8773</v>
      </c>
      <c r="P1336" s="25" t="s">
        <v>8772</v>
      </c>
      <c r="Q1336" s="25">
        <v>2629</v>
      </c>
      <c r="R1336" t="s">
        <v>436</v>
      </c>
    </row>
    <row r="1337" spans="1:18" hidden="1">
      <c r="A1337" t="s">
        <v>2675</v>
      </c>
      <c r="B1337" t="s">
        <v>2676</v>
      </c>
      <c r="I1337" s="3" t="str">
        <f>+IFERROR(VLOOKUP(C1337,'Mov 2023 hasta ahora '!$C$2:$D$314,2,FALSE),"NO")</f>
        <v>NO</v>
      </c>
      <c r="K1337">
        <v>4</v>
      </c>
      <c r="L1337" t="s">
        <v>836</v>
      </c>
      <c r="M1337">
        <v>14</v>
      </c>
    </row>
    <row r="1338" spans="1:18" hidden="1">
      <c r="A1338" t="s">
        <v>2677</v>
      </c>
      <c r="B1338" t="s">
        <v>2678</v>
      </c>
      <c r="I1338" s="3" t="str">
        <f>+IFERROR(VLOOKUP(C1338,'Mov 2023 hasta ahora '!$C$2:$D$314,2,FALSE),"NO")</f>
        <v>NO</v>
      </c>
      <c r="K1338">
        <v>5</v>
      </c>
      <c r="L1338" t="s">
        <v>836</v>
      </c>
      <c r="M1338">
        <v>18</v>
      </c>
    </row>
    <row r="1339" spans="1:18" hidden="1">
      <c r="A1339" s="23" t="s">
        <v>2679</v>
      </c>
      <c r="B1339" s="23" t="s">
        <v>2680</v>
      </c>
      <c r="C1339" s="23">
        <v>2633</v>
      </c>
      <c r="I1339" s="3" t="str">
        <f>+IFERROR(VLOOKUP(C1339,'Mov 2023 hasta ahora '!$C$2:$D$314,2,FALSE),"NO")</f>
        <v>NO</v>
      </c>
      <c r="K1339">
        <v>6</v>
      </c>
      <c r="L1339" t="s">
        <v>836</v>
      </c>
      <c r="M1339">
        <v>24</v>
      </c>
      <c r="O1339" s="29" t="s">
        <v>8742</v>
      </c>
      <c r="P1339" s="25" t="s">
        <v>9063</v>
      </c>
      <c r="Q1339" s="25">
        <v>176</v>
      </c>
      <c r="R1339" t="s">
        <v>436</v>
      </c>
    </row>
    <row r="1340" spans="1:18" hidden="1">
      <c r="A1340" s="23" t="s">
        <v>2681</v>
      </c>
      <c r="B1340" s="23" t="s">
        <v>2682</v>
      </c>
      <c r="C1340" s="23">
        <v>2634</v>
      </c>
      <c r="I1340" s="3" t="str">
        <f>+IFERROR(VLOOKUP(C1340,'Mov 2023 hasta ahora '!$C$2:$D$314,2,FALSE),"NO")</f>
        <v>NO</v>
      </c>
      <c r="K1340">
        <v>6</v>
      </c>
      <c r="L1340" t="s">
        <v>836</v>
      </c>
      <c r="M1340">
        <v>24</v>
      </c>
      <c r="O1340" s="29" t="s">
        <v>8742</v>
      </c>
      <c r="P1340" s="25" t="s">
        <v>9063</v>
      </c>
      <c r="Q1340" s="25">
        <v>176</v>
      </c>
      <c r="R1340" t="s">
        <v>436</v>
      </c>
    </row>
    <row r="1341" spans="1:18" hidden="1">
      <c r="A1341" s="23" t="s">
        <v>2683</v>
      </c>
      <c r="B1341" s="23" t="s">
        <v>2684</v>
      </c>
      <c r="C1341" s="23">
        <v>2635</v>
      </c>
      <c r="I1341" s="3" t="str">
        <f>+IFERROR(VLOOKUP(C1341,'Mov 2023 hasta ahora '!$C$2:$D$314,2,FALSE),"NO")</f>
        <v>NO</v>
      </c>
      <c r="K1341">
        <v>6</v>
      </c>
      <c r="L1341" t="s">
        <v>836</v>
      </c>
      <c r="M1341">
        <v>24</v>
      </c>
      <c r="O1341" s="29" t="s">
        <v>8742</v>
      </c>
      <c r="P1341" s="25" t="s">
        <v>9063</v>
      </c>
      <c r="Q1341" s="25">
        <v>176</v>
      </c>
      <c r="R1341" t="s">
        <v>436</v>
      </c>
    </row>
    <row r="1342" spans="1:18" hidden="1">
      <c r="A1342" t="s">
        <v>2685</v>
      </c>
      <c r="B1342" t="s">
        <v>2686</v>
      </c>
      <c r="I1342" s="3" t="str">
        <f>+IFERROR(VLOOKUP(C1342,'Mov 2023 hasta ahora '!$C$2:$D$314,2,FALSE),"NO")</f>
        <v>NO</v>
      </c>
      <c r="K1342">
        <v>5</v>
      </c>
      <c r="L1342" t="s">
        <v>836</v>
      </c>
      <c r="M1342">
        <v>18</v>
      </c>
    </row>
    <row r="1343" spans="1:18" hidden="1">
      <c r="A1343" s="23" t="s">
        <v>2687</v>
      </c>
      <c r="B1343" s="23" t="s">
        <v>2688</v>
      </c>
      <c r="C1343" s="23">
        <v>2679</v>
      </c>
      <c r="I1343" s="3" t="str">
        <f>+IFERROR(VLOOKUP(C1343,'Mov 2023 hasta ahora '!$C$2:$D$314,2,FALSE),"NO")</f>
        <v>NO</v>
      </c>
      <c r="K1343">
        <v>6</v>
      </c>
      <c r="L1343" t="s">
        <v>836</v>
      </c>
      <c r="M1343">
        <v>24</v>
      </c>
      <c r="O1343" s="29" t="s">
        <v>8742</v>
      </c>
      <c r="P1343" s="25" t="s">
        <v>9063</v>
      </c>
      <c r="Q1343" s="25">
        <v>176</v>
      </c>
      <c r="R1343" t="s">
        <v>436</v>
      </c>
    </row>
    <row r="1344" spans="1:18" hidden="1">
      <c r="A1344" s="23" t="s">
        <v>2689</v>
      </c>
      <c r="B1344" s="23" t="s">
        <v>2690</v>
      </c>
      <c r="C1344" s="23">
        <v>2680</v>
      </c>
      <c r="I1344" s="3" t="str">
        <f>+IFERROR(VLOOKUP(C1344,'Mov 2023 hasta ahora '!$C$2:$D$314,2,FALSE),"NO")</f>
        <v>NO</v>
      </c>
      <c r="K1344">
        <v>6</v>
      </c>
      <c r="L1344" t="s">
        <v>836</v>
      </c>
      <c r="M1344">
        <v>24</v>
      </c>
      <c r="O1344" s="29" t="s">
        <v>8742</v>
      </c>
      <c r="P1344" s="25" t="s">
        <v>9063</v>
      </c>
      <c r="Q1344" s="25">
        <v>176</v>
      </c>
      <c r="R1344" t="s">
        <v>436</v>
      </c>
    </row>
    <row r="1345" spans="1:18" hidden="1">
      <c r="A1345" s="23" t="s">
        <v>2691</v>
      </c>
      <c r="B1345" s="23" t="s">
        <v>2692</v>
      </c>
      <c r="C1345" s="23">
        <v>2681</v>
      </c>
      <c r="I1345" s="3" t="str">
        <f>+IFERROR(VLOOKUP(C1345,'Mov 2023 hasta ahora '!$C$2:$D$314,2,FALSE),"NO")</f>
        <v>NO</v>
      </c>
      <c r="K1345">
        <v>6</v>
      </c>
      <c r="L1345" t="s">
        <v>836</v>
      </c>
      <c r="M1345">
        <v>24</v>
      </c>
      <c r="O1345" s="29" t="s">
        <v>8742</v>
      </c>
      <c r="P1345" s="25" t="s">
        <v>9063</v>
      </c>
      <c r="Q1345" s="25">
        <v>176</v>
      </c>
      <c r="R1345" t="s">
        <v>436</v>
      </c>
    </row>
    <row r="1346" spans="1:18" hidden="1">
      <c r="A1346" t="s">
        <v>2693</v>
      </c>
      <c r="B1346" t="s">
        <v>2694</v>
      </c>
      <c r="I1346" s="3" t="str">
        <f>+IFERROR(VLOOKUP(C1346,'Mov 2023 hasta ahora '!$C$2:$D$314,2,FALSE),"NO")</f>
        <v>NO</v>
      </c>
      <c r="K1346">
        <v>4</v>
      </c>
      <c r="L1346" t="s">
        <v>836</v>
      </c>
      <c r="M1346">
        <v>14</v>
      </c>
    </row>
    <row r="1347" spans="1:18" hidden="1">
      <c r="A1347" t="s">
        <v>2695</v>
      </c>
      <c r="B1347" t="s">
        <v>2696</v>
      </c>
      <c r="I1347" s="3" t="str">
        <f>+IFERROR(VLOOKUP(C1347,'Mov 2023 hasta ahora '!$C$2:$D$314,2,FALSE),"NO")</f>
        <v>NO</v>
      </c>
      <c r="K1347">
        <v>5</v>
      </c>
      <c r="L1347" t="s">
        <v>836</v>
      </c>
      <c r="M1347">
        <v>18</v>
      </c>
    </row>
    <row r="1348" spans="1:18" hidden="1">
      <c r="A1348" s="23" t="s">
        <v>2697</v>
      </c>
      <c r="B1348" s="23" t="s">
        <v>2698</v>
      </c>
      <c r="C1348" s="23">
        <v>2639</v>
      </c>
      <c r="I1348" s="3" t="str">
        <f>+IFERROR(VLOOKUP(C1348,'Mov 2023 hasta ahora '!$C$2:$D$314,2,FALSE),"NO")</f>
        <v>NO</v>
      </c>
      <c r="K1348">
        <v>6</v>
      </c>
      <c r="L1348" t="s">
        <v>836</v>
      </c>
      <c r="M1348">
        <v>24</v>
      </c>
      <c r="O1348" s="29" t="s">
        <v>8742</v>
      </c>
      <c r="P1348" s="25" t="s">
        <v>9063</v>
      </c>
      <c r="Q1348" s="25">
        <v>176</v>
      </c>
      <c r="R1348" t="s">
        <v>436</v>
      </c>
    </row>
    <row r="1349" spans="1:18" hidden="1">
      <c r="A1349" s="23" t="s">
        <v>2699</v>
      </c>
      <c r="B1349" s="23" t="s">
        <v>2700</v>
      </c>
      <c r="C1349" s="23">
        <v>2640</v>
      </c>
      <c r="I1349" s="3" t="str">
        <f>+IFERROR(VLOOKUP(C1349,'Mov 2023 hasta ahora '!$C$2:$D$314,2,FALSE),"NO")</f>
        <v>NO</v>
      </c>
      <c r="K1349">
        <v>6</v>
      </c>
      <c r="L1349" t="s">
        <v>836</v>
      </c>
      <c r="M1349">
        <v>24</v>
      </c>
      <c r="O1349" s="29" t="s">
        <v>8749</v>
      </c>
      <c r="P1349" s="25" t="s">
        <v>9056</v>
      </c>
      <c r="Q1349" s="25">
        <v>202</v>
      </c>
      <c r="R1349" t="s">
        <v>436</v>
      </c>
    </row>
    <row r="1350" spans="1:18" hidden="1">
      <c r="A1350" s="23" t="s">
        <v>2701</v>
      </c>
      <c r="B1350" s="23" t="s">
        <v>2702</v>
      </c>
      <c r="C1350" s="23">
        <v>2641</v>
      </c>
      <c r="I1350" s="3" t="str">
        <f>+IFERROR(VLOOKUP(C1350,'Mov 2023 hasta ahora '!$C$2:$D$314,2,FALSE),"NO")</f>
        <v>NO</v>
      </c>
      <c r="K1350">
        <v>6</v>
      </c>
      <c r="L1350" t="s">
        <v>836</v>
      </c>
      <c r="M1350">
        <v>24</v>
      </c>
      <c r="O1350" s="29" t="s">
        <v>8749</v>
      </c>
      <c r="P1350" s="25" t="s">
        <v>9056</v>
      </c>
      <c r="Q1350" s="25">
        <v>202</v>
      </c>
      <c r="R1350" t="s">
        <v>436</v>
      </c>
    </row>
    <row r="1351" spans="1:18" hidden="1">
      <c r="A1351" s="23" t="s">
        <v>2703</v>
      </c>
      <c r="B1351" s="23" t="s">
        <v>2704</v>
      </c>
      <c r="C1351" s="23">
        <v>2642</v>
      </c>
      <c r="I1351" s="3" t="str">
        <f>+IFERROR(VLOOKUP(C1351,'Mov 2023 hasta ahora '!$C$2:$D$314,2,FALSE),"NO")</f>
        <v>NO</v>
      </c>
      <c r="K1351">
        <v>6</v>
      </c>
      <c r="L1351" t="s">
        <v>836</v>
      </c>
      <c r="M1351">
        <v>24</v>
      </c>
      <c r="O1351" s="29" t="s">
        <v>8749</v>
      </c>
      <c r="P1351" s="25" t="s">
        <v>9056</v>
      </c>
      <c r="Q1351" s="25">
        <v>202</v>
      </c>
      <c r="R1351" t="s">
        <v>436</v>
      </c>
    </row>
    <row r="1352" spans="1:18" hidden="1">
      <c r="A1352" s="23" t="s">
        <v>2705</v>
      </c>
      <c r="B1352" s="23" t="s">
        <v>2706</v>
      </c>
      <c r="C1352" s="23">
        <v>2643</v>
      </c>
      <c r="I1352" s="3" t="str">
        <f>+IFERROR(VLOOKUP(C1352,'Mov 2023 hasta ahora '!$C$2:$D$314,2,FALSE),"NO")</f>
        <v>NO</v>
      </c>
      <c r="K1352">
        <v>6</v>
      </c>
      <c r="L1352" t="s">
        <v>836</v>
      </c>
      <c r="M1352">
        <v>24</v>
      </c>
      <c r="O1352" s="29" t="s">
        <v>8749</v>
      </c>
      <c r="P1352" s="25" t="s">
        <v>9056</v>
      </c>
      <c r="Q1352" s="25">
        <v>202</v>
      </c>
      <c r="R1352" t="s">
        <v>436</v>
      </c>
    </row>
    <row r="1353" spans="1:18" hidden="1">
      <c r="A1353" s="23" t="s">
        <v>2707</v>
      </c>
      <c r="B1353" s="23" t="s">
        <v>2708</v>
      </c>
      <c r="C1353" s="23">
        <v>2644</v>
      </c>
      <c r="I1353" s="3" t="str">
        <f>+IFERROR(VLOOKUP(C1353,'Mov 2023 hasta ahora '!$C$2:$D$314,2,FALSE),"NO")</f>
        <v>NO</v>
      </c>
      <c r="K1353">
        <v>6</v>
      </c>
      <c r="L1353" t="s">
        <v>836</v>
      </c>
      <c r="M1353">
        <v>24</v>
      </c>
      <c r="O1353" s="29" t="s">
        <v>8749</v>
      </c>
      <c r="P1353" s="25" t="s">
        <v>9056</v>
      </c>
      <c r="Q1353" s="25">
        <v>202</v>
      </c>
      <c r="R1353" t="s">
        <v>436</v>
      </c>
    </row>
    <row r="1354" spans="1:18" hidden="1">
      <c r="A1354" s="23" t="s">
        <v>2709</v>
      </c>
      <c r="B1354" s="23" t="s">
        <v>2710</v>
      </c>
      <c r="C1354" s="23">
        <v>2645</v>
      </c>
      <c r="I1354" s="3" t="str">
        <f>+IFERROR(VLOOKUP(C1354,'Mov 2023 hasta ahora '!$C$2:$D$314,2,FALSE),"NO")</f>
        <v>NO</v>
      </c>
      <c r="K1354">
        <v>6</v>
      </c>
      <c r="L1354" t="s">
        <v>836</v>
      </c>
      <c r="M1354">
        <v>24</v>
      </c>
      <c r="O1354" s="29" t="s">
        <v>8749</v>
      </c>
      <c r="P1354" s="25" t="s">
        <v>9056</v>
      </c>
      <c r="Q1354" s="25">
        <v>202</v>
      </c>
      <c r="R1354" t="s">
        <v>436</v>
      </c>
    </row>
    <row r="1355" spans="1:18" hidden="1">
      <c r="A1355" s="23" t="s">
        <v>2711</v>
      </c>
      <c r="B1355" s="23" t="s">
        <v>2712</v>
      </c>
      <c r="C1355" s="23">
        <v>2646</v>
      </c>
      <c r="I1355" s="3" t="str">
        <f>+IFERROR(VLOOKUP(C1355,'Mov 2023 hasta ahora '!$C$2:$D$314,2,FALSE),"NO")</f>
        <v>NO</v>
      </c>
      <c r="K1355">
        <v>6</v>
      </c>
      <c r="L1355" t="s">
        <v>836</v>
      </c>
      <c r="M1355">
        <v>24</v>
      </c>
      <c r="O1355" s="29" t="s">
        <v>8749</v>
      </c>
      <c r="P1355" s="25" t="s">
        <v>9056</v>
      </c>
      <c r="Q1355" s="25">
        <v>202</v>
      </c>
      <c r="R1355" t="s">
        <v>436</v>
      </c>
    </row>
    <row r="1356" spans="1:18" hidden="1">
      <c r="A1356" s="23" t="s">
        <v>2713</v>
      </c>
      <c r="B1356" s="23" t="s">
        <v>2714</v>
      </c>
      <c r="C1356" s="23">
        <v>2647</v>
      </c>
      <c r="I1356" s="3" t="str">
        <f>+IFERROR(VLOOKUP(C1356,'Mov 2023 hasta ahora '!$C$2:$D$314,2,FALSE),"NO")</f>
        <v>NO</v>
      </c>
      <c r="K1356">
        <v>6</v>
      </c>
      <c r="L1356" t="s">
        <v>836</v>
      </c>
      <c r="M1356">
        <v>24</v>
      </c>
      <c r="O1356" s="29" t="s">
        <v>8749</v>
      </c>
      <c r="P1356" s="25" t="s">
        <v>9056</v>
      </c>
      <c r="Q1356" s="25">
        <v>202</v>
      </c>
      <c r="R1356" t="s">
        <v>436</v>
      </c>
    </row>
    <row r="1357" spans="1:18" hidden="1">
      <c r="A1357" s="23" t="s">
        <v>2715</v>
      </c>
      <c r="B1357" s="23" t="s">
        <v>2716</v>
      </c>
      <c r="C1357" s="23">
        <v>2648</v>
      </c>
      <c r="I1357" s="3" t="str">
        <f>+IFERROR(VLOOKUP(C1357,'Mov 2023 hasta ahora '!$C$2:$D$314,2,FALSE),"NO")</f>
        <v>NO</v>
      </c>
      <c r="K1357">
        <v>6</v>
      </c>
      <c r="L1357" t="s">
        <v>836</v>
      </c>
      <c r="M1357">
        <v>24</v>
      </c>
      <c r="O1357" s="29" t="s">
        <v>8749</v>
      </c>
      <c r="P1357" s="25" t="s">
        <v>9056</v>
      </c>
      <c r="Q1357" s="25">
        <v>202</v>
      </c>
      <c r="R1357" t="s">
        <v>436</v>
      </c>
    </row>
    <row r="1358" spans="1:18" hidden="1">
      <c r="A1358" t="s">
        <v>2717</v>
      </c>
      <c r="B1358" t="s">
        <v>2718</v>
      </c>
      <c r="I1358" s="3" t="str">
        <f>+IFERROR(VLOOKUP(C1358,'Mov 2023 hasta ahora '!$C$2:$D$314,2,FALSE),"NO")</f>
        <v>NO</v>
      </c>
      <c r="K1358">
        <v>5</v>
      </c>
      <c r="L1358" t="s">
        <v>836</v>
      </c>
      <c r="M1358">
        <v>18</v>
      </c>
    </row>
    <row r="1359" spans="1:18" hidden="1">
      <c r="A1359" s="23" t="s">
        <v>2719</v>
      </c>
      <c r="B1359" s="23" t="s">
        <v>2720</v>
      </c>
      <c r="C1359" s="23">
        <v>2682</v>
      </c>
      <c r="I1359" s="3" t="str">
        <f>+IFERROR(VLOOKUP(C1359,'Mov 2023 hasta ahora '!$C$2:$D$314,2,FALSE),"NO")</f>
        <v>NO</v>
      </c>
      <c r="K1359">
        <v>6</v>
      </c>
      <c r="L1359" t="s">
        <v>836</v>
      </c>
      <c r="M1359">
        <v>24</v>
      </c>
      <c r="O1359" s="29" t="s">
        <v>9064</v>
      </c>
      <c r="P1359" s="25" t="s">
        <v>9065</v>
      </c>
      <c r="Q1359" s="25">
        <v>2665</v>
      </c>
      <c r="R1359" t="s">
        <v>436</v>
      </c>
    </row>
    <row r="1360" spans="1:18" hidden="1">
      <c r="A1360" s="23" t="s">
        <v>2721</v>
      </c>
      <c r="B1360" s="23" t="s">
        <v>2722</v>
      </c>
      <c r="C1360" s="23">
        <v>2683</v>
      </c>
      <c r="I1360" s="3" t="str">
        <f>+IFERROR(VLOOKUP(C1360,'Mov 2023 hasta ahora '!$C$2:$D$314,2,FALSE),"NO")</f>
        <v>NO</v>
      </c>
      <c r="K1360">
        <v>6</v>
      </c>
      <c r="L1360" t="s">
        <v>836</v>
      </c>
      <c r="M1360">
        <v>24</v>
      </c>
      <c r="O1360" s="29" t="s">
        <v>9064</v>
      </c>
      <c r="P1360" s="25" t="s">
        <v>9065</v>
      </c>
      <c r="Q1360" s="25">
        <v>2665</v>
      </c>
      <c r="R1360" t="s">
        <v>436</v>
      </c>
    </row>
    <row r="1361" spans="1:18" hidden="1">
      <c r="A1361" s="23" t="s">
        <v>2723</v>
      </c>
      <c r="B1361" s="23" t="s">
        <v>2724</v>
      </c>
      <c r="C1361" s="23">
        <v>2684</v>
      </c>
      <c r="I1361" s="3" t="str">
        <f>+IFERROR(VLOOKUP(C1361,'Mov 2023 hasta ahora '!$C$2:$D$314,2,FALSE),"NO")</f>
        <v>NO</v>
      </c>
      <c r="K1361">
        <v>6</v>
      </c>
      <c r="L1361" t="s">
        <v>836</v>
      </c>
      <c r="M1361">
        <v>24</v>
      </c>
      <c r="O1361" s="29" t="s">
        <v>9064</v>
      </c>
      <c r="P1361" s="25" t="s">
        <v>9065</v>
      </c>
      <c r="Q1361" s="25">
        <v>2665</v>
      </c>
      <c r="R1361" t="s">
        <v>436</v>
      </c>
    </row>
    <row r="1362" spans="1:18" hidden="1">
      <c r="A1362" s="23" t="s">
        <v>2725</v>
      </c>
      <c r="B1362" s="23" t="s">
        <v>2726</v>
      </c>
      <c r="C1362" s="23">
        <v>2685</v>
      </c>
      <c r="I1362" s="3" t="str">
        <f>+IFERROR(VLOOKUP(C1362,'Mov 2023 hasta ahora '!$C$2:$D$314,2,FALSE),"NO")</f>
        <v>NO</v>
      </c>
      <c r="K1362">
        <v>6</v>
      </c>
      <c r="L1362" t="s">
        <v>836</v>
      </c>
      <c r="M1362">
        <v>24</v>
      </c>
      <c r="O1362" s="29" t="s">
        <v>9064</v>
      </c>
      <c r="P1362" s="25" t="s">
        <v>9065</v>
      </c>
      <c r="Q1362" s="25">
        <v>2665</v>
      </c>
      <c r="R1362" t="s">
        <v>436</v>
      </c>
    </row>
    <row r="1363" spans="1:18" hidden="1">
      <c r="A1363" s="23" t="s">
        <v>2727</v>
      </c>
      <c r="B1363" s="23" t="s">
        <v>2728</v>
      </c>
      <c r="C1363" s="23">
        <v>2686</v>
      </c>
      <c r="I1363" s="3" t="str">
        <f>+IFERROR(VLOOKUP(C1363,'Mov 2023 hasta ahora '!$C$2:$D$314,2,FALSE),"NO")</f>
        <v>NO</v>
      </c>
      <c r="K1363">
        <v>6</v>
      </c>
      <c r="L1363" t="s">
        <v>836</v>
      </c>
      <c r="M1363">
        <v>24</v>
      </c>
      <c r="O1363" s="29" t="s">
        <v>9064</v>
      </c>
      <c r="P1363" s="25" t="s">
        <v>9065</v>
      </c>
      <c r="Q1363" s="25">
        <v>2665</v>
      </c>
      <c r="R1363" t="s">
        <v>436</v>
      </c>
    </row>
    <row r="1364" spans="1:18" hidden="1">
      <c r="A1364" s="23" t="s">
        <v>2729</v>
      </c>
      <c r="B1364" s="23" t="s">
        <v>2730</v>
      </c>
      <c r="C1364" s="23">
        <v>2687</v>
      </c>
      <c r="I1364" s="3" t="str">
        <f>+IFERROR(VLOOKUP(C1364,'Mov 2023 hasta ahora '!$C$2:$D$314,2,FALSE),"NO")</f>
        <v>NO</v>
      </c>
      <c r="K1364">
        <v>6</v>
      </c>
      <c r="L1364" t="s">
        <v>836</v>
      </c>
      <c r="M1364">
        <v>24</v>
      </c>
      <c r="O1364" s="29" t="s">
        <v>9064</v>
      </c>
      <c r="P1364" s="25" t="s">
        <v>9065</v>
      </c>
      <c r="Q1364" s="25">
        <v>2665</v>
      </c>
      <c r="R1364" t="s">
        <v>436</v>
      </c>
    </row>
    <row r="1365" spans="1:18" hidden="1">
      <c r="A1365" s="23" t="s">
        <v>2731</v>
      </c>
      <c r="B1365" s="23" t="s">
        <v>2732</v>
      </c>
      <c r="C1365" s="23">
        <v>2688</v>
      </c>
      <c r="I1365" s="3" t="str">
        <f>+IFERROR(VLOOKUP(C1365,'Mov 2023 hasta ahora '!$C$2:$D$314,2,FALSE),"NO")</f>
        <v>NO</v>
      </c>
      <c r="K1365">
        <v>6</v>
      </c>
      <c r="L1365" t="s">
        <v>836</v>
      </c>
      <c r="M1365">
        <v>24</v>
      </c>
      <c r="O1365" s="29" t="s">
        <v>9064</v>
      </c>
      <c r="P1365" s="25" t="s">
        <v>9065</v>
      </c>
      <c r="Q1365" s="25">
        <v>2665</v>
      </c>
      <c r="R1365" t="s">
        <v>436</v>
      </c>
    </row>
    <row r="1366" spans="1:18" hidden="1">
      <c r="A1366" t="s">
        <v>2733</v>
      </c>
      <c r="B1366" t="s">
        <v>2734</v>
      </c>
      <c r="I1366" s="3" t="str">
        <f>+IFERROR(VLOOKUP(C1366,'Mov 2023 hasta ahora '!$C$2:$D$314,2,FALSE),"NO")</f>
        <v>NO</v>
      </c>
      <c r="K1366">
        <v>5</v>
      </c>
      <c r="L1366" t="s">
        <v>836</v>
      </c>
      <c r="M1366">
        <v>18</v>
      </c>
    </row>
    <row r="1367" spans="1:18" hidden="1">
      <c r="A1367" s="23" t="s">
        <v>2735</v>
      </c>
      <c r="B1367" s="23" t="s">
        <v>2736</v>
      </c>
      <c r="C1367" s="23">
        <v>2690</v>
      </c>
      <c r="I1367" s="3" t="str">
        <f>+IFERROR(VLOOKUP(C1367,'Mov 2023 hasta ahora '!$C$2:$D$314,2,FALSE),"NO")</f>
        <v>NO</v>
      </c>
      <c r="K1367">
        <v>6</v>
      </c>
      <c r="L1367" t="s">
        <v>836</v>
      </c>
      <c r="M1367">
        <v>24</v>
      </c>
      <c r="O1367" s="29" t="s">
        <v>9030</v>
      </c>
      <c r="P1367" s="25" t="s">
        <v>9029</v>
      </c>
      <c r="Q1367" s="25">
        <v>3817</v>
      </c>
      <c r="R1367" t="s">
        <v>436</v>
      </c>
    </row>
    <row r="1368" spans="1:18" hidden="1">
      <c r="A1368" t="s">
        <v>2737</v>
      </c>
      <c r="B1368" t="s">
        <v>2738</v>
      </c>
      <c r="I1368" s="3" t="str">
        <f>+IFERROR(VLOOKUP(C1368,'Mov 2023 hasta ahora '!$C$2:$D$314,2,FALSE),"NO")</f>
        <v>NO</v>
      </c>
      <c r="K1368">
        <v>4</v>
      </c>
      <c r="L1368" t="s">
        <v>836</v>
      </c>
      <c r="M1368">
        <v>14</v>
      </c>
    </row>
    <row r="1369" spans="1:18" hidden="1">
      <c r="A1369" t="s">
        <v>2739</v>
      </c>
      <c r="B1369" t="s">
        <v>2740</v>
      </c>
      <c r="I1369" s="3" t="str">
        <f>+IFERROR(VLOOKUP(C1369,'Mov 2023 hasta ahora '!$C$2:$D$314,2,FALSE),"NO")</f>
        <v>NO</v>
      </c>
      <c r="K1369">
        <v>5</v>
      </c>
      <c r="L1369" t="s">
        <v>836</v>
      </c>
      <c r="M1369">
        <v>18</v>
      </c>
    </row>
    <row r="1370" spans="1:18" hidden="1">
      <c r="A1370" s="23" t="s">
        <v>2741</v>
      </c>
      <c r="B1370" s="23" t="s">
        <v>2742</v>
      </c>
      <c r="C1370" s="23">
        <v>2665</v>
      </c>
      <c r="I1370" s="3">
        <f>+IFERROR(VLOOKUP(C1370,'Mov 2023 hasta ahora '!$C$2:$D$314,2,FALSE),"NO")</f>
        <v>114</v>
      </c>
      <c r="K1370">
        <v>6</v>
      </c>
      <c r="L1370" t="s">
        <v>836</v>
      </c>
      <c r="M1370">
        <v>24</v>
      </c>
      <c r="O1370" s="29" t="s">
        <v>9064</v>
      </c>
      <c r="P1370" s="25" t="s">
        <v>9065</v>
      </c>
      <c r="Q1370" s="25">
        <v>2665</v>
      </c>
      <c r="R1370" t="s">
        <v>436</v>
      </c>
    </row>
    <row r="1371" spans="1:18" hidden="1">
      <c r="A1371" s="23" t="s">
        <v>2743</v>
      </c>
      <c r="B1371" s="23" t="s">
        <v>2744</v>
      </c>
      <c r="C1371" s="23">
        <v>2657</v>
      </c>
      <c r="I1371" s="3" t="str">
        <f>+IFERROR(VLOOKUP(C1371,'Mov 2023 hasta ahora '!$C$2:$D$314,2,FALSE),"NO")</f>
        <v>NO</v>
      </c>
      <c r="K1371">
        <v>6</v>
      </c>
      <c r="L1371" t="s">
        <v>836</v>
      </c>
      <c r="M1371">
        <v>24</v>
      </c>
      <c r="O1371" s="29" t="s">
        <v>9064</v>
      </c>
      <c r="P1371" s="25" t="s">
        <v>9065</v>
      </c>
      <c r="Q1371" s="25">
        <v>2665</v>
      </c>
      <c r="R1371" t="s">
        <v>436</v>
      </c>
    </row>
    <row r="1372" spans="1:18" hidden="1">
      <c r="A1372" s="23" t="s">
        <v>2745</v>
      </c>
      <c r="B1372" s="23" t="s">
        <v>2746</v>
      </c>
      <c r="C1372" s="23">
        <v>2658</v>
      </c>
      <c r="I1372" s="3" t="str">
        <f>+IFERROR(VLOOKUP(C1372,'Mov 2023 hasta ahora '!$C$2:$D$314,2,FALSE),"NO")</f>
        <v>NO</v>
      </c>
      <c r="K1372">
        <v>6</v>
      </c>
      <c r="L1372" t="s">
        <v>836</v>
      </c>
      <c r="M1372">
        <v>24</v>
      </c>
      <c r="O1372" s="29" t="s">
        <v>9064</v>
      </c>
      <c r="P1372" s="25" t="s">
        <v>9065</v>
      </c>
      <c r="Q1372" s="25">
        <v>2665</v>
      </c>
      <c r="R1372" t="s">
        <v>436</v>
      </c>
    </row>
    <row r="1373" spans="1:18" hidden="1">
      <c r="A1373" s="23" t="s">
        <v>2747</v>
      </c>
      <c r="B1373" s="23" t="s">
        <v>2748</v>
      </c>
      <c r="C1373" s="23">
        <v>2659</v>
      </c>
      <c r="I1373" s="3" t="str">
        <f>+IFERROR(VLOOKUP(C1373,'Mov 2023 hasta ahora '!$C$2:$D$314,2,FALSE),"NO")</f>
        <v>NO</v>
      </c>
      <c r="K1373">
        <v>6</v>
      </c>
      <c r="L1373" t="s">
        <v>836</v>
      </c>
      <c r="M1373">
        <v>24</v>
      </c>
      <c r="O1373" s="29" t="s">
        <v>9064</v>
      </c>
      <c r="P1373" s="25" t="s">
        <v>9065</v>
      </c>
      <c r="Q1373" s="25">
        <v>2665</v>
      </c>
      <c r="R1373" t="s">
        <v>436</v>
      </c>
    </row>
    <row r="1374" spans="1:18" hidden="1">
      <c r="A1374" s="23" t="s">
        <v>2749</v>
      </c>
      <c r="B1374" s="23" t="s">
        <v>2750</v>
      </c>
      <c r="C1374" s="23">
        <v>2660</v>
      </c>
      <c r="I1374" s="3" t="str">
        <f>+IFERROR(VLOOKUP(C1374,'Mov 2023 hasta ahora '!$C$2:$D$314,2,FALSE),"NO")</f>
        <v>NO</v>
      </c>
      <c r="K1374">
        <v>6</v>
      </c>
      <c r="L1374" t="s">
        <v>836</v>
      </c>
      <c r="M1374">
        <v>24</v>
      </c>
      <c r="O1374" s="29" t="s">
        <v>9064</v>
      </c>
      <c r="P1374" s="25" t="s">
        <v>9065</v>
      </c>
      <c r="Q1374" s="25">
        <v>2665</v>
      </c>
      <c r="R1374" t="s">
        <v>436</v>
      </c>
    </row>
    <row r="1375" spans="1:18" hidden="1">
      <c r="A1375" s="23" t="s">
        <v>2751</v>
      </c>
      <c r="B1375" s="23" t="s">
        <v>2752</v>
      </c>
      <c r="C1375" s="23">
        <v>2661</v>
      </c>
      <c r="I1375" s="3" t="str">
        <f>+IFERROR(VLOOKUP(C1375,'Mov 2023 hasta ahora '!$C$2:$D$314,2,FALSE),"NO")</f>
        <v>NO</v>
      </c>
      <c r="K1375">
        <v>6</v>
      </c>
      <c r="L1375" t="s">
        <v>836</v>
      </c>
      <c r="M1375">
        <v>24</v>
      </c>
      <c r="O1375" s="29" t="s">
        <v>9064</v>
      </c>
      <c r="P1375" s="25" t="s">
        <v>9065</v>
      </c>
      <c r="Q1375" s="25">
        <v>2665</v>
      </c>
      <c r="R1375" t="s">
        <v>436</v>
      </c>
    </row>
    <row r="1376" spans="1:18" hidden="1">
      <c r="A1376" s="23" t="s">
        <v>2753</v>
      </c>
      <c r="B1376" s="23" t="s">
        <v>2754</v>
      </c>
      <c r="C1376" s="23">
        <v>2662</v>
      </c>
      <c r="I1376" s="3" t="str">
        <f>+IFERROR(VLOOKUP(C1376,'Mov 2023 hasta ahora '!$C$2:$D$314,2,FALSE),"NO")</f>
        <v>NO</v>
      </c>
      <c r="K1376">
        <v>6</v>
      </c>
      <c r="L1376" t="s">
        <v>836</v>
      </c>
      <c r="M1376">
        <v>24</v>
      </c>
      <c r="O1376" s="29" t="s">
        <v>9064</v>
      </c>
      <c r="P1376" s="25" t="s">
        <v>9065</v>
      </c>
      <c r="Q1376" s="25">
        <v>2665</v>
      </c>
      <c r="R1376" t="s">
        <v>436</v>
      </c>
    </row>
    <row r="1377" spans="1:18" hidden="1">
      <c r="A1377" s="23" t="s">
        <v>2755</v>
      </c>
      <c r="B1377" s="23" t="s">
        <v>2756</v>
      </c>
      <c r="C1377" s="23">
        <v>2663</v>
      </c>
      <c r="I1377" s="3">
        <f>+IFERROR(VLOOKUP(C1377,'Mov 2023 hasta ahora '!$C$2:$D$314,2,FALSE),"NO")</f>
        <v>23</v>
      </c>
      <c r="K1377">
        <v>6</v>
      </c>
      <c r="L1377" t="s">
        <v>836</v>
      </c>
      <c r="M1377">
        <v>24</v>
      </c>
      <c r="O1377" s="29" t="s">
        <v>9064</v>
      </c>
      <c r="P1377" s="25" t="s">
        <v>9065</v>
      </c>
      <c r="Q1377" s="25">
        <v>2665</v>
      </c>
      <c r="R1377" t="s">
        <v>436</v>
      </c>
    </row>
    <row r="1378" spans="1:18" hidden="1">
      <c r="A1378" s="23" t="s">
        <v>2757</v>
      </c>
      <c r="B1378" s="23" t="s">
        <v>2758</v>
      </c>
      <c r="C1378" s="23">
        <v>2664</v>
      </c>
      <c r="I1378" s="3" t="str">
        <f>+IFERROR(VLOOKUP(C1378,'Mov 2023 hasta ahora '!$C$2:$D$314,2,FALSE),"NO")</f>
        <v>NO</v>
      </c>
      <c r="K1378">
        <v>6</v>
      </c>
      <c r="L1378" t="s">
        <v>836</v>
      </c>
      <c r="M1378">
        <v>24</v>
      </c>
      <c r="O1378" s="29" t="s">
        <v>9064</v>
      </c>
      <c r="P1378" s="25" t="s">
        <v>9065</v>
      </c>
      <c r="Q1378" s="25">
        <v>2665</v>
      </c>
      <c r="R1378" t="s">
        <v>436</v>
      </c>
    </row>
    <row r="1379" spans="1:18" hidden="1">
      <c r="A1379" t="s">
        <v>2759</v>
      </c>
      <c r="B1379" t="s">
        <v>2760</v>
      </c>
      <c r="I1379" s="3" t="str">
        <f>+IFERROR(VLOOKUP(C1379,'Mov 2023 hasta ahora '!$C$2:$D$314,2,FALSE),"NO")</f>
        <v>NO</v>
      </c>
      <c r="K1379">
        <v>4</v>
      </c>
      <c r="L1379" t="s">
        <v>836</v>
      </c>
      <c r="M1379">
        <v>14</v>
      </c>
    </row>
    <row r="1380" spans="1:18" hidden="1">
      <c r="A1380" t="s">
        <v>2761</v>
      </c>
      <c r="B1380" t="s">
        <v>2762</v>
      </c>
      <c r="I1380" s="3" t="str">
        <f>+IFERROR(VLOOKUP(C1380,'Mov 2023 hasta ahora '!$C$2:$D$314,2,FALSE),"NO")</f>
        <v>NO</v>
      </c>
      <c r="K1380">
        <v>5</v>
      </c>
      <c r="L1380" t="s">
        <v>836</v>
      </c>
      <c r="M1380">
        <v>18</v>
      </c>
    </row>
    <row r="1381" spans="1:18" hidden="1">
      <c r="A1381" s="23" t="s">
        <v>2763</v>
      </c>
      <c r="B1381" s="23" t="s">
        <v>2764</v>
      </c>
      <c r="C1381" s="23">
        <v>2672</v>
      </c>
      <c r="I1381" s="3" t="str">
        <f>+IFERROR(VLOOKUP(C1381,'Mov 2023 hasta ahora '!$C$2:$D$314,2,FALSE),"NO")</f>
        <v>NO</v>
      </c>
      <c r="K1381">
        <v>6</v>
      </c>
      <c r="L1381" t="s">
        <v>836</v>
      </c>
      <c r="M1381">
        <v>24</v>
      </c>
      <c r="O1381" s="29" t="s">
        <v>9047</v>
      </c>
      <c r="P1381" s="25" t="s">
        <v>9048</v>
      </c>
      <c r="Q1381" s="25">
        <v>1719</v>
      </c>
      <c r="R1381" t="s">
        <v>436</v>
      </c>
    </row>
    <row r="1382" spans="1:18" hidden="1">
      <c r="A1382" s="23" t="s">
        <v>2765</v>
      </c>
      <c r="B1382" s="23" t="s">
        <v>2766</v>
      </c>
      <c r="C1382" s="23">
        <v>2666</v>
      </c>
      <c r="I1382" s="3" t="str">
        <f>+IFERROR(VLOOKUP(C1382,'Mov 2023 hasta ahora '!$C$2:$D$314,2,FALSE),"NO")</f>
        <v>NO</v>
      </c>
      <c r="K1382">
        <v>6</v>
      </c>
      <c r="L1382" t="s">
        <v>836</v>
      </c>
      <c r="M1382">
        <v>24</v>
      </c>
      <c r="O1382" s="29" t="s">
        <v>9047</v>
      </c>
      <c r="P1382" s="25" t="s">
        <v>9048</v>
      </c>
      <c r="Q1382" s="25">
        <v>1719</v>
      </c>
      <c r="R1382" t="s">
        <v>436</v>
      </c>
    </row>
    <row r="1383" spans="1:18" hidden="1">
      <c r="A1383" s="23" t="s">
        <v>2767</v>
      </c>
      <c r="B1383" s="23" t="s">
        <v>2768</v>
      </c>
      <c r="C1383" s="23">
        <v>2667</v>
      </c>
      <c r="I1383" s="3">
        <f>+IFERROR(VLOOKUP(C1383,'Mov 2023 hasta ahora '!$C$2:$D$314,2,FALSE),"NO")</f>
        <v>1</v>
      </c>
      <c r="K1383">
        <v>6</v>
      </c>
      <c r="L1383" t="s">
        <v>836</v>
      </c>
      <c r="M1383">
        <v>24</v>
      </c>
      <c r="O1383" s="29" t="s">
        <v>8925</v>
      </c>
      <c r="P1383" s="25" t="s">
        <v>8926</v>
      </c>
      <c r="Q1383" s="25">
        <v>1260</v>
      </c>
      <c r="R1383" t="s">
        <v>436</v>
      </c>
    </row>
    <row r="1384" spans="1:18" hidden="1">
      <c r="A1384" s="23" t="s">
        <v>2769</v>
      </c>
      <c r="B1384" s="23" t="s">
        <v>2770</v>
      </c>
      <c r="C1384" s="23">
        <v>2668</v>
      </c>
      <c r="I1384" s="3" t="str">
        <f>+IFERROR(VLOOKUP(C1384,'Mov 2023 hasta ahora '!$C$2:$D$314,2,FALSE),"NO")</f>
        <v>NO</v>
      </c>
      <c r="K1384">
        <v>6</v>
      </c>
      <c r="L1384" t="s">
        <v>836</v>
      </c>
      <c r="M1384">
        <v>24</v>
      </c>
      <c r="O1384" s="29" t="s">
        <v>9047</v>
      </c>
      <c r="P1384" s="25" t="s">
        <v>9048</v>
      </c>
      <c r="Q1384" s="25">
        <v>1719</v>
      </c>
      <c r="R1384" t="s">
        <v>436</v>
      </c>
    </row>
    <row r="1385" spans="1:18" hidden="1">
      <c r="A1385" s="23" t="s">
        <v>2771</v>
      </c>
      <c r="B1385" s="23" t="s">
        <v>2772</v>
      </c>
      <c r="C1385" s="23">
        <v>2669</v>
      </c>
      <c r="I1385" s="3" t="str">
        <f>+IFERROR(VLOOKUP(C1385,'Mov 2023 hasta ahora '!$C$2:$D$314,2,FALSE),"NO")</f>
        <v>NO</v>
      </c>
      <c r="K1385">
        <v>6</v>
      </c>
      <c r="L1385" t="s">
        <v>836</v>
      </c>
      <c r="M1385">
        <v>24</v>
      </c>
      <c r="O1385" s="29" t="s">
        <v>9047</v>
      </c>
      <c r="P1385" s="25" t="s">
        <v>9048</v>
      </c>
      <c r="Q1385" s="25">
        <v>1719</v>
      </c>
      <c r="R1385" t="s">
        <v>436</v>
      </c>
    </row>
    <row r="1386" spans="1:18" hidden="1">
      <c r="A1386" s="23" t="s">
        <v>2773</v>
      </c>
      <c r="B1386" s="23" t="s">
        <v>2774</v>
      </c>
      <c r="C1386" s="23">
        <v>2670</v>
      </c>
      <c r="I1386" s="3" t="str">
        <f>+IFERROR(VLOOKUP(C1386,'Mov 2023 hasta ahora '!$C$2:$D$314,2,FALSE),"NO")</f>
        <v>NO</v>
      </c>
      <c r="K1386">
        <v>6</v>
      </c>
      <c r="L1386" t="s">
        <v>836</v>
      </c>
      <c r="M1386">
        <v>24</v>
      </c>
      <c r="O1386" s="29" t="s">
        <v>9047</v>
      </c>
      <c r="P1386" s="25" t="s">
        <v>9048</v>
      </c>
      <c r="Q1386" s="25">
        <v>1719</v>
      </c>
      <c r="R1386" t="s">
        <v>436</v>
      </c>
    </row>
    <row r="1387" spans="1:18" hidden="1">
      <c r="A1387" s="23" t="s">
        <v>2775</v>
      </c>
      <c r="B1387" s="23" t="s">
        <v>2776</v>
      </c>
      <c r="C1387" s="23">
        <v>2671</v>
      </c>
      <c r="I1387" s="3" t="str">
        <f>+IFERROR(VLOOKUP(C1387,'Mov 2023 hasta ahora '!$C$2:$D$314,2,FALSE),"NO")</f>
        <v>NO</v>
      </c>
      <c r="K1387">
        <v>6</v>
      </c>
      <c r="L1387" t="s">
        <v>836</v>
      </c>
      <c r="M1387">
        <v>24</v>
      </c>
      <c r="O1387" s="29" t="s">
        <v>9061</v>
      </c>
      <c r="P1387" s="25" t="s">
        <v>9062</v>
      </c>
      <c r="Q1387" s="25">
        <v>2671</v>
      </c>
      <c r="R1387" t="s">
        <v>436</v>
      </c>
    </row>
    <row r="1388" spans="1:18" hidden="1">
      <c r="A1388" t="s">
        <v>2777</v>
      </c>
      <c r="B1388" t="s">
        <v>2778</v>
      </c>
      <c r="I1388" s="3" t="str">
        <f>+IFERROR(VLOOKUP(C1388,'Mov 2023 hasta ahora '!$C$2:$D$314,2,FALSE),"NO")</f>
        <v>NO</v>
      </c>
      <c r="K1388">
        <v>4</v>
      </c>
      <c r="L1388" t="s">
        <v>836</v>
      </c>
      <c r="M1388">
        <v>14</v>
      </c>
    </row>
    <row r="1389" spans="1:18" hidden="1">
      <c r="A1389" t="s">
        <v>2779</v>
      </c>
      <c r="B1389" t="s">
        <v>2780</v>
      </c>
      <c r="I1389" s="3" t="str">
        <f>+IFERROR(VLOOKUP(C1389,'Mov 2023 hasta ahora '!$C$2:$D$314,2,FALSE),"NO")</f>
        <v>NO</v>
      </c>
      <c r="K1389">
        <v>5</v>
      </c>
      <c r="L1389" t="s">
        <v>836</v>
      </c>
      <c r="M1389">
        <v>18</v>
      </c>
    </row>
    <row r="1390" spans="1:18" hidden="1">
      <c r="A1390" s="23" t="s">
        <v>2781</v>
      </c>
      <c r="B1390" s="23" t="s">
        <v>2782</v>
      </c>
      <c r="C1390" s="23">
        <v>2678</v>
      </c>
      <c r="I1390" s="3" t="str">
        <f>+IFERROR(VLOOKUP(C1390,'Mov 2023 hasta ahora '!$C$2:$D$314,2,FALSE),"NO")</f>
        <v>NO</v>
      </c>
      <c r="K1390">
        <v>6</v>
      </c>
      <c r="L1390" t="s">
        <v>836</v>
      </c>
      <c r="M1390">
        <v>24</v>
      </c>
      <c r="O1390" s="29" t="s">
        <v>9047</v>
      </c>
      <c r="P1390" s="25" t="s">
        <v>9048</v>
      </c>
      <c r="Q1390" s="25">
        <v>1719</v>
      </c>
      <c r="R1390" t="s">
        <v>436</v>
      </c>
    </row>
    <row r="1391" spans="1:18" hidden="1">
      <c r="A1391" s="23" t="s">
        <v>2783</v>
      </c>
      <c r="B1391" s="23" t="s">
        <v>2784</v>
      </c>
      <c r="C1391" s="23">
        <v>2673</v>
      </c>
      <c r="I1391" s="3" t="str">
        <f>+IFERROR(VLOOKUP(C1391,'Mov 2023 hasta ahora '!$C$2:$D$314,2,FALSE),"NO")</f>
        <v>NO</v>
      </c>
      <c r="K1391">
        <v>6</v>
      </c>
      <c r="L1391" t="s">
        <v>836</v>
      </c>
      <c r="M1391">
        <v>24</v>
      </c>
      <c r="O1391" s="29" t="s">
        <v>9047</v>
      </c>
      <c r="P1391" s="25" t="s">
        <v>9048</v>
      </c>
      <c r="Q1391" s="25">
        <v>1719</v>
      </c>
      <c r="R1391" t="s">
        <v>436</v>
      </c>
    </row>
    <row r="1392" spans="1:18" hidden="1">
      <c r="A1392" s="23" t="s">
        <v>2785</v>
      </c>
      <c r="B1392" s="23" t="s">
        <v>2786</v>
      </c>
      <c r="C1392" s="23">
        <v>2674</v>
      </c>
      <c r="I1392" s="3" t="str">
        <f>+IFERROR(VLOOKUP(C1392,'Mov 2023 hasta ahora '!$C$2:$D$314,2,FALSE),"NO")</f>
        <v>NO</v>
      </c>
      <c r="K1392">
        <v>6</v>
      </c>
      <c r="L1392" t="s">
        <v>836</v>
      </c>
      <c r="M1392">
        <v>24</v>
      </c>
      <c r="O1392" s="29" t="s">
        <v>9047</v>
      </c>
      <c r="P1392" s="25" t="s">
        <v>9048</v>
      </c>
      <c r="Q1392" s="25">
        <v>1719</v>
      </c>
      <c r="R1392" t="s">
        <v>436</v>
      </c>
    </row>
    <row r="1393" spans="1:18" hidden="1">
      <c r="A1393" s="23" t="s">
        <v>2787</v>
      </c>
      <c r="B1393" s="23" t="s">
        <v>2788</v>
      </c>
      <c r="C1393" s="23">
        <v>2675</v>
      </c>
      <c r="I1393" s="3" t="str">
        <f>+IFERROR(VLOOKUP(C1393,'Mov 2023 hasta ahora '!$C$2:$D$314,2,FALSE),"NO")</f>
        <v>NO</v>
      </c>
      <c r="K1393">
        <v>6</v>
      </c>
      <c r="L1393" t="s">
        <v>836</v>
      </c>
      <c r="M1393">
        <v>24</v>
      </c>
      <c r="O1393" s="29" t="s">
        <v>9047</v>
      </c>
      <c r="P1393" s="25" t="s">
        <v>9048</v>
      </c>
      <c r="Q1393" s="25">
        <v>1719</v>
      </c>
      <c r="R1393" t="s">
        <v>436</v>
      </c>
    </row>
    <row r="1394" spans="1:18" hidden="1">
      <c r="A1394" s="23" t="s">
        <v>2789</v>
      </c>
      <c r="B1394" s="23" t="s">
        <v>2790</v>
      </c>
      <c r="C1394" s="23">
        <v>2676</v>
      </c>
      <c r="I1394" s="3" t="str">
        <f>+IFERROR(VLOOKUP(C1394,'Mov 2023 hasta ahora '!$C$2:$D$314,2,FALSE),"NO")</f>
        <v>NO</v>
      </c>
      <c r="K1394">
        <v>6</v>
      </c>
      <c r="L1394" t="s">
        <v>836</v>
      </c>
      <c r="M1394">
        <v>24</v>
      </c>
      <c r="O1394" s="29" t="s">
        <v>8750</v>
      </c>
      <c r="P1394" s="25" t="s">
        <v>8968</v>
      </c>
      <c r="Q1394" s="25">
        <v>1351</v>
      </c>
      <c r="R1394" t="s">
        <v>436</v>
      </c>
    </row>
    <row r="1395" spans="1:18" hidden="1">
      <c r="A1395" s="23" t="s">
        <v>2791</v>
      </c>
      <c r="B1395" s="23" t="s">
        <v>2792</v>
      </c>
      <c r="C1395" s="23">
        <v>2677</v>
      </c>
      <c r="I1395" s="3" t="str">
        <f>+IFERROR(VLOOKUP(C1395,'Mov 2023 hasta ahora '!$C$2:$D$314,2,FALSE),"NO")</f>
        <v>NO</v>
      </c>
      <c r="K1395">
        <v>6</v>
      </c>
      <c r="L1395" t="s">
        <v>836</v>
      </c>
      <c r="M1395">
        <v>24</v>
      </c>
      <c r="O1395" s="29" t="s">
        <v>8750</v>
      </c>
      <c r="P1395" s="25" t="s">
        <v>8968</v>
      </c>
      <c r="Q1395" s="25">
        <v>1351</v>
      </c>
      <c r="R1395" t="s">
        <v>436</v>
      </c>
    </row>
    <row r="1396" spans="1:18" hidden="1">
      <c r="A1396" t="s">
        <v>2793</v>
      </c>
      <c r="B1396" t="s">
        <v>2794</v>
      </c>
      <c r="I1396" s="3" t="str">
        <f>+IFERROR(VLOOKUP(C1396,'Mov 2023 hasta ahora '!$C$2:$D$314,2,FALSE),"NO")</f>
        <v>NO</v>
      </c>
      <c r="K1396">
        <v>3</v>
      </c>
      <c r="L1396" t="s">
        <v>836</v>
      </c>
      <c r="M1396">
        <v>10</v>
      </c>
    </row>
    <row r="1397" spans="1:18" hidden="1">
      <c r="A1397" t="s">
        <v>2795</v>
      </c>
      <c r="B1397" t="s">
        <v>2796</v>
      </c>
      <c r="I1397" s="3" t="str">
        <f>+IFERROR(VLOOKUP(C1397,'Mov 2023 hasta ahora '!$C$2:$D$314,2,FALSE),"NO")</f>
        <v>NO</v>
      </c>
      <c r="K1397">
        <v>4</v>
      </c>
      <c r="L1397" t="s">
        <v>836</v>
      </c>
      <c r="M1397">
        <v>14</v>
      </c>
    </row>
    <row r="1398" spans="1:18" hidden="1">
      <c r="A1398" t="s">
        <v>2797</v>
      </c>
      <c r="B1398" t="s">
        <v>2798</v>
      </c>
      <c r="I1398" s="3" t="str">
        <f>+IFERROR(VLOOKUP(C1398,'Mov 2023 hasta ahora '!$C$2:$D$314,2,FALSE),"NO")</f>
        <v>NO</v>
      </c>
      <c r="K1398">
        <v>5</v>
      </c>
      <c r="L1398" t="s">
        <v>836</v>
      </c>
      <c r="M1398">
        <v>18</v>
      </c>
    </row>
    <row r="1399" spans="1:18" hidden="1">
      <c r="A1399" s="23" t="s">
        <v>2799</v>
      </c>
      <c r="B1399" s="23" t="s">
        <v>2800</v>
      </c>
      <c r="C1399" s="23">
        <v>2399</v>
      </c>
      <c r="I1399" s="3" t="str">
        <f>+IFERROR(VLOOKUP(C1399,'Mov 2023 hasta ahora '!$C$2:$D$314,2,FALSE),"NO")</f>
        <v>NO</v>
      </c>
      <c r="K1399">
        <v>6</v>
      </c>
      <c r="L1399" t="s">
        <v>836</v>
      </c>
      <c r="M1399">
        <v>24</v>
      </c>
      <c r="O1399" s="29" t="s">
        <v>8691</v>
      </c>
      <c r="P1399" s="25" t="s">
        <v>8687</v>
      </c>
      <c r="Q1399" s="25">
        <v>1228</v>
      </c>
      <c r="R1399" t="s">
        <v>436</v>
      </c>
    </row>
    <row r="1400" spans="1:18" hidden="1">
      <c r="A1400" s="23" t="s">
        <v>2801</v>
      </c>
      <c r="B1400" s="23" t="s">
        <v>2802</v>
      </c>
      <c r="C1400" s="23">
        <v>2400</v>
      </c>
      <c r="I1400" s="3" t="str">
        <f>+IFERROR(VLOOKUP(C1400,'Mov 2023 hasta ahora '!$C$2:$D$314,2,FALSE),"NO")</f>
        <v>NO</v>
      </c>
      <c r="K1400">
        <v>6</v>
      </c>
      <c r="L1400" t="s">
        <v>836</v>
      </c>
      <c r="M1400">
        <v>24</v>
      </c>
      <c r="O1400" s="29" t="s">
        <v>8691</v>
      </c>
      <c r="P1400" s="25" t="s">
        <v>8687</v>
      </c>
      <c r="Q1400" s="25">
        <v>1228</v>
      </c>
      <c r="R1400" t="s">
        <v>436</v>
      </c>
    </row>
    <row r="1401" spans="1:18" hidden="1">
      <c r="A1401" s="23" t="s">
        <v>2803</v>
      </c>
      <c r="B1401" s="23" t="s">
        <v>2804</v>
      </c>
      <c r="C1401" s="23">
        <v>2401</v>
      </c>
      <c r="I1401" s="3" t="str">
        <f>+IFERROR(VLOOKUP(C1401,'Mov 2023 hasta ahora '!$C$2:$D$314,2,FALSE),"NO")</f>
        <v>NO</v>
      </c>
      <c r="K1401">
        <v>6</v>
      </c>
      <c r="L1401" t="s">
        <v>836</v>
      </c>
      <c r="M1401">
        <v>24</v>
      </c>
      <c r="O1401" s="29" t="s">
        <v>8691</v>
      </c>
      <c r="P1401" s="25" t="s">
        <v>8687</v>
      </c>
      <c r="Q1401" s="25">
        <v>1228</v>
      </c>
      <c r="R1401" t="s">
        <v>436</v>
      </c>
    </row>
    <row r="1402" spans="1:18" hidden="1">
      <c r="A1402" s="23" t="s">
        <v>2805</v>
      </c>
      <c r="B1402" s="23" t="s">
        <v>2806</v>
      </c>
      <c r="C1402" s="23">
        <v>2402</v>
      </c>
      <c r="I1402" s="3" t="str">
        <f>+IFERROR(VLOOKUP(C1402,'Mov 2023 hasta ahora '!$C$2:$D$314,2,FALSE),"NO")</f>
        <v>NO</v>
      </c>
      <c r="K1402">
        <v>6</v>
      </c>
      <c r="L1402" t="s">
        <v>836</v>
      </c>
      <c r="M1402">
        <v>24</v>
      </c>
      <c r="O1402" s="29" t="s">
        <v>8691</v>
      </c>
      <c r="P1402" s="25" t="s">
        <v>8687</v>
      </c>
      <c r="Q1402" s="25">
        <v>1228</v>
      </c>
      <c r="R1402" t="s">
        <v>436</v>
      </c>
    </row>
    <row r="1403" spans="1:18" hidden="1">
      <c r="A1403" s="23" t="s">
        <v>2807</v>
      </c>
      <c r="B1403" s="23" t="s">
        <v>2808</v>
      </c>
      <c r="C1403" s="23">
        <v>2404</v>
      </c>
      <c r="I1403" s="3" t="str">
        <f>+IFERROR(VLOOKUP(C1403,'Mov 2023 hasta ahora '!$C$2:$D$314,2,FALSE),"NO")</f>
        <v>NO</v>
      </c>
      <c r="K1403">
        <v>6</v>
      </c>
      <c r="L1403" t="s">
        <v>836</v>
      </c>
      <c r="M1403">
        <v>24</v>
      </c>
      <c r="O1403" s="29" t="s">
        <v>8691</v>
      </c>
      <c r="P1403" s="25" t="s">
        <v>8687</v>
      </c>
      <c r="Q1403" s="25">
        <v>1228</v>
      </c>
      <c r="R1403" t="s">
        <v>436</v>
      </c>
    </row>
    <row r="1404" spans="1:18" hidden="1">
      <c r="A1404" s="23" t="s">
        <v>2809</v>
      </c>
      <c r="B1404" s="23" t="s">
        <v>2810</v>
      </c>
      <c r="C1404" s="23">
        <v>2403</v>
      </c>
      <c r="I1404" s="3" t="str">
        <f>+IFERROR(VLOOKUP(C1404,'Mov 2023 hasta ahora '!$C$2:$D$314,2,FALSE),"NO")</f>
        <v>NO</v>
      </c>
      <c r="K1404">
        <v>6</v>
      </c>
      <c r="L1404" t="s">
        <v>836</v>
      </c>
      <c r="M1404">
        <v>24</v>
      </c>
      <c r="O1404" s="29" t="s">
        <v>8691</v>
      </c>
      <c r="P1404" s="25" t="s">
        <v>8687</v>
      </c>
      <c r="Q1404" s="25">
        <v>1228</v>
      </c>
      <c r="R1404" t="s">
        <v>436</v>
      </c>
    </row>
    <row r="1405" spans="1:18" hidden="1">
      <c r="A1405" s="23" t="s">
        <v>2811</v>
      </c>
      <c r="B1405" s="23" t="s">
        <v>2812</v>
      </c>
      <c r="C1405" s="23">
        <v>2405</v>
      </c>
      <c r="I1405" s="3" t="str">
        <f>+IFERROR(VLOOKUP(C1405,'Mov 2023 hasta ahora '!$C$2:$D$314,2,FALSE),"NO")</f>
        <v>NO</v>
      </c>
      <c r="K1405">
        <v>6</v>
      </c>
      <c r="L1405" t="s">
        <v>836</v>
      </c>
      <c r="M1405">
        <v>24</v>
      </c>
      <c r="O1405" s="29" t="s">
        <v>8861</v>
      </c>
      <c r="P1405" s="25" t="s">
        <v>8868</v>
      </c>
      <c r="Q1405" s="25">
        <v>1419</v>
      </c>
      <c r="R1405" t="s">
        <v>436</v>
      </c>
    </row>
    <row r="1406" spans="1:18" hidden="1">
      <c r="A1406" s="23" t="s">
        <v>2813</v>
      </c>
      <c r="B1406" s="23" t="s">
        <v>2814</v>
      </c>
      <c r="C1406" s="23">
        <v>2406</v>
      </c>
      <c r="I1406" s="3" t="str">
        <f>+IFERROR(VLOOKUP(C1406,'Mov 2023 hasta ahora '!$C$2:$D$314,2,FALSE),"NO")</f>
        <v>NO</v>
      </c>
      <c r="K1406">
        <v>6</v>
      </c>
      <c r="L1406" t="s">
        <v>836</v>
      </c>
      <c r="M1406">
        <v>24</v>
      </c>
      <c r="O1406" s="29" t="s">
        <v>8691</v>
      </c>
      <c r="P1406" s="25" t="s">
        <v>8687</v>
      </c>
      <c r="Q1406" s="25">
        <v>1228</v>
      </c>
      <c r="R1406" t="s">
        <v>436</v>
      </c>
    </row>
    <row r="1407" spans="1:18" hidden="1">
      <c r="A1407" t="s">
        <v>2815</v>
      </c>
      <c r="B1407" t="s">
        <v>2816</v>
      </c>
      <c r="I1407" s="3" t="str">
        <f>+IFERROR(VLOOKUP(C1407,'Mov 2023 hasta ahora '!$C$2:$D$314,2,FALSE),"NO")</f>
        <v>NO</v>
      </c>
      <c r="K1407">
        <v>3</v>
      </c>
      <c r="L1407" t="s">
        <v>836</v>
      </c>
      <c r="M1407">
        <v>10</v>
      </c>
    </row>
    <row r="1408" spans="1:18" hidden="1">
      <c r="A1408" t="s">
        <v>2817</v>
      </c>
      <c r="B1408" t="s">
        <v>2818</v>
      </c>
      <c r="I1408" s="3" t="str">
        <f>+IFERROR(VLOOKUP(C1408,'Mov 2023 hasta ahora '!$C$2:$D$314,2,FALSE),"NO")</f>
        <v>NO</v>
      </c>
      <c r="K1408">
        <v>4</v>
      </c>
      <c r="L1408" t="s">
        <v>836</v>
      </c>
      <c r="M1408">
        <v>14</v>
      </c>
    </row>
    <row r="1409" spans="1:18" hidden="1">
      <c r="A1409" t="s">
        <v>2819</v>
      </c>
      <c r="B1409" t="s">
        <v>2820</v>
      </c>
      <c r="I1409" s="3" t="str">
        <f>+IFERROR(VLOOKUP(C1409,'Mov 2023 hasta ahora '!$C$2:$D$314,2,FALSE),"NO")</f>
        <v>NO</v>
      </c>
      <c r="K1409">
        <v>5</v>
      </c>
      <c r="L1409" t="s">
        <v>836</v>
      </c>
      <c r="M1409">
        <v>18</v>
      </c>
    </row>
    <row r="1410" spans="1:18" hidden="1">
      <c r="A1410" s="23" t="s">
        <v>2821</v>
      </c>
      <c r="B1410" s="23" t="s">
        <v>2822</v>
      </c>
      <c r="C1410" s="23">
        <v>2407</v>
      </c>
      <c r="I1410" s="3" t="str">
        <f>+IFERROR(VLOOKUP(C1410,'Mov 2023 hasta ahora '!$C$2:$D$314,2,FALSE),"NO")</f>
        <v>NO</v>
      </c>
      <c r="K1410">
        <v>6</v>
      </c>
      <c r="L1410" t="s">
        <v>836</v>
      </c>
      <c r="M1410">
        <v>24</v>
      </c>
      <c r="O1410" s="29" t="s">
        <v>8691</v>
      </c>
      <c r="P1410" s="25" t="s">
        <v>8687</v>
      </c>
      <c r="Q1410" s="25">
        <v>1228</v>
      </c>
      <c r="R1410" t="s">
        <v>436</v>
      </c>
    </row>
    <row r="1411" spans="1:18" hidden="1">
      <c r="A1411" s="23" t="s">
        <v>2823</v>
      </c>
      <c r="B1411" s="23" t="s">
        <v>2824</v>
      </c>
      <c r="C1411" s="23">
        <v>2408</v>
      </c>
      <c r="I1411" s="3" t="str">
        <f>+IFERROR(VLOOKUP(C1411,'Mov 2023 hasta ahora '!$C$2:$D$314,2,FALSE),"NO")</f>
        <v>NO</v>
      </c>
      <c r="K1411">
        <v>6</v>
      </c>
      <c r="L1411" t="s">
        <v>836</v>
      </c>
      <c r="M1411">
        <v>24</v>
      </c>
      <c r="O1411" s="29" t="s">
        <v>8691</v>
      </c>
      <c r="P1411" s="25" t="s">
        <v>8687</v>
      </c>
      <c r="Q1411" s="25">
        <v>1228</v>
      </c>
      <c r="R1411" t="s">
        <v>436</v>
      </c>
    </row>
    <row r="1412" spans="1:18" hidden="1">
      <c r="A1412" s="23" t="s">
        <v>2825</v>
      </c>
      <c r="B1412" s="23" t="s">
        <v>2826</v>
      </c>
      <c r="C1412" s="23">
        <v>2409</v>
      </c>
      <c r="I1412" s="3" t="str">
        <f>+IFERROR(VLOOKUP(C1412,'Mov 2023 hasta ahora '!$C$2:$D$314,2,FALSE),"NO")</f>
        <v>NO</v>
      </c>
      <c r="K1412">
        <v>6</v>
      </c>
      <c r="L1412" t="s">
        <v>836</v>
      </c>
      <c r="M1412">
        <v>24</v>
      </c>
      <c r="O1412" s="29" t="s">
        <v>8691</v>
      </c>
      <c r="P1412" s="25" t="s">
        <v>8687</v>
      </c>
      <c r="Q1412" s="25">
        <v>1228</v>
      </c>
      <c r="R1412" t="s">
        <v>436</v>
      </c>
    </row>
    <row r="1413" spans="1:18" hidden="1">
      <c r="A1413" s="23" t="s">
        <v>2827</v>
      </c>
      <c r="B1413" s="23" t="s">
        <v>2828</v>
      </c>
      <c r="C1413" s="23">
        <v>2410</v>
      </c>
      <c r="I1413" s="3" t="str">
        <f>+IFERROR(VLOOKUP(C1413,'Mov 2023 hasta ahora '!$C$2:$D$314,2,FALSE),"NO")</f>
        <v>NO</v>
      </c>
      <c r="K1413">
        <v>6</v>
      </c>
      <c r="L1413" t="s">
        <v>836</v>
      </c>
      <c r="M1413">
        <v>24</v>
      </c>
      <c r="O1413" s="29" t="s">
        <v>8691</v>
      </c>
      <c r="P1413" s="25" t="s">
        <v>8687</v>
      </c>
      <c r="Q1413" s="25">
        <v>1228</v>
      </c>
      <c r="R1413" t="s">
        <v>436</v>
      </c>
    </row>
    <row r="1414" spans="1:18" hidden="1">
      <c r="A1414" s="23" t="s">
        <v>2829</v>
      </c>
      <c r="B1414" s="23" t="s">
        <v>2830</v>
      </c>
      <c r="C1414" s="23">
        <v>2412</v>
      </c>
      <c r="I1414" s="3" t="str">
        <f>+IFERROR(VLOOKUP(C1414,'Mov 2023 hasta ahora '!$C$2:$D$314,2,FALSE),"NO")</f>
        <v>NO</v>
      </c>
      <c r="K1414">
        <v>6</v>
      </c>
      <c r="L1414" t="s">
        <v>836</v>
      </c>
      <c r="M1414">
        <v>24</v>
      </c>
      <c r="O1414" s="29" t="s">
        <v>8691</v>
      </c>
      <c r="P1414" s="25" t="s">
        <v>8687</v>
      </c>
      <c r="Q1414" s="25">
        <v>1228</v>
      </c>
      <c r="R1414" t="s">
        <v>436</v>
      </c>
    </row>
    <row r="1415" spans="1:18" hidden="1">
      <c r="A1415" s="23" t="s">
        <v>2831</v>
      </c>
      <c r="B1415" s="23" t="s">
        <v>2832</v>
      </c>
      <c r="C1415" s="23">
        <v>2411</v>
      </c>
      <c r="I1415" s="3" t="str">
        <f>+IFERROR(VLOOKUP(C1415,'Mov 2023 hasta ahora '!$C$2:$D$314,2,FALSE),"NO")</f>
        <v>NO</v>
      </c>
      <c r="K1415">
        <v>6</v>
      </c>
      <c r="L1415" t="s">
        <v>836</v>
      </c>
      <c r="M1415">
        <v>24</v>
      </c>
      <c r="O1415" s="29" t="s">
        <v>8691</v>
      </c>
      <c r="P1415" s="25" t="s">
        <v>8687</v>
      </c>
      <c r="Q1415" s="25">
        <v>1228</v>
      </c>
      <c r="R1415" t="s">
        <v>436</v>
      </c>
    </row>
    <row r="1416" spans="1:18" hidden="1">
      <c r="A1416" s="23" t="s">
        <v>2833</v>
      </c>
      <c r="B1416" s="23" t="s">
        <v>2834</v>
      </c>
      <c r="C1416" s="23">
        <v>2413</v>
      </c>
      <c r="I1416" s="3" t="str">
        <f>+IFERROR(VLOOKUP(C1416,'Mov 2023 hasta ahora '!$C$2:$D$314,2,FALSE),"NO")</f>
        <v>NO</v>
      </c>
      <c r="K1416">
        <v>6</v>
      </c>
      <c r="L1416" t="s">
        <v>836</v>
      </c>
      <c r="M1416">
        <v>24</v>
      </c>
      <c r="O1416" s="29" t="s">
        <v>8861</v>
      </c>
      <c r="P1416" s="25" t="s">
        <v>8868</v>
      </c>
      <c r="Q1416" s="25">
        <v>1419</v>
      </c>
      <c r="R1416" t="s">
        <v>436</v>
      </c>
    </row>
    <row r="1417" spans="1:18" hidden="1">
      <c r="A1417" s="23" t="s">
        <v>2835</v>
      </c>
      <c r="B1417" s="23" t="s">
        <v>2836</v>
      </c>
      <c r="C1417" s="23">
        <v>2414</v>
      </c>
      <c r="I1417" s="3" t="str">
        <f>+IFERROR(VLOOKUP(C1417,'Mov 2023 hasta ahora '!$C$2:$D$314,2,FALSE),"NO")</f>
        <v>NO</v>
      </c>
      <c r="K1417">
        <v>6</v>
      </c>
      <c r="L1417" t="s">
        <v>836</v>
      </c>
      <c r="M1417">
        <v>24</v>
      </c>
      <c r="O1417" s="29" t="s">
        <v>8691</v>
      </c>
      <c r="P1417" s="25" t="s">
        <v>8687</v>
      </c>
      <c r="Q1417" s="25">
        <v>1228</v>
      </c>
      <c r="R1417" t="s">
        <v>436</v>
      </c>
    </row>
    <row r="1418" spans="1:18" hidden="1">
      <c r="A1418" t="s">
        <v>2837</v>
      </c>
      <c r="B1418" t="s">
        <v>2838</v>
      </c>
      <c r="I1418" s="3" t="str">
        <f>+IFERROR(VLOOKUP(C1418,'Mov 2023 hasta ahora '!$C$2:$D$314,2,FALSE),"NO")</f>
        <v>NO</v>
      </c>
      <c r="K1418">
        <v>3</v>
      </c>
      <c r="L1418" t="s">
        <v>836</v>
      </c>
      <c r="M1418">
        <v>10</v>
      </c>
    </row>
    <row r="1419" spans="1:18" hidden="1">
      <c r="A1419" t="s">
        <v>2839</v>
      </c>
      <c r="B1419" t="s">
        <v>2840</v>
      </c>
      <c r="I1419" s="3" t="str">
        <f>+IFERROR(VLOOKUP(C1419,'Mov 2023 hasta ahora '!$C$2:$D$314,2,FALSE),"NO")</f>
        <v>NO</v>
      </c>
      <c r="K1419">
        <v>4</v>
      </c>
      <c r="L1419" t="s">
        <v>836</v>
      </c>
      <c r="M1419">
        <v>14</v>
      </c>
    </row>
    <row r="1420" spans="1:18" hidden="1">
      <c r="A1420" t="s">
        <v>2841</v>
      </c>
      <c r="B1420" t="s">
        <v>2842</v>
      </c>
      <c r="I1420" s="3" t="str">
        <f>+IFERROR(VLOOKUP(C1420,'Mov 2023 hasta ahora '!$C$2:$D$314,2,FALSE),"NO")</f>
        <v>NO</v>
      </c>
      <c r="K1420">
        <v>5</v>
      </c>
      <c r="L1420" t="s">
        <v>836</v>
      </c>
      <c r="M1420">
        <v>18</v>
      </c>
    </row>
    <row r="1421" spans="1:18" hidden="1">
      <c r="A1421" s="23" t="s">
        <v>2843</v>
      </c>
      <c r="B1421" s="23" t="s">
        <v>2844</v>
      </c>
      <c r="C1421" s="23">
        <v>2415</v>
      </c>
      <c r="I1421" s="3" t="str">
        <f>+IFERROR(VLOOKUP(C1421,'Mov 2023 hasta ahora '!$C$2:$D$314,2,FALSE),"NO")</f>
        <v>NO</v>
      </c>
      <c r="K1421">
        <v>6</v>
      </c>
      <c r="L1421" t="s">
        <v>836</v>
      </c>
      <c r="M1421">
        <v>24</v>
      </c>
      <c r="O1421" s="29" t="s">
        <v>8691</v>
      </c>
      <c r="P1421" s="25" t="s">
        <v>8687</v>
      </c>
      <c r="Q1421" s="25">
        <v>1228</v>
      </c>
      <c r="R1421" t="s">
        <v>436</v>
      </c>
    </row>
    <row r="1422" spans="1:18" hidden="1">
      <c r="A1422" s="23" t="s">
        <v>2845</v>
      </c>
      <c r="B1422" s="23" t="s">
        <v>2846</v>
      </c>
      <c r="C1422" s="23">
        <v>2416</v>
      </c>
      <c r="I1422" s="3" t="str">
        <f>+IFERROR(VLOOKUP(C1422,'Mov 2023 hasta ahora '!$C$2:$D$314,2,FALSE),"NO")</f>
        <v>NO</v>
      </c>
      <c r="K1422">
        <v>6</v>
      </c>
      <c r="L1422" t="s">
        <v>836</v>
      </c>
      <c r="M1422">
        <v>24</v>
      </c>
      <c r="O1422" s="29" t="s">
        <v>8691</v>
      </c>
      <c r="P1422" s="25" t="s">
        <v>8687</v>
      </c>
      <c r="Q1422" s="25">
        <v>1228</v>
      </c>
      <c r="R1422" t="s">
        <v>436</v>
      </c>
    </row>
    <row r="1423" spans="1:18" hidden="1">
      <c r="A1423" s="23" t="s">
        <v>2847</v>
      </c>
      <c r="B1423" s="23" t="s">
        <v>2848</v>
      </c>
      <c r="C1423" s="23">
        <v>2417</v>
      </c>
      <c r="I1423" s="3" t="str">
        <f>+IFERROR(VLOOKUP(C1423,'Mov 2023 hasta ahora '!$C$2:$D$314,2,FALSE),"NO")</f>
        <v>NO</v>
      </c>
      <c r="K1423">
        <v>6</v>
      </c>
      <c r="L1423" t="s">
        <v>836</v>
      </c>
      <c r="M1423">
        <v>24</v>
      </c>
      <c r="O1423" s="29" t="s">
        <v>8691</v>
      </c>
      <c r="P1423" s="25" t="s">
        <v>8687</v>
      </c>
      <c r="Q1423" s="25">
        <v>1228</v>
      </c>
      <c r="R1423" t="s">
        <v>436</v>
      </c>
    </row>
    <row r="1424" spans="1:18" hidden="1">
      <c r="A1424" s="23" t="s">
        <v>2849</v>
      </c>
      <c r="B1424" s="23" t="s">
        <v>2850</v>
      </c>
      <c r="C1424" s="23">
        <v>2418</v>
      </c>
      <c r="I1424" s="3" t="str">
        <f>+IFERROR(VLOOKUP(C1424,'Mov 2023 hasta ahora '!$C$2:$D$314,2,FALSE),"NO")</f>
        <v>NO</v>
      </c>
      <c r="K1424">
        <v>6</v>
      </c>
      <c r="L1424" t="s">
        <v>836</v>
      </c>
      <c r="M1424">
        <v>24</v>
      </c>
      <c r="O1424" s="29" t="s">
        <v>8691</v>
      </c>
      <c r="P1424" s="25" t="s">
        <v>8687</v>
      </c>
      <c r="Q1424" s="25">
        <v>1228</v>
      </c>
      <c r="R1424" t="s">
        <v>436</v>
      </c>
    </row>
    <row r="1425" spans="1:18" hidden="1">
      <c r="A1425" s="23" t="s">
        <v>2851</v>
      </c>
      <c r="B1425" s="23" t="s">
        <v>2852</v>
      </c>
      <c r="C1425" s="23">
        <v>2420</v>
      </c>
      <c r="I1425" s="3" t="str">
        <f>+IFERROR(VLOOKUP(C1425,'Mov 2023 hasta ahora '!$C$2:$D$314,2,FALSE),"NO")</f>
        <v>NO</v>
      </c>
      <c r="K1425">
        <v>6</v>
      </c>
      <c r="L1425" t="s">
        <v>836</v>
      </c>
      <c r="M1425">
        <v>24</v>
      </c>
      <c r="O1425" s="29" t="s">
        <v>8691</v>
      </c>
      <c r="P1425" s="25" t="s">
        <v>8687</v>
      </c>
      <c r="Q1425" s="25">
        <v>1228</v>
      </c>
      <c r="R1425" t="s">
        <v>436</v>
      </c>
    </row>
    <row r="1426" spans="1:18" hidden="1">
      <c r="A1426" s="23" t="s">
        <v>2853</v>
      </c>
      <c r="B1426" s="23" t="s">
        <v>2854</v>
      </c>
      <c r="C1426" s="23">
        <v>2419</v>
      </c>
      <c r="I1426" s="3" t="str">
        <f>+IFERROR(VLOOKUP(C1426,'Mov 2023 hasta ahora '!$C$2:$D$314,2,FALSE),"NO")</f>
        <v>NO</v>
      </c>
      <c r="K1426">
        <v>6</v>
      </c>
      <c r="L1426" t="s">
        <v>836</v>
      </c>
      <c r="M1426">
        <v>24</v>
      </c>
      <c r="O1426" s="29" t="s">
        <v>8691</v>
      </c>
      <c r="P1426" s="25" t="s">
        <v>8687</v>
      </c>
      <c r="Q1426" s="25">
        <v>1228</v>
      </c>
      <c r="R1426" t="s">
        <v>436</v>
      </c>
    </row>
    <row r="1427" spans="1:18" hidden="1">
      <c r="A1427" s="23" t="s">
        <v>2855</v>
      </c>
      <c r="B1427" s="23" t="s">
        <v>2856</v>
      </c>
      <c r="C1427" s="23">
        <v>2421</v>
      </c>
      <c r="I1427" s="3" t="str">
        <f>+IFERROR(VLOOKUP(C1427,'Mov 2023 hasta ahora '!$C$2:$D$314,2,FALSE),"NO")</f>
        <v>NO</v>
      </c>
      <c r="K1427">
        <v>6</v>
      </c>
      <c r="L1427" t="s">
        <v>836</v>
      </c>
      <c r="M1427">
        <v>24</v>
      </c>
      <c r="O1427" s="29" t="s">
        <v>8861</v>
      </c>
      <c r="P1427" s="25" t="s">
        <v>8868</v>
      </c>
      <c r="Q1427" s="25">
        <v>1419</v>
      </c>
      <c r="R1427" t="s">
        <v>436</v>
      </c>
    </row>
    <row r="1428" spans="1:18" hidden="1">
      <c r="A1428" s="23" t="s">
        <v>2857</v>
      </c>
      <c r="B1428" s="23" t="s">
        <v>2858</v>
      </c>
      <c r="C1428" s="23">
        <v>2422</v>
      </c>
      <c r="I1428" s="3" t="str">
        <f>+IFERROR(VLOOKUP(C1428,'Mov 2023 hasta ahora '!$C$2:$D$314,2,FALSE),"NO")</f>
        <v>NO</v>
      </c>
      <c r="K1428">
        <v>6</v>
      </c>
      <c r="L1428" t="s">
        <v>836</v>
      </c>
      <c r="M1428">
        <v>24</v>
      </c>
      <c r="O1428" s="29" t="s">
        <v>8691</v>
      </c>
      <c r="P1428" s="25" t="s">
        <v>8687</v>
      </c>
      <c r="Q1428" s="25">
        <v>1228</v>
      </c>
      <c r="R1428" t="s">
        <v>436</v>
      </c>
    </row>
    <row r="1429" spans="1:18" hidden="1">
      <c r="A1429" t="s">
        <v>2859</v>
      </c>
      <c r="B1429" t="s">
        <v>2860</v>
      </c>
      <c r="I1429" s="3" t="str">
        <f>+IFERROR(VLOOKUP(C1429,'Mov 2023 hasta ahora '!$C$2:$D$314,2,FALSE),"NO")</f>
        <v>NO</v>
      </c>
      <c r="K1429">
        <v>3</v>
      </c>
      <c r="L1429" t="s">
        <v>836</v>
      </c>
      <c r="M1429">
        <v>10</v>
      </c>
    </row>
    <row r="1430" spans="1:18" hidden="1">
      <c r="A1430" t="s">
        <v>2861</v>
      </c>
      <c r="B1430" t="s">
        <v>2862</v>
      </c>
      <c r="I1430" s="3" t="str">
        <f>+IFERROR(VLOOKUP(C1430,'Mov 2023 hasta ahora '!$C$2:$D$314,2,FALSE),"NO")</f>
        <v>NO</v>
      </c>
      <c r="K1430">
        <v>4</v>
      </c>
      <c r="L1430" t="s">
        <v>836</v>
      </c>
      <c r="M1430">
        <v>14</v>
      </c>
    </row>
    <row r="1431" spans="1:18" hidden="1">
      <c r="A1431" t="s">
        <v>2863</v>
      </c>
      <c r="B1431" t="s">
        <v>2864</v>
      </c>
      <c r="I1431" s="3" t="str">
        <f>+IFERROR(VLOOKUP(C1431,'Mov 2023 hasta ahora '!$C$2:$D$314,2,FALSE),"NO")</f>
        <v>NO</v>
      </c>
      <c r="K1431">
        <v>5</v>
      </c>
      <c r="L1431" t="s">
        <v>836</v>
      </c>
      <c r="M1431">
        <v>18</v>
      </c>
    </row>
    <row r="1432" spans="1:18" hidden="1">
      <c r="A1432" s="23" t="s">
        <v>2865</v>
      </c>
      <c r="B1432" s="23" t="s">
        <v>2866</v>
      </c>
      <c r="C1432" s="23">
        <v>2439</v>
      </c>
      <c r="I1432" s="3" t="str">
        <f>+IFERROR(VLOOKUP(C1432,'Mov 2023 hasta ahora '!$C$2:$D$314,2,FALSE),"NO")</f>
        <v>NO</v>
      </c>
      <c r="K1432">
        <v>6</v>
      </c>
      <c r="L1432" t="s">
        <v>836</v>
      </c>
      <c r="M1432">
        <v>24</v>
      </c>
      <c r="O1432" s="29" t="s">
        <v>8691</v>
      </c>
      <c r="P1432" s="25" t="s">
        <v>8687</v>
      </c>
      <c r="Q1432" s="25">
        <v>1228</v>
      </c>
      <c r="R1432" t="s">
        <v>436</v>
      </c>
    </row>
    <row r="1433" spans="1:18" hidden="1">
      <c r="A1433" s="23" t="s">
        <v>2867</v>
      </c>
      <c r="B1433" s="23" t="s">
        <v>2868</v>
      </c>
      <c r="C1433" s="23">
        <v>2440</v>
      </c>
      <c r="I1433" s="3" t="str">
        <f>+IFERROR(VLOOKUP(C1433,'Mov 2023 hasta ahora '!$C$2:$D$314,2,FALSE),"NO")</f>
        <v>NO</v>
      </c>
      <c r="K1433">
        <v>6</v>
      </c>
      <c r="L1433" t="s">
        <v>836</v>
      </c>
      <c r="M1433">
        <v>24</v>
      </c>
      <c r="O1433" s="29" t="s">
        <v>8691</v>
      </c>
      <c r="P1433" s="25" t="s">
        <v>8687</v>
      </c>
      <c r="Q1433" s="25">
        <v>1228</v>
      </c>
      <c r="R1433" t="s">
        <v>436</v>
      </c>
    </row>
    <row r="1434" spans="1:18" hidden="1">
      <c r="A1434" s="23" t="s">
        <v>2869</v>
      </c>
      <c r="B1434" s="23" t="s">
        <v>2870</v>
      </c>
      <c r="C1434" s="23">
        <v>2441</v>
      </c>
      <c r="I1434" s="3" t="str">
        <f>+IFERROR(VLOOKUP(C1434,'Mov 2023 hasta ahora '!$C$2:$D$314,2,FALSE),"NO")</f>
        <v>NO</v>
      </c>
      <c r="K1434">
        <v>6</v>
      </c>
      <c r="L1434" t="s">
        <v>836</v>
      </c>
      <c r="M1434">
        <v>24</v>
      </c>
      <c r="O1434" s="29" t="s">
        <v>8691</v>
      </c>
      <c r="P1434" s="25" t="s">
        <v>8687</v>
      </c>
      <c r="Q1434" s="25">
        <v>1228</v>
      </c>
      <c r="R1434" t="s">
        <v>436</v>
      </c>
    </row>
    <row r="1435" spans="1:18" hidden="1">
      <c r="A1435" s="23" t="s">
        <v>2871</v>
      </c>
      <c r="B1435" s="23" t="s">
        <v>2872</v>
      </c>
      <c r="C1435" s="23">
        <v>2442</v>
      </c>
      <c r="I1435" s="3" t="str">
        <f>+IFERROR(VLOOKUP(C1435,'Mov 2023 hasta ahora '!$C$2:$D$314,2,FALSE),"NO")</f>
        <v>NO</v>
      </c>
      <c r="K1435">
        <v>6</v>
      </c>
      <c r="L1435" t="s">
        <v>836</v>
      </c>
      <c r="M1435">
        <v>24</v>
      </c>
      <c r="O1435" s="29" t="s">
        <v>8691</v>
      </c>
      <c r="P1435" s="25" t="s">
        <v>8687</v>
      </c>
      <c r="Q1435" s="25">
        <v>1228</v>
      </c>
      <c r="R1435" t="s">
        <v>436</v>
      </c>
    </row>
    <row r="1436" spans="1:18" hidden="1">
      <c r="A1436" s="23" t="s">
        <v>2873</v>
      </c>
      <c r="B1436" s="23" t="s">
        <v>2874</v>
      </c>
      <c r="C1436" s="23">
        <v>2444</v>
      </c>
      <c r="I1436" s="3" t="str">
        <f>+IFERROR(VLOOKUP(C1436,'Mov 2023 hasta ahora '!$C$2:$D$314,2,FALSE),"NO")</f>
        <v>NO</v>
      </c>
      <c r="K1436">
        <v>6</v>
      </c>
      <c r="L1436" t="s">
        <v>836</v>
      </c>
      <c r="M1436">
        <v>24</v>
      </c>
      <c r="O1436" s="29" t="s">
        <v>8691</v>
      </c>
      <c r="P1436" s="25" t="s">
        <v>8687</v>
      </c>
      <c r="Q1436" s="25">
        <v>1228</v>
      </c>
      <c r="R1436" t="s">
        <v>436</v>
      </c>
    </row>
    <row r="1437" spans="1:18" hidden="1">
      <c r="A1437" s="23" t="s">
        <v>2875</v>
      </c>
      <c r="B1437" s="23" t="s">
        <v>2876</v>
      </c>
      <c r="C1437" s="23">
        <v>2443</v>
      </c>
      <c r="I1437" s="3" t="str">
        <f>+IFERROR(VLOOKUP(C1437,'Mov 2023 hasta ahora '!$C$2:$D$314,2,FALSE),"NO")</f>
        <v>NO</v>
      </c>
      <c r="K1437">
        <v>6</v>
      </c>
      <c r="L1437" t="s">
        <v>836</v>
      </c>
      <c r="M1437">
        <v>24</v>
      </c>
      <c r="O1437" s="29" t="s">
        <v>8691</v>
      </c>
      <c r="P1437" s="25" t="s">
        <v>8687</v>
      </c>
      <c r="Q1437" s="25">
        <v>1228</v>
      </c>
      <c r="R1437" t="s">
        <v>436</v>
      </c>
    </row>
    <row r="1438" spans="1:18" hidden="1">
      <c r="A1438" s="23" t="s">
        <v>2877</v>
      </c>
      <c r="B1438" s="23" t="s">
        <v>2878</v>
      </c>
      <c r="C1438" s="23">
        <v>2445</v>
      </c>
      <c r="I1438" s="3" t="str">
        <f>+IFERROR(VLOOKUP(C1438,'Mov 2023 hasta ahora '!$C$2:$D$314,2,FALSE),"NO")</f>
        <v>NO</v>
      </c>
      <c r="K1438">
        <v>6</v>
      </c>
      <c r="L1438" t="s">
        <v>836</v>
      </c>
      <c r="M1438">
        <v>24</v>
      </c>
      <c r="O1438" s="29" t="s">
        <v>8861</v>
      </c>
      <c r="P1438" s="25" t="s">
        <v>8868</v>
      </c>
      <c r="Q1438" s="25">
        <v>1419</v>
      </c>
      <c r="R1438" t="s">
        <v>436</v>
      </c>
    </row>
    <row r="1439" spans="1:18" hidden="1">
      <c r="A1439" s="23" t="s">
        <v>2879</v>
      </c>
      <c r="B1439" s="23" t="s">
        <v>2880</v>
      </c>
      <c r="C1439" s="23">
        <v>2446</v>
      </c>
      <c r="I1439" s="3" t="str">
        <f>+IFERROR(VLOOKUP(C1439,'Mov 2023 hasta ahora '!$C$2:$D$314,2,FALSE),"NO")</f>
        <v>NO</v>
      </c>
      <c r="K1439">
        <v>6</v>
      </c>
      <c r="L1439" t="s">
        <v>836</v>
      </c>
      <c r="M1439">
        <v>24</v>
      </c>
      <c r="O1439" s="29" t="s">
        <v>8691</v>
      </c>
      <c r="P1439" s="25" t="s">
        <v>8687</v>
      </c>
      <c r="Q1439" s="25">
        <v>1228</v>
      </c>
      <c r="R1439" t="s">
        <v>436</v>
      </c>
    </row>
    <row r="1440" spans="1:18" hidden="1">
      <c r="A1440" t="s">
        <v>2881</v>
      </c>
      <c r="B1440" t="s">
        <v>2882</v>
      </c>
      <c r="I1440" s="3" t="str">
        <f>+IFERROR(VLOOKUP(C1440,'Mov 2023 hasta ahora '!$C$2:$D$314,2,FALSE),"NO")</f>
        <v>NO</v>
      </c>
      <c r="K1440">
        <v>3</v>
      </c>
      <c r="L1440" t="s">
        <v>836</v>
      </c>
      <c r="M1440">
        <v>10</v>
      </c>
    </row>
    <row r="1441" spans="1:18" hidden="1">
      <c r="A1441" t="s">
        <v>2883</v>
      </c>
      <c r="B1441" t="s">
        <v>2884</v>
      </c>
      <c r="I1441" s="3" t="str">
        <f>+IFERROR(VLOOKUP(C1441,'Mov 2023 hasta ahora '!$C$2:$D$314,2,FALSE),"NO")</f>
        <v>NO</v>
      </c>
      <c r="K1441">
        <v>4</v>
      </c>
      <c r="L1441" t="s">
        <v>836</v>
      </c>
      <c r="M1441">
        <v>14</v>
      </c>
    </row>
    <row r="1442" spans="1:18" hidden="1">
      <c r="A1442" t="s">
        <v>2885</v>
      </c>
      <c r="B1442" t="s">
        <v>2886</v>
      </c>
      <c r="I1442" s="3" t="str">
        <f>+IFERROR(VLOOKUP(C1442,'Mov 2023 hasta ahora '!$C$2:$D$314,2,FALSE),"NO")</f>
        <v>NO</v>
      </c>
      <c r="K1442">
        <v>5</v>
      </c>
      <c r="L1442" t="s">
        <v>836</v>
      </c>
      <c r="M1442">
        <v>18</v>
      </c>
    </row>
    <row r="1443" spans="1:18" hidden="1">
      <c r="A1443" s="23" t="s">
        <v>2887</v>
      </c>
      <c r="B1443" s="23" t="s">
        <v>2888</v>
      </c>
      <c r="C1443" s="23">
        <v>2423</v>
      </c>
      <c r="I1443" s="3" t="str">
        <f>+IFERROR(VLOOKUP(C1443,'Mov 2023 hasta ahora '!$C$2:$D$314,2,FALSE),"NO")</f>
        <v>NO</v>
      </c>
      <c r="K1443">
        <v>6</v>
      </c>
      <c r="L1443" t="s">
        <v>836</v>
      </c>
      <c r="M1443">
        <v>24</v>
      </c>
      <c r="O1443" s="29" t="s">
        <v>8691</v>
      </c>
      <c r="P1443" s="25" t="s">
        <v>8687</v>
      </c>
      <c r="Q1443" s="25">
        <v>1228</v>
      </c>
      <c r="R1443" t="s">
        <v>436</v>
      </c>
    </row>
    <row r="1444" spans="1:18" hidden="1">
      <c r="A1444" s="23" t="s">
        <v>2889</v>
      </c>
      <c r="B1444" s="23" t="s">
        <v>2890</v>
      </c>
      <c r="C1444" s="23">
        <v>2424</v>
      </c>
      <c r="I1444" s="3" t="str">
        <f>+IFERROR(VLOOKUP(C1444,'Mov 2023 hasta ahora '!$C$2:$D$314,2,FALSE),"NO")</f>
        <v>NO</v>
      </c>
      <c r="K1444">
        <v>6</v>
      </c>
      <c r="L1444" t="s">
        <v>836</v>
      </c>
      <c r="M1444">
        <v>24</v>
      </c>
      <c r="O1444" s="29" t="s">
        <v>8691</v>
      </c>
      <c r="P1444" s="25" t="s">
        <v>8687</v>
      </c>
      <c r="Q1444" s="25">
        <v>1228</v>
      </c>
      <c r="R1444" t="s">
        <v>436</v>
      </c>
    </row>
    <row r="1445" spans="1:18" hidden="1">
      <c r="A1445" s="23" t="s">
        <v>2891</v>
      </c>
      <c r="B1445" s="23" t="s">
        <v>2892</v>
      </c>
      <c r="C1445" s="23">
        <v>2425</v>
      </c>
      <c r="I1445" s="3" t="str">
        <f>+IFERROR(VLOOKUP(C1445,'Mov 2023 hasta ahora '!$C$2:$D$314,2,FALSE),"NO")</f>
        <v>NO</v>
      </c>
      <c r="K1445">
        <v>6</v>
      </c>
      <c r="L1445" t="s">
        <v>836</v>
      </c>
      <c r="M1445">
        <v>24</v>
      </c>
      <c r="O1445" s="29" t="s">
        <v>8691</v>
      </c>
      <c r="P1445" s="25" t="s">
        <v>8687</v>
      </c>
      <c r="Q1445" s="25">
        <v>1228</v>
      </c>
      <c r="R1445" t="s">
        <v>436</v>
      </c>
    </row>
    <row r="1446" spans="1:18" hidden="1">
      <c r="A1446" s="23" t="s">
        <v>2893</v>
      </c>
      <c r="B1446" s="23" t="s">
        <v>2894</v>
      </c>
      <c r="C1446" s="23">
        <v>2426</v>
      </c>
      <c r="I1446" s="3" t="str">
        <f>+IFERROR(VLOOKUP(C1446,'Mov 2023 hasta ahora '!$C$2:$D$314,2,FALSE),"NO")</f>
        <v>NO</v>
      </c>
      <c r="K1446">
        <v>6</v>
      </c>
      <c r="L1446" t="s">
        <v>836</v>
      </c>
      <c r="M1446">
        <v>24</v>
      </c>
      <c r="O1446" s="29" t="s">
        <v>8691</v>
      </c>
      <c r="P1446" s="25" t="s">
        <v>8687</v>
      </c>
      <c r="Q1446" s="25">
        <v>1228</v>
      </c>
      <c r="R1446" t="s">
        <v>436</v>
      </c>
    </row>
    <row r="1447" spans="1:18" hidden="1">
      <c r="A1447" s="23" t="s">
        <v>2895</v>
      </c>
      <c r="B1447" s="23" t="s">
        <v>2896</v>
      </c>
      <c r="C1447" s="23">
        <v>2428</v>
      </c>
      <c r="I1447" s="3">
        <f>+IFERROR(VLOOKUP(C1447,'Mov 2023 hasta ahora '!$C$2:$D$314,2,FALSE),"NO")</f>
        <v>3</v>
      </c>
      <c r="K1447">
        <v>6</v>
      </c>
      <c r="L1447" t="s">
        <v>836</v>
      </c>
      <c r="M1447">
        <v>24</v>
      </c>
      <c r="O1447" s="29" t="s">
        <v>8691</v>
      </c>
      <c r="P1447" s="25" t="s">
        <v>8687</v>
      </c>
      <c r="Q1447" s="25">
        <v>1228</v>
      </c>
      <c r="R1447" t="s">
        <v>436</v>
      </c>
    </row>
    <row r="1448" spans="1:18" hidden="1">
      <c r="A1448" s="23" t="s">
        <v>2897</v>
      </c>
      <c r="B1448" s="23" t="s">
        <v>2898</v>
      </c>
      <c r="C1448" s="23">
        <v>2427</v>
      </c>
      <c r="I1448" s="3" t="str">
        <f>+IFERROR(VLOOKUP(C1448,'Mov 2023 hasta ahora '!$C$2:$D$314,2,FALSE),"NO")</f>
        <v>NO</v>
      </c>
      <c r="K1448">
        <v>6</v>
      </c>
      <c r="L1448" t="s">
        <v>836</v>
      </c>
      <c r="M1448">
        <v>24</v>
      </c>
      <c r="O1448" s="29" t="s">
        <v>8691</v>
      </c>
      <c r="P1448" s="25" t="s">
        <v>8687</v>
      </c>
      <c r="Q1448" s="25">
        <v>1228</v>
      </c>
      <c r="R1448" t="s">
        <v>436</v>
      </c>
    </row>
    <row r="1449" spans="1:18" hidden="1">
      <c r="A1449" s="23" t="s">
        <v>2899</v>
      </c>
      <c r="B1449" s="23" t="s">
        <v>2900</v>
      </c>
      <c r="C1449" s="23">
        <v>2429</v>
      </c>
      <c r="I1449" s="3" t="str">
        <f>+IFERROR(VLOOKUP(C1449,'Mov 2023 hasta ahora '!$C$2:$D$314,2,FALSE),"NO")</f>
        <v>NO</v>
      </c>
      <c r="K1449">
        <v>6</v>
      </c>
      <c r="L1449" t="s">
        <v>836</v>
      </c>
      <c r="M1449">
        <v>24</v>
      </c>
      <c r="O1449" s="29" t="s">
        <v>8861</v>
      </c>
      <c r="P1449" s="25" t="s">
        <v>8868</v>
      </c>
      <c r="Q1449" s="25">
        <v>1419</v>
      </c>
      <c r="R1449" t="s">
        <v>436</v>
      </c>
    </row>
    <row r="1450" spans="1:18" hidden="1">
      <c r="A1450" s="23" t="s">
        <v>2901</v>
      </c>
      <c r="B1450" s="23" t="s">
        <v>2902</v>
      </c>
      <c r="C1450" s="23">
        <v>2430</v>
      </c>
      <c r="I1450" s="3" t="str">
        <f>+IFERROR(VLOOKUP(C1450,'Mov 2023 hasta ahora '!$C$2:$D$314,2,FALSE),"NO")</f>
        <v>NO</v>
      </c>
      <c r="K1450">
        <v>6</v>
      </c>
      <c r="L1450" t="s">
        <v>836</v>
      </c>
      <c r="M1450">
        <v>24</v>
      </c>
      <c r="O1450" s="29" t="s">
        <v>8691</v>
      </c>
      <c r="P1450" s="25" t="s">
        <v>8687</v>
      </c>
      <c r="Q1450" s="25">
        <v>1228</v>
      </c>
      <c r="R1450" t="s">
        <v>436</v>
      </c>
    </row>
    <row r="1451" spans="1:18" hidden="1">
      <c r="A1451" t="s">
        <v>2903</v>
      </c>
      <c r="B1451" t="s">
        <v>2904</v>
      </c>
      <c r="I1451" s="3" t="str">
        <f>+IFERROR(VLOOKUP(C1451,'Mov 2023 hasta ahora '!$C$2:$D$314,2,FALSE),"NO")</f>
        <v>NO</v>
      </c>
      <c r="K1451">
        <v>3</v>
      </c>
      <c r="L1451" t="s">
        <v>836</v>
      </c>
      <c r="M1451">
        <v>10</v>
      </c>
    </row>
    <row r="1452" spans="1:18" hidden="1">
      <c r="A1452" t="s">
        <v>2905</v>
      </c>
      <c r="B1452" t="s">
        <v>2906</v>
      </c>
      <c r="I1452" s="3" t="str">
        <f>+IFERROR(VLOOKUP(C1452,'Mov 2023 hasta ahora '!$C$2:$D$314,2,FALSE),"NO")</f>
        <v>NO</v>
      </c>
      <c r="K1452">
        <v>4</v>
      </c>
      <c r="L1452" t="s">
        <v>836</v>
      </c>
      <c r="M1452">
        <v>14</v>
      </c>
    </row>
    <row r="1453" spans="1:18" hidden="1">
      <c r="A1453" t="s">
        <v>2907</v>
      </c>
      <c r="B1453" t="s">
        <v>2908</v>
      </c>
      <c r="I1453" s="3" t="str">
        <f>+IFERROR(VLOOKUP(C1453,'Mov 2023 hasta ahora '!$C$2:$D$314,2,FALSE),"NO")</f>
        <v>NO</v>
      </c>
      <c r="K1453">
        <v>5</v>
      </c>
      <c r="L1453" t="s">
        <v>836</v>
      </c>
      <c r="M1453">
        <v>18</v>
      </c>
    </row>
    <row r="1454" spans="1:18" hidden="1">
      <c r="A1454" s="23" t="s">
        <v>2909</v>
      </c>
      <c r="B1454" s="23" t="s">
        <v>2910</v>
      </c>
      <c r="C1454" s="23">
        <v>2431</v>
      </c>
      <c r="I1454" s="3" t="str">
        <f>+IFERROR(VLOOKUP(C1454,'Mov 2023 hasta ahora '!$C$2:$D$314,2,FALSE),"NO")</f>
        <v>NO</v>
      </c>
      <c r="K1454">
        <v>6</v>
      </c>
      <c r="L1454" t="s">
        <v>836</v>
      </c>
      <c r="M1454">
        <v>24</v>
      </c>
      <c r="O1454" s="29" t="s">
        <v>8691</v>
      </c>
      <c r="P1454" s="25" t="s">
        <v>8687</v>
      </c>
      <c r="Q1454" s="25">
        <v>1228</v>
      </c>
      <c r="R1454" t="s">
        <v>436</v>
      </c>
    </row>
    <row r="1455" spans="1:18" hidden="1">
      <c r="A1455" s="23" t="s">
        <v>2911</v>
      </c>
      <c r="B1455" s="23" t="s">
        <v>2912</v>
      </c>
      <c r="C1455" s="23">
        <v>2432</v>
      </c>
      <c r="I1455" s="3" t="str">
        <f>+IFERROR(VLOOKUP(C1455,'Mov 2023 hasta ahora '!$C$2:$D$314,2,FALSE),"NO")</f>
        <v>NO</v>
      </c>
      <c r="K1455">
        <v>6</v>
      </c>
      <c r="L1455" t="s">
        <v>836</v>
      </c>
      <c r="M1455">
        <v>24</v>
      </c>
      <c r="O1455" s="29" t="s">
        <v>8691</v>
      </c>
      <c r="P1455" s="25" t="s">
        <v>8687</v>
      </c>
      <c r="Q1455" s="25">
        <v>1228</v>
      </c>
      <c r="R1455" t="s">
        <v>436</v>
      </c>
    </row>
    <row r="1456" spans="1:18" hidden="1">
      <c r="A1456" s="23" t="s">
        <v>2913</v>
      </c>
      <c r="B1456" s="23" t="s">
        <v>2914</v>
      </c>
      <c r="C1456" s="23">
        <v>2433</v>
      </c>
      <c r="I1456" s="3" t="str">
        <f>+IFERROR(VLOOKUP(C1456,'Mov 2023 hasta ahora '!$C$2:$D$314,2,FALSE),"NO")</f>
        <v>NO</v>
      </c>
      <c r="K1456">
        <v>6</v>
      </c>
      <c r="L1456" t="s">
        <v>836</v>
      </c>
      <c r="M1456">
        <v>24</v>
      </c>
      <c r="O1456" s="29" t="s">
        <v>8691</v>
      </c>
      <c r="P1456" s="25" t="s">
        <v>8687</v>
      </c>
      <c r="Q1456" s="25">
        <v>1228</v>
      </c>
      <c r="R1456" t="s">
        <v>436</v>
      </c>
    </row>
    <row r="1457" spans="1:18" hidden="1">
      <c r="A1457" s="23" t="s">
        <v>2915</v>
      </c>
      <c r="B1457" s="23" t="s">
        <v>2916</v>
      </c>
      <c r="C1457" s="23">
        <v>2434</v>
      </c>
      <c r="I1457" s="3" t="str">
        <f>+IFERROR(VLOOKUP(C1457,'Mov 2023 hasta ahora '!$C$2:$D$314,2,FALSE),"NO")</f>
        <v>NO</v>
      </c>
      <c r="K1457">
        <v>6</v>
      </c>
      <c r="L1457" t="s">
        <v>836</v>
      </c>
      <c r="M1457">
        <v>24</v>
      </c>
      <c r="O1457" s="29" t="s">
        <v>8691</v>
      </c>
      <c r="P1457" s="25" t="s">
        <v>8687</v>
      </c>
      <c r="Q1457" s="25">
        <v>1228</v>
      </c>
      <c r="R1457" t="s">
        <v>436</v>
      </c>
    </row>
    <row r="1458" spans="1:18" hidden="1">
      <c r="A1458" s="23" t="s">
        <v>2917</v>
      </c>
      <c r="B1458" s="23" t="s">
        <v>2918</v>
      </c>
      <c r="C1458" s="23">
        <v>2436</v>
      </c>
      <c r="I1458" s="3" t="str">
        <f>+IFERROR(VLOOKUP(C1458,'Mov 2023 hasta ahora '!$C$2:$D$314,2,FALSE),"NO")</f>
        <v>NO</v>
      </c>
      <c r="K1458">
        <v>6</v>
      </c>
      <c r="L1458" t="s">
        <v>836</v>
      </c>
      <c r="M1458">
        <v>24</v>
      </c>
      <c r="O1458" s="29" t="s">
        <v>8691</v>
      </c>
      <c r="P1458" s="25" t="s">
        <v>8687</v>
      </c>
      <c r="Q1458" s="25">
        <v>1228</v>
      </c>
      <c r="R1458" t="s">
        <v>436</v>
      </c>
    </row>
    <row r="1459" spans="1:18" hidden="1">
      <c r="A1459" s="23" t="s">
        <v>2919</v>
      </c>
      <c r="B1459" s="23" t="s">
        <v>2920</v>
      </c>
      <c r="C1459" s="23">
        <v>2435</v>
      </c>
      <c r="I1459" s="3" t="str">
        <f>+IFERROR(VLOOKUP(C1459,'Mov 2023 hasta ahora '!$C$2:$D$314,2,FALSE),"NO")</f>
        <v>NO</v>
      </c>
      <c r="K1459">
        <v>6</v>
      </c>
      <c r="L1459" t="s">
        <v>836</v>
      </c>
      <c r="M1459">
        <v>24</v>
      </c>
      <c r="O1459" s="29" t="s">
        <v>8691</v>
      </c>
      <c r="P1459" s="25" t="s">
        <v>8687</v>
      </c>
      <c r="Q1459" s="25">
        <v>1228</v>
      </c>
      <c r="R1459" t="s">
        <v>436</v>
      </c>
    </row>
    <row r="1460" spans="1:18" hidden="1">
      <c r="A1460" s="23" t="s">
        <v>2921</v>
      </c>
      <c r="B1460" s="23" t="s">
        <v>2922</v>
      </c>
      <c r="C1460" s="23">
        <v>2437</v>
      </c>
      <c r="I1460" s="3" t="str">
        <f>+IFERROR(VLOOKUP(C1460,'Mov 2023 hasta ahora '!$C$2:$D$314,2,FALSE),"NO")</f>
        <v>NO</v>
      </c>
      <c r="K1460">
        <v>6</v>
      </c>
      <c r="L1460" t="s">
        <v>836</v>
      </c>
      <c r="M1460">
        <v>24</v>
      </c>
      <c r="O1460" s="29" t="s">
        <v>8861</v>
      </c>
      <c r="P1460" s="25" t="s">
        <v>8868</v>
      </c>
      <c r="Q1460" s="25">
        <v>1419</v>
      </c>
      <c r="R1460" t="s">
        <v>436</v>
      </c>
    </row>
    <row r="1461" spans="1:18" hidden="1">
      <c r="A1461" s="23" t="s">
        <v>2923</v>
      </c>
      <c r="B1461" s="23" t="s">
        <v>2924</v>
      </c>
      <c r="C1461" s="23">
        <v>2438</v>
      </c>
      <c r="I1461" s="3" t="str">
        <f>+IFERROR(VLOOKUP(C1461,'Mov 2023 hasta ahora '!$C$2:$D$314,2,FALSE),"NO")</f>
        <v>NO</v>
      </c>
      <c r="K1461">
        <v>6</v>
      </c>
      <c r="L1461" t="s">
        <v>836</v>
      </c>
      <c r="M1461">
        <v>24</v>
      </c>
      <c r="O1461" s="29" t="s">
        <v>8691</v>
      </c>
      <c r="P1461" s="25" t="s">
        <v>8687</v>
      </c>
      <c r="Q1461" s="25">
        <v>1228</v>
      </c>
      <c r="R1461" t="s">
        <v>436</v>
      </c>
    </row>
    <row r="1462" spans="1:18" hidden="1">
      <c r="A1462" t="s">
        <v>2925</v>
      </c>
      <c r="B1462" t="s">
        <v>926</v>
      </c>
      <c r="I1462" s="3" t="str">
        <f>+IFERROR(VLOOKUP(C1462,'Mov 2023 hasta ahora '!$C$2:$D$314,2,FALSE),"NO")</f>
        <v>NO</v>
      </c>
      <c r="K1462">
        <v>3</v>
      </c>
      <c r="L1462" t="s">
        <v>836</v>
      </c>
      <c r="M1462">
        <v>10</v>
      </c>
    </row>
    <row r="1463" spans="1:18" hidden="1">
      <c r="A1463" t="s">
        <v>2926</v>
      </c>
      <c r="B1463" t="s">
        <v>2927</v>
      </c>
      <c r="I1463" s="3" t="str">
        <f>+IFERROR(VLOOKUP(C1463,'Mov 2023 hasta ahora '!$C$2:$D$314,2,FALSE),"NO")</f>
        <v>NO</v>
      </c>
      <c r="K1463">
        <v>4</v>
      </c>
      <c r="L1463" t="s">
        <v>836</v>
      </c>
      <c r="M1463">
        <v>14</v>
      </c>
    </row>
    <row r="1464" spans="1:18" hidden="1">
      <c r="A1464" t="s">
        <v>2928</v>
      </c>
      <c r="B1464" t="s">
        <v>2929</v>
      </c>
      <c r="I1464" s="3" t="str">
        <f>+IFERROR(VLOOKUP(C1464,'Mov 2023 hasta ahora '!$C$2:$D$314,2,FALSE),"NO")</f>
        <v>NO</v>
      </c>
      <c r="K1464">
        <v>5</v>
      </c>
      <c r="L1464" t="s">
        <v>836</v>
      </c>
      <c r="M1464">
        <v>18</v>
      </c>
    </row>
    <row r="1465" spans="1:18" hidden="1">
      <c r="A1465" s="23" t="s">
        <v>2930</v>
      </c>
      <c r="B1465" s="23" t="s">
        <v>2931</v>
      </c>
      <c r="C1465" s="23">
        <v>1886</v>
      </c>
      <c r="I1465" s="3" t="str">
        <f>+IFERROR(VLOOKUP(C1465,'Mov 2023 hasta ahora '!$C$2:$D$314,2,FALSE),"NO")</f>
        <v>NO</v>
      </c>
      <c r="K1465">
        <v>6</v>
      </c>
      <c r="L1465" t="s">
        <v>836</v>
      </c>
      <c r="M1465">
        <v>24</v>
      </c>
      <c r="O1465" s="29" t="s">
        <v>9047</v>
      </c>
      <c r="P1465" s="25" t="s">
        <v>9048</v>
      </c>
      <c r="Q1465" s="25">
        <v>1719</v>
      </c>
      <c r="R1465" t="s">
        <v>436</v>
      </c>
    </row>
    <row r="1466" spans="1:18" hidden="1">
      <c r="A1466" t="s">
        <v>2932</v>
      </c>
      <c r="B1466" t="s">
        <v>2933</v>
      </c>
      <c r="I1466" s="3" t="str">
        <f>+IFERROR(VLOOKUP(C1466,'Mov 2023 hasta ahora '!$C$2:$D$314,2,FALSE),"NO")</f>
        <v>NO</v>
      </c>
      <c r="K1466">
        <v>4</v>
      </c>
      <c r="L1466" t="s">
        <v>836</v>
      </c>
      <c r="M1466">
        <v>14</v>
      </c>
    </row>
    <row r="1467" spans="1:18" hidden="1">
      <c r="A1467" t="s">
        <v>2934</v>
      </c>
      <c r="B1467" t="s">
        <v>2935</v>
      </c>
      <c r="I1467" s="3" t="str">
        <f>+IFERROR(VLOOKUP(C1467,'Mov 2023 hasta ahora '!$C$2:$D$314,2,FALSE),"NO")</f>
        <v>NO</v>
      </c>
      <c r="K1467">
        <v>5</v>
      </c>
      <c r="L1467" t="s">
        <v>836</v>
      </c>
      <c r="M1467">
        <v>18</v>
      </c>
    </row>
    <row r="1468" spans="1:18" hidden="1">
      <c r="A1468" s="23" t="s">
        <v>2936</v>
      </c>
      <c r="B1468" s="23" t="s">
        <v>2937</v>
      </c>
      <c r="C1468" s="23">
        <v>1338</v>
      </c>
      <c r="D1468" t="s">
        <v>436</v>
      </c>
      <c r="I1468" s="3" t="str">
        <f>+IFERROR(VLOOKUP(C1468,'Mov 2023 hasta ahora '!$C$2:$D$314,2,FALSE),"NO")</f>
        <v>NO</v>
      </c>
      <c r="K1468">
        <v>6</v>
      </c>
      <c r="L1468" t="s">
        <v>836</v>
      </c>
      <c r="M1468">
        <v>24</v>
      </c>
      <c r="O1468" s="29" t="s">
        <v>9025</v>
      </c>
      <c r="P1468" s="25" t="s">
        <v>8761</v>
      </c>
      <c r="Q1468" s="25">
        <v>1882</v>
      </c>
      <c r="R1468" t="s">
        <v>436</v>
      </c>
    </row>
    <row r="1469" spans="1:18" hidden="1">
      <c r="A1469" t="s">
        <v>2938</v>
      </c>
      <c r="B1469" t="s">
        <v>2939</v>
      </c>
      <c r="I1469" s="3" t="str">
        <f>+IFERROR(VLOOKUP(C1469,'Mov 2023 hasta ahora '!$C$2:$D$314,2,FALSE),"NO")</f>
        <v>NO</v>
      </c>
      <c r="K1469">
        <v>4</v>
      </c>
      <c r="L1469" t="s">
        <v>836</v>
      </c>
      <c r="M1469">
        <v>14</v>
      </c>
    </row>
    <row r="1470" spans="1:18" hidden="1">
      <c r="A1470" t="s">
        <v>2940</v>
      </c>
      <c r="B1470" t="s">
        <v>2941</v>
      </c>
      <c r="I1470" s="3" t="str">
        <f>+IFERROR(VLOOKUP(C1470,'Mov 2023 hasta ahora '!$C$2:$D$314,2,FALSE),"NO")</f>
        <v>NO</v>
      </c>
      <c r="K1470">
        <v>5</v>
      </c>
      <c r="L1470" t="s">
        <v>836</v>
      </c>
      <c r="M1470">
        <v>18</v>
      </c>
    </row>
    <row r="1471" spans="1:18" hidden="1">
      <c r="A1471" s="23" t="s">
        <v>2942</v>
      </c>
      <c r="B1471" s="23" t="s">
        <v>2943</v>
      </c>
      <c r="C1471" s="23">
        <v>1361</v>
      </c>
      <c r="D1471" t="s">
        <v>436</v>
      </c>
      <c r="I1471" s="3">
        <f>+IFERROR(VLOOKUP(C1471,'Mov 2023 hasta ahora '!$C$2:$D$314,2,FALSE),"NO")</f>
        <v>1</v>
      </c>
      <c r="K1471">
        <v>6</v>
      </c>
      <c r="L1471" t="s">
        <v>836</v>
      </c>
      <c r="M1471">
        <v>24</v>
      </c>
      <c r="O1471" s="29" t="s">
        <v>8861</v>
      </c>
      <c r="P1471" s="25" t="s">
        <v>8868</v>
      </c>
      <c r="Q1471" s="25">
        <v>1419</v>
      </c>
      <c r="R1471" t="s">
        <v>436</v>
      </c>
    </row>
    <row r="1472" spans="1:18" hidden="1">
      <c r="A1472" t="s">
        <v>2944</v>
      </c>
      <c r="B1472" t="s">
        <v>2945</v>
      </c>
      <c r="I1472" s="3" t="str">
        <f>+IFERROR(VLOOKUP(C1472,'Mov 2023 hasta ahora '!$C$2:$D$314,2,FALSE),"NO")</f>
        <v>NO</v>
      </c>
      <c r="K1472">
        <v>3</v>
      </c>
      <c r="L1472" t="s">
        <v>836</v>
      </c>
      <c r="M1472">
        <v>10</v>
      </c>
    </row>
    <row r="1473" spans="1:18" hidden="1">
      <c r="A1473" t="s">
        <v>2946</v>
      </c>
      <c r="B1473" t="s">
        <v>2947</v>
      </c>
      <c r="I1473" s="3" t="str">
        <f>+IFERROR(VLOOKUP(C1473,'Mov 2023 hasta ahora '!$C$2:$D$314,2,FALSE),"NO")</f>
        <v>NO</v>
      </c>
      <c r="K1473">
        <v>4</v>
      </c>
      <c r="L1473" t="s">
        <v>836</v>
      </c>
      <c r="M1473">
        <v>14</v>
      </c>
    </row>
    <row r="1474" spans="1:18" hidden="1">
      <c r="A1474" t="s">
        <v>2948</v>
      </c>
      <c r="B1474" t="s">
        <v>2949</v>
      </c>
      <c r="I1474" s="3" t="str">
        <f>+IFERROR(VLOOKUP(C1474,'Mov 2023 hasta ahora '!$C$2:$D$314,2,FALSE),"NO")</f>
        <v>NO</v>
      </c>
      <c r="K1474">
        <v>5</v>
      </c>
      <c r="L1474" t="s">
        <v>836</v>
      </c>
      <c r="M1474">
        <v>18</v>
      </c>
    </row>
    <row r="1475" spans="1:18" hidden="1">
      <c r="A1475" s="23" t="s">
        <v>2950</v>
      </c>
      <c r="B1475" s="23" t="s">
        <v>2951</v>
      </c>
      <c r="C1475" s="23">
        <v>3862</v>
      </c>
      <c r="D1475" t="s">
        <v>436</v>
      </c>
      <c r="I1475" s="3">
        <f>+IFERROR(VLOOKUP(C1475,'Mov 2023 hasta ahora '!$C$2:$D$314,2,FALSE),"NO")</f>
        <v>16</v>
      </c>
      <c r="K1475">
        <v>6</v>
      </c>
      <c r="L1475" t="s">
        <v>836</v>
      </c>
      <c r="M1475">
        <v>24</v>
      </c>
      <c r="O1475" s="29" t="s">
        <v>9030</v>
      </c>
      <c r="P1475" s="25" t="s">
        <v>9029</v>
      </c>
      <c r="Q1475" s="25">
        <v>3817</v>
      </c>
      <c r="R1475" t="s">
        <v>436</v>
      </c>
    </row>
    <row r="1476" spans="1:18" hidden="1">
      <c r="A1476">
        <v>5.0199999999999996</v>
      </c>
      <c r="B1476" t="s">
        <v>2952</v>
      </c>
      <c r="I1476" s="3" t="str">
        <f>+IFERROR(VLOOKUP(C1476,'Mov 2023 hasta ahora '!$C$2:$D$314,2,FALSE),"NO")</f>
        <v>NO</v>
      </c>
      <c r="K1476">
        <v>2</v>
      </c>
      <c r="L1476" t="s">
        <v>836</v>
      </c>
      <c r="M1476">
        <v>4</v>
      </c>
    </row>
    <row r="1477" spans="1:18" hidden="1">
      <c r="A1477" t="s">
        <v>2953</v>
      </c>
      <c r="B1477" t="s">
        <v>2954</v>
      </c>
      <c r="I1477" s="3" t="str">
        <f>+IFERROR(VLOOKUP(C1477,'Mov 2023 hasta ahora '!$C$2:$D$314,2,FALSE),"NO")</f>
        <v>NO</v>
      </c>
      <c r="K1477">
        <v>3</v>
      </c>
      <c r="L1477" t="s">
        <v>836</v>
      </c>
      <c r="M1477">
        <v>10</v>
      </c>
    </row>
    <row r="1478" spans="1:18" hidden="1">
      <c r="A1478" t="s">
        <v>2955</v>
      </c>
      <c r="B1478" t="s">
        <v>2956</v>
      </c>
      <c r="I1478" s="3" t="str">
        <f>+IFERROR(VLOOKUP(C1478,'Mov 2023 hasta ahora '!$C$2:$D$314,2,FALSE),"NO")</f>
        <v>NO</v>
      </c>
      <c r="K1478">
        <v>4</v>
      </c>
      <c r="L1478" t="s">
        <v>836</v>
      </c>
      <c r="M1478">
        <v>14</v>
      </c>
    </row>
    <row r="1479" spans="1:18" hidden="1">
      <c r="A1479" t="s">
        <v>2957</v>
      </c>
      <c r="B1479" t="s">
        <v>2958</v>
      </c>
      <c r="I1479" s="3" t="str">
        <f>+IFERROR(VLOOKUP(C1479,'Mov 2023 hasta ahora '!$C$2:$D$314,2,FALSE),"NO")</f>
        <v>NO</v>
      </c>
      <c r="K1479">
        <v>5</v>
      </c>
      <c r="L1479" t="s">
        <v>836</v>
      </c>
      <c r="M1479">
        <v>18</v>
      </c>
    </row>
    <row r="1480" spans="1:18" s="13" customFormat="1" hidden="1">
      <c r="A1480" s="23" t="s">
        <v>2959</v>
      </c>
      <c r="B1480" s="23" t="s">
        <v>2960</v>
      </c>
      <c r="C1480" s="23">
        <v>1441</v>
      </c>
      <c r="D1480" s="13" t="s">
        <v>436</v>
      </c>
      <c r="G1480"/>
      <c r="I1480" s="14" t="str">
        <f>+IFERROR(VLOOKUP(C1480,'Mov 2023 hasta ahora '!$C$2:$D$314,2,FALSE),"NO")</f>
        <v>NO</v>
      </c>
      <c r="K1480">
        <v>6</v>
      </c>
      <c r="L1480" t="s">
        <v>836</v>
      </c>
      <c r="M1480">
        <v>24</v>
      </c>
      <c r="O1480" s="29" t="s">
        <v>8794</v>
      </c>
      <c r="P1480" s="25" t="s">
        <v>8982</v>
      </c>
      <c r="Q1480" s="25">
        <v>1441</v>
      </c>
      <c r="R1480" t="s">
        <v>436</v>
      </c>
    </row>
    <row r="1481" spans="1:18" s="13" customFormat="1" hidden="1">
      <c r="A1481" s="23" t="s">
        <v>2961</v>
      </c>
      <c r="B1481" s="23" t="s">
        <v>2962</v>
      </c>
      <c r="C1481" s="23">
        <v>1448</v>
      </c>
      <c r="D1481" s="13" t="s">
        <v>436</v>
      </c>
      <c r="G1481"/>
      <c r="I1481" s="14" t="str">
        <f>+IFERROR(VLOOKUP(C1481,'Mov 2023 hasta ahora '!$C$2:$D$314,2,FALSE),"NO")</f>
        <v>NO</v>
      </c>
      <c r="K1481">
        <v>6</v>
      </c>
      <c r="L1481" t="s">
        <v>836</v>
      </c>
      <c r="M1481">
        <v>24</v>
      </c>
      <c r="O1481" s="29" t="s">
        <v>8809</v>
      </c>
      <c r="P1481" s="25" t="s">
        <v>8983</v>
      </c>
      <c r="Q1481" s="25">
        <v>1448</v>
      </c>
      <c r="R1481" t="s">
        <v>436</v>
      </c>
    </row>
    <row r="1482" spans="1:18" s="13" customFormat="1" hidden="1">
      <c r="A1482" s="23" t="s">
        <v>2963</v>
      </c>
      <c r="B1482" s="23" t="s">
        <v>2964</v>
      </c>
      <c r="C1482" s="23">
        <v>1826</v>
      </c>
      <c r="D1482" s="13" t="s">
        <v>436</v>
      </c>
      <c r="G1482"/>
      <c r="I1482" s="14" t="str">
        <f>+IFERROR(VLOOKUP(C1482,'Mov 2023 hasta ahora '!$C$2:$D$314,2,FALSE),"NO")</f>
        <v>NO</v>
      </c>
      <c r="K1482">
        <v>6</v>
      </c>
      <c r="L1482" t="s">
        <v>836</v>
      </c>
      <c r="M1482">
        <v>24</v>
      </c>
      <c r="O1482" s="29" t="s">
        <v>8827</v>
      </c>
      <c r="P1482" s="25" t="s">
        <v>8984</v>
      </c>
      <c r="Q1482" s="25">
        <v>1826</v>
      </c>
      <c r="R1482" t="s">
        <v>436</v>
      </c>
    </row>
    <row r="1483" spans="1:18" hidden="1">
      <c r="A1483" t="s">
        <v>2965</v>
      </c>
      <c r="B1483" t="s">
        <v>2966</v>
      </c>
      <c r="I1483" s="3" t="str">
        <f>+IFERROR(VLOOKUP(C1483,'Mov 2023 hasta ahora '!$C$2:$D$314,2,FALSE),"NO")</f>
        <v>NO</v>
      </c>
      <c r="K1483">
        <v>4</v>
      </c>
      <c r="L1483" t="s">
        <v>836</v>
      </c>
      <c r="M1483">
        <v>14</v>
      </c>
    </row>
    <row r="1484" spans="1:18" hidden="1">
      <c r="A1484" t="s">
        <v>2967</v>
      </c>
      <c r="B1484" t="s">
        <v>2968</v>
      </c>
      <c r="I1484" s="3" t="str">
        <f>+IFERROR(VLOOKUP(C1484,'Mov 2023 hasta ahora '!$C$2:$D$314,2,FALSE),"NO")</f>
        <v>NO</v>
      </c>
      <c r="K1484">
        <v>5</v>
      </c>
      <c r="L1484" t="s">
        <v>836</v>
      </c>
      <c r="M1484">
        <v>18</v>
      </c>
    </row>
    <row r="1485" spans="1:18" s="13" customFormat="1" hidden="1">
      <c r="A1485" s="23" t="s">
        <v>2969</v>
      </c>
      <c r="B1485" s="23" t="s">
        <v>2970</v>
      </c>
      <c r="C1485" s="23">
        <v>1457</v>
      </c>
      <c r="D1485" s="13" t="s">
        <v>436</v>
      </c>
      <c r="G1485"/>
      <c r="I1485" s="14" t="str">
        <f>+IFERROR(VLOOKUP(C1485,'Mov 2023 hasta ahora '!$C$2:$D$314,2,FALSE),"NO")</f>
        <v>NO</v>
      </c>
      <c r="K1485">
        <v>6</v>
      </c>
      <c r="L1485" t="s">
        <v>836</v>
      </c>
      <c r="M1485">
        <v>24</v>
      </c>
      <c r="O1485" s="29" t="s">
        <v>8800</v>
      </c>
      <c r="P1485" s="25" t="s">
        <v>8988</v>
      </c>
      <c r="Q1485" s="25">
        <v>1457</v>
      </c>
      <c r="R1485" t="s">
        <v>436</v>
      </c>
    </row>
    <row r="1486" spans="1:18" s="13" customFormat="1" hidden="1">
      <c r="A1486" s="23" t="s">
        <v>2971</v>
      </c>
      <c r="B1486" s="23" t="s">
        <v>2972</v>
      </c>
      <c r="C1486" s="23">
        <v>1465</v>
      </c>
      <c r="D1486" s="13" t="s">
        <v>436</v>
      </c>
      <c r="G1486"/>
      <c r="I1486" s="14" t="str">
        <f>+IFERROR(VLOOKUP(C1486,'Mov 2023 hasta ahora '!$C$2:$D$314,2,FALSE),"NO")</f>
        <v>NO</v>
      </c>
      <c r="K1486">
        <v>6</v>
      </c>
      <c r="L1486" t="s">
        <v>836</v>
      </c>
      <c r="M1486">
        <v>24</v>
      </c>
      <c r="O1486" s="29" t="s">
        <v>8810</v>
      </c>
      <c r="P1486" s="25" t="s">
        <v>8989</v>
      </c>
      <c r="Q1486" s="25">
        <v>1465</v>
      </c>
      <c r="R1486" t="s">
        <v>436</v>
      </c>
    </row>
    <row r="1487" spans="1:18" s="13" customFormat="1" hidden="1">
      <c r="A1487" s="23" t="s">
        <v>2973</v>
      </c>
      <c r="B1487" s="23" t="s">
        <v>2974</v>
      </c>
      <c r="C1487" s="23">
        <v>1834</v>
      </c>
      <c r="D1487" s="13" t="s">
        <v>436</v>
      </c>
      <c r="G1487"/>
      <c r="I1487" s="14" t="str">
        <f>+IFERROR(VLOOKUP(C1487,'Mov 2023 hasta ahora '!$C$2:$D$314,2,FALSE),"NO")</f>
        <v>NO</v>
      </c>
      <c r="K1487">
        <v>6</v>
      </c>
      <c r="L1487" t="s">
        <v>836</v>
      </c>
      <c r="M1487">
        <v>24</v>
      </c>
      <c r="O1487" s="29" t="s">
        <v>8831</v>
      </c>
      <c r="P1487" s="25" t="s">
        <v>8990</v>
      </c>
      <c r="Q1487" s="25">
        <v>1834</v>
      </c>
      <c r="R1487" t="s">
        <v>436</v>
      </c>
    </row>
    <row r="1488" spans="1:18" hidden="1">
      <c r="A1488" t="s">
        <v>2975</v>
      </c>
      <c r="B1488" t="s">
        <v>2976</v>
      </c>
      <c r="I1488" s="3" t="str">
        <f>+IFERROR(VLOOKUP(C1488,'Mov 2023 hasta ahora '!$C$2:$D$314,2,FALSE),"NO")</f>
        <v>NO</v>
      </c>
      <c r="K1488">
        <v>4</v>
      </c>
      <c r="L1488" t="s">
        <v>836</v>
      </c>
      <c r="M1488">
        <v>14</v>
      </c>
    </row>
    <row r="1489" spans="1:18" hidden="1">
      <c r="A1489" t="s">
        <v>2977</v>
      </c>
      <c r="B1489" t="s">
        <v>2978</v>
      </c>
      <c r="I1489" s="3" t="str">
        <f>+IFERROR(VLOOKUP(C1489,'Mov 2023 hasta ahora '!$C$2:$D$314,2,FALSE),"NO")</f>
        <v>NO</v>
      </c>
      <c r="K1489">
        <v>5</v>
      </c>
      <c r="L1489" t="s">
        <v>836</v>
      </c>
      <c r="M1489">
        <v>18</v>
      </c>
    </row>
    <row r="1490" spans="1:18" s="13" customFormat="1" hidden="1">
      <c r="A1490" s="23" t="s">
        <v>2979</v>
      </c>
      <c r="B1490" s="23" t="s">
        <v>2980</v>
      </c>
      <c r="C1490" s="23">
        <v>1579</v>
      </c>
      <c r="D1490" s="13" t="s">
        <v>436</v>
      </c>
      <c r="G1490"/>
      <c r="I1490" s="14" t="str">
        <f>+IFERROR(VLOOKUP(C1490,'Mov 2023 hasta ahora '!$C$2:$D$314,2,FALSE),"NO")</f>
        <v>NO</v>
      </c>
      <c r="K1490">
        <v>6</v>
      </c>
      <c r="L1490" t="s">
        <v>836</v>
      </c>
      <c r="M1490">
        <v>24</v>
      </c>
      <c r="O1490" s="29" t="s">
        <v>8815</v>
      </c>
      <c r="P1490" s="25" t="s">
        <v>8796</v>
      </c>
      <c r="Q1490" s="25">
        <v>1579</v>
      </c>
      <c r="R1490" t="s">
        <v>436</v>
      </c>
    </row>
    <row r="1491" spans="1:18" s="13" customFormat="1" hidden="1">
      <c r="A1491" s="23" t="s">
        <v>2981</v>
      </c>
      <c r="B1491" s="23" t="s">
        <v>2982</v>
      </c>
      <c r="C1491" s="23">
        <v>1589</v>
      </c>
      <c r="D1491" s="13" t="s">
        <v>436</v>
      </c>
      <c r="G1491"/>
      <c r="I1491" s="14" t="str">
        <f>+IFERROR(VLOOKUP(C1491,'Mov 2023 hasta ahora '!$C$2:$D$314,2,FALSE),"NO")</f>
        <v>NO</v>
      </c>
      <c r="K1491">
        <v>6</v>
      </c>
      <c r="L1491" t="s">
        <v>836</v>
      </c>
      <c r="M1491">
        <v>24</v>
      </c>
      <c r="O1491" s="29" t="s">
        <v>8816</v>
      </c>
      <c r="P1491" s="25" t="s">
        <v>8806</v>
      </c>
      <c r="Q1491" s="25">
        <v>1589</v>
      </c>
      <c r="R1491" t="s">
        <v>436</v>
      </c>
    </row>
    <row r="1492" spans="1:18" s="13" customFormat="1" hidden="1">
      <c r="A1492" s="23" t="s">
        <v>2983</v>
      </c>
      <c r="B1492" s="23" t="s">
        <v>2984</v>
      </c>
      <c r="C1492" s="23">
        <v>1842</v>
      </c>
      <c r="D1492" s="13" t="s">
        <v>436</v>
      </c>
      <c r="G1492"/>
      <c r="I1492" s="14" t="str">
        <f>+IFERROR(VLOOKUP(C1492,'Mov 2023 hasta ahora '!$C$2:$D$314,2,FALSE),"NO")</f>
        <v>NO</v>
      </c>
      <c r="K1492">
        <v>6</v>
      </c>
      <c r="L1492" t="s">
        <v>836</v>
      </c>
      <c r="M1492">
        <v>24</v>
      </c>
      <c r="O1492" s="29" t="s">
        <v>8823</v>
      </c>
      <c r="P1492" s="25" t="s">
        <v>8824</v>
      </c>
      <c r="Q1492" s="25">
        <v>1842</v>
      </c>
      <c r="R1492" t="s">
        <v>436</v>
      </c>
    </row>
    <row r="1493" spans="1:18" hidden="1">
      <c r="A1493" t="s">
        <v>2985</v>
      </c>
      <c r="B1493" t="s">
        <v>2986</v>
      </c>
      <c r="I1493" s="3" t="str">
        <f>+IFERROR(VLOOKUP(C1493,'Mov 2023 hasta ahora '!$C$2:$D$314,2,FALSE),"NO")</f>
        <v>NO</v>
      </c>
      <c r="K1493">
        <v>4</v>
      </c>
      <c r="L1493" t="s">
        <v>836</v>
      </c>
      <c r="M1493">
        <v>14</v>
      </c>
    </row>
    <row r="1494" spans="1:18" hidden="1">
      <c r="A1494" t="s">
        <v>2987</v>
      </c>
      <c r="B1494" t="s">
        <v>2988</v>
      </c>
      <c r="I1494" s="3" t="str">
        <f>+IFERROR(VLOOKUP(C1494,'Mov 2023 hasta ahora '!$C$2:$D$314,2,FALSE),"NO")</f>
        <v>NO</v>
      </c>
      <c r="K1494">
        <v>5</v>
      </c>
      <c r="L1494" t="s">
        <v>836</v>
      </c>
      <c r="M1494">
        <v>18</v>
      </c>
    </row>
    <row r="1495" spans="1:18" s="13" customFormat="1" hidden="1">
      <c r="A1495" s="23" t="s">
        <v>2989</v>
      </c>
      <c r="B1495" s="23" t="s">
        <v>2990</v>
      </c>
      <c r="C1495" s="23">
        <v>1481</v>
      </c>
      <c r="D1495" s="13" t="s">
        <v>436</v>
      </c>
      <c r="G1495"/>
      <c r="I1495" s="14" t="str">
        <f>+IFERROR(VLOOKUP(C1495,'Mov 2023 hasta ahora '!$C$2:$D$314,2,FALSE),"NO")</f>
        <v>NO</v>
      </c>
      <c r="K1495">
        <v>6</v>
      </c>
      <c r="L1495" t="s">
        <v>836</v>
      </c>
      <c r="M1495">
        <v>24</v>
      </c>
      <c r="O1495" s="29" t="s">
        <v>8752</v>
      </c>
      <c r="P1495" s="25" t="s">
        <v>8995</v>
      </c>
      <c r="Q1495" s="25">
        <v>1481</v>
      </c>
      <c r="R1495" t="s">
        <v>436</v>
      </c>
    </row>
    <row r="1496" spans="1:18" s="13" customFormat="1" hidden="1">
      <c r="A1496" s="23" t="s">
        <v>2991</v>
      </c>
      <c r="B1496" s="23" t="s">
        <v>2992</v>
      </c>
      <c r="C1496" s="23">
        <v>1473</v>
      </c>
      <c r="D1496" s="13" t="s">
        <v>436</v>
      </c>
      <c r="G1496"/>
      <c r="I1496" s="14" t="str">
        <f>+IFERROR(VLOOKUP(C1496,'Mov 2023 hasta ahora '!$C$2:$D$314,2,FALSE),"NO")</f>
        <v>NO</v>
      </c>
      <c r="K1496">
        <v>6</v>
      </c>
      <c r="L1496" t="s">
        <v>836</v>
      </c>
      <c r="M1496">
        <v>24</v>
      </c>
      <c r="O1496" s="29" t="s">
        <v>8766</v>
      </c>
      <c r="P1496" s="25" t="s">
        <v>8996</v>
      </c>
      <c r="Q1496" s="25">
        <v>1473</v>
      </c>
      <c r="R1496" t="s">
        <v>436</v>
      </c>
    </row>
    <row r="1497" spans="1:18" s="13" customFormat="1" hidden="1">
      <c r="A1497" s="23" t="s">
        <v>2993</v>
      </c>
      <c r="B1497" s="23" t="s">
        <v>2994</v>
      </c>
      <c r="C1497" s="23">
        <v>1850</v>
      </c>
      <c r="D1497" s="13" t="s">
        <v>436</v>
      </c>
      <c r="G1497"/>
      <c r="I1497" s="14" t="str">
        <f>+IFERROR(VLOOKUP(C1497,'Mov 2023 hasta ahora '!$C$2:$D$314,2,FALSE),"NO")</f>
        <v>NO</v>
      </c>
      <c r="K1497">
        <v>6</v>
      </c>
      <c r="L1497" t="s">
        <v>836</v>
      </c>
      <c r="M1497">
        <v>24</v>
      </c>
      <c r="O1497" s="29" t="s">
        <v>8764</v>
      </c>
      <c r="P1497" s="25" t="s">
        <v>8997</v>
      </c>
      <c r="Q1497" s="25">
        <v>1850</v>
      </c>
      <c r="R1497" t="s">
        <v>436</v>
      </c>
    </row>
    <row r="1498" spans="1:18" hidden="1">
      <c r="A1498" t="s">
        <v>2995</v>
      </c>
      <c r="B1498" t="s">
        <v>2996</v>
      </c>
      <c r="I1498" s="3" t="str">
        <f>+IFERROR(VLOOKUP(C1498,'Mov 2023 hasta ahora '!$C$2:$D$314,2,FALSE),"NO")</f>
        <v>NO</v>
      </c>
      <c r="K1498">
        <v>4</v>
      </c>
      <c r="L1498" t="s">
        <v>836</v>
      </c>
      <c r="M1498">
        <v>14</v>
      </c>
    </row>
    <row r="1499" spans="1:18" hidden="1">
      <c r="A1499" t="s">
        <v>2997</v>
      </c>
      <c r="B1499" t="s">
        <v>2998</v>
      </c>
      <c r="I1499" s="3" t="str">
        <f>+IFERROR(VLOOKUP(C1499,'Mov 2023 hasta ahora '!$C$2:$D$314,2,FALSE),"NO")</f>
        <v>NO</v>
      </c>
      <c r="K1499">
        <v>5</v>
      </c>
      <c r="L1499" t="s">
        <v>836</v>
      </c>
      <c r="M1499">
        <v>18</v>
      </c>
    </row>
    <row r="1500" spans="1:18" s="13" customFormat="1" hidden="1">
      <c r="A1500" s="23" t="s">
        <v>2999</v>
      </c>
      <c r="B1500" s="23" t="s">
        <v>3000</v>
      </c>
      <c r="C1500" s="23">
        <v>1489</v>
      </c>
      <c r="D1500" s="13" t="s">
        <v>436</v>
      </c>
      <c r="G1500"/>
      <c r="I1500" s="14" t="str">
        <f>+IFERROR(VLOOKUP(C1500,'Mov 2023 hasta ahora '!$C$2:$D$314,2,FALSE),"NO")</f>
        <v>NO</v>
      </c>
      <c r="K1500">
        <v>6</v>
      </c>
      <c r="L1500" t="s">
        <v>836</v>
      </c>
      <c r="M1500">
        <v>24</v>
      </c>
      <c r="O1500" s="29" t="s">
        <v>8795</v>
      </c>
      <c r="P1500" s="25" t="s">
        <v>8798</v>
      </c>
      <c r="Q1500" s="25">
        <v>1489</v>
      </c>
      <c r="R1500" t="s">
        <v>436</v>
      </c>
    </row>
    <row r="1501" spans="1:18" s="13" customFormat="1" hidden="1">
      <c r="A1501" s="23" t="s">
        <v>3001</v>
      </c>
      <c r="B1501" s="23" t="s">
        <v>3002</v>
      </c>
      <c r="C1501" s="23">
        <v>1497</v>
      </c>
      <c r="D1501" s="13" t="s">
        <v>436</v>
      </c>
      <c r="G1501"/>
      <c r="I1501" s="14" t="str">
        <f>+IFERROR(VLOOKUP(C1501,'Mov 2023 hasta ahora '!$C$2:$D$314,2,FALSE),"NO")</f>
        <v>NO</v>
      </c>
      <c r="K1501">
        <v>6</v>
      </c>
      <c r="L1501" t="s">
        <v>836</v>
      </c>
      <c r="M1501">
        <v>24</v>
      </c>
      <c r="O1501" s="29" t="s">
        <v>8804</v>
      </c>
      <c r="P1501" s="25" t="s">
        <v>8808</v>
      </c>
      <c r="Q1501" s="25">
        <v>1497</v>
      </c>
      <c r="R1501" s="13" t="s">
        <v>436</v>
      </c>
    </row>
    <row r="1502" spans="1:18" s="13" customFormat="1" hidden="1">
      <c r="A1502" s="23" t="s">
        <v>3003</v>
      </c>
      <c r="B1502" s="23" t="s">
        <v>3004</v>
      </c>
      <c r="C1502" s="23">
        <v>1858</v>
      </c>
      <c r="D1502" s="13" t="s">
        <v>436</v>
      </c>
      <c r="G1502"/>
      <c r="I1502" s="14" t="str">
        <f>+IFERROR(VLOOKUP(C1502,'Mov 2023 hasta ahora '!$C$2:$D$314,2,FALSE),"NO")</f>
        <v>NO</v>
      </c>
      <c r="K1502">
        <v>6</v>
      </c>
      <c r="L1502" t="s">
        <v>836</v>
      </c>
      <c r="M1502">
        <v>24</v>
      </c>
      <c r="O1502" s="29" t="s">
        <v>8820</v>
      </c>
      <c r="P1502" s="25" t="s">
        <v>8826</v>
      </c>
      <c r="Q1502" s="25">
        <v>1858</v>
      </c>
      <c r="R1502" t="s">
        <v>436</v>
      </c>
    </row>
    <row r="1503" spans="1:18" hidden="1">
      <c r="A1503" t="s">
        <v>3005</v>
      </c>
      <c r="B1503" t="s">
        <v>3006</v>
      </c>
      <c r="I1503" s="3" t="str">
        <f>+IFERROR(VLOOKUP(C1503,'Mov 2023 hasta ahora '!$C$2:$D$314,2,FALSE),"NO")</f>
        <v>NO</v>
      </c>
      <c r="K1503">
        <v>4</v>
      </c>
      <c r="L1503" t="s">
        <v>836</v>
      </c>
      <c r="M1503">
        <v>14</v>
      </c>
    </row>
    <row r="1504" spans="1:18" hidden="1">
      <c r="A1504" t="s">
        <v>3007</v>
      </c>
      <c r="B1504" t="s">
        <v>3008</v>
      </c>
      <c r="I1504" s="3" t="str">
        <f>+IFERROR(VLOOKUP(C1504,'Mov 2023 hasta ahora '!$C$2:$D$314,2,FALSE),"NO")</f>
        <v>NO</v>
      </c>
      <c r="K1504">
        <v>5</v>
      </c>
      <c r="L1504" t="s">
        <v>836</v>
      </c>
      <c r="M1504">
        <v>18</v>
      </c>
    </row>
    <row r="1505" spans="1:18" s="13" customFormat="1" hidden="1">
      <c r="A1505" s="23" t="s">
        <v>3009</v>
      </c>
      <c r="B1505" s="23" t="s">
        <v>3010</v>
      </c>
      <c r="C1505" s="23">
        <v>1513</v>
      </c>
      <c r="D1505" s="13" t="s">
        <v>436</v>
      </c>
      <c r="G1505"/>
      <c r="I1505" s="14" t="str">
        <f>+IFERROR(VLOOKUP(C1505,'Mov 2023 hasta ahora '!$C$2:$D$314,2,FALSE),"NO")</f>
        <v>NO</v>
      </c>
      <c r="K1505">
        <v>6</v>
      </c>
      <c r="L1505" t="s">
        <v>836</v>
      </c>
      <c r="M1505">
        <v>24</v>
      </c>
      <c r="O1505" s="29" t="s">
        <v>9002</v>
      </c>
      <c r="P1505" s="25" t="s">
        <v>8799</v>
      </c>
      <c r="Q1505" s="25">
        <v>1513</v>
      </c>
      <c r="R1505" t="s">
        <v>436</v>
      </c>
    </row>
    <row r="1506" spans="1:18" s="13" customFormat="1" hidden="1">
      <c r="A1506" s="23" t="s">
        <v>3011</v>
      </c>
      <c r="B1506" s="23" t="s">
        <v>3012</v>
      </c>
      <c r="C1506" s="23">
        <v>1505</v>
      </c>
      <c r="D1506" s="13" t="s">
        <v>436</v>
      </c>
      <c r="G1506"/>
      <c r="I1506" s="14" t="str">
        <f>+IFERROR(VLOOKUP(C1506,'Mov 2023 hasta ahora '!$C$2:$D$314,2,FALSE),"NO")</f>
        <v>NO</v>
      </c>
      <c r="K1506">
        <v>6</v>
      </c>
      <c r="L1506" t="s">
        <v>836</v>
      </c>
      <c r="M1506">
        <v>24</v>
      </c>
      <c r="O1506" s="29" t="s">
        <v>9003</v>
      </c>
      <c r="P1506" s="25" t="s">
        <v>8803</v>
      </c>
      <c r="Q1506" s="25">
        <v>1505</v>
      </c>
      <c r="R1506" t="s">
        <v>436</v>
      </c>
    </row>
    <row r="1507" spans="1:18" s="13" customFormat="1" hidden="1">
      <c r="A1507" s="23" t="s">
        <v>3013</v>
      </c>
      <c r="B1507" s="23" t="s">
        <v>3014</v>
      </c>
      <c r="C1507" s="23">
        <v>1866</v>
      </c>
      <c r="D1507" s="13" t="s">
        <v>436</v>
      </c>
      <c r="G1507"/>
      <c r="I1507" s="14" t="str">
        <f>+IFERROR(VLOOKUP(C1507,'Mov 2023 hasta ahora '!$C$2:$D$314,2,FALSE),"NO")</f>
        <v>NO</v>
      </c>
      <c r="K1507">
        <v>6</v>
      </c>
      <c r="L1507" t="s">
        <v>836</v>
      </c>
      <c r="M1507">
        <v>24</v>
      </c>
      <c r="O1507" s="29" t="s">
        <v>9004</v>
      </c>
      <c r="P1507" s="25" t="s">
        <v>8822</v>
      </c>
      <c r="Q1507" s="25">
        <v>1866</v>
      </c>
      <c r="R1507" t="s">
        <v>436</v>
      </c>
    </row>
    <row r="1508" spans="1:18" hidden="1">
      <c r="A1508" t="s">
        <v>3015</v>
      </c>
      <c r="B1508" t="s">
        <v>3016</v>
      </c>
      <c r="I1508" s="3" t="str">
        <f>+IFERROR(VLOOKUP(C1508,'Mov 2023 hasta ahora '!$C$2:$D$314,2,FALSE),"NO")</f>
        <v>NO</v>
      </c>
      <c r="K1508">
        <v>4</v>
      </c>
      <c r="L1508" t="s">
        <v>836</v>
      </c>
      <c r="M1508">
        <v>14</v>
      </c>
    </row>
    <row r="1509" spans="1:18" hidden="1">
      <c r="A1509" t="s">
        <v>3017</v>
      </c>
      <c r="B1509" t="s">
        <v>3018</v>
      </c>
      <c r="I1509" s="3" t="str">
        <f>+IFERROR(VLOOKUP(C1509,'Mov 2023 hasta ahora '!$C$2:$D$314,2,FALSE),"NO")</f>
        <v>NO</v>
      </c>
      <c r="K1509">
        <v>5</v>
      </c>
      <c r="L1509" t="s">
        <v>836</v>
      </c>
      <c r="M1509">
        <v>18</v>
      </c>
    </row>
    <row r="1510" spans="1:18" hidden="1">
      <c r="A1510" s="23" t="s">
        <v>3019</v>
      </c>
      <c r="B1510" s="23" t="s">
        <v>3020</v>
      </c>
      <c r="C1510" s="23">
        <v>1874</v>
      </c>
      <c r="D1510" t="s">
        <v>436</v>
      </c>
      <c r="I1510" s="3" t="str">
        <f>+IFERROR(VLOOKUP(C1510,'Mov 2023 hasta ahora '!$C$2:$D$314,2,FALSE),"NO")</f>
        <v>NO</v>
      </c>
      <c r="K1510">
        <v>6</v>
      </c>
      <c r="L1510" t="s">
        <v>836</v>
      </c>
      <c r="M1510">
        <v>24</v>
      </c>
      <c r="O1510" s="29" t="s">
        <v>8861</v>
      </c>
      <c r="P1510" s="25" t="s">
        <v>8868</v>
      </c>
      <c r="Q1510" s="25">
        <v>1419</v>
      </c>
      <c r="R1510" t="s">
        <v>436</v>
      </c>
    </row>
    <row r="1511" spans="1:18" hidden="1">
      <c r="A1511" t="s">
        <v>3021</v>
      </c>
      <c r="B1511" t="s">
        <v>3022</v>
      </c>
      <c r="I1511" s="3" t="str">
        <f>+IFERROR(VLOOKUP(C1511,'Mov 2023 hasta ahora '!$C$2:$D$314,2,FALSE),"NO")</f>
        <v>NO</v>
      </c>
      <c r="K1511">
        <v>5</v>
      </c>
      <c r="L1511" t="s">
        <v>836</v>
      </c>
      <c r="M1511">
        <v>18</v>
      </c>
    </row>
    <row r="1512" spans="1:18" hidden="1">
      <c r="A1512" s="23" t="s">
        <v>3023</v>
      </c>
      <c r="B1512" s="23" t="s">
        <v>3024</v>
      </c>
      <c r="C1512" s="23">
        <v>1766</v>
      </c>
      <c r="D1512" t="s">
        <v>436</v>
      </c>
      <c r="I1512" s="3" t="str">
        <f>+IFERROR(VLOOKUP(C1512,'Mov 2023 hasta ahora '!$C$2:$D$314,2,FALSE),"NO")</f>
        <v>NO</v>
      </c>
      <c r="K1512">
        <v>6</v>
      </c>
      <c r="L1512" t="s">
        <v>836</v>
      </c>
      <c r="M1512">
        <v>24</v>
      </c>
      <c r="O1512" s="29" t="s">
        <v>9049</v>
      </c>
      <c r="P1512" s="25" t="s">
        <v>9050</v>
      </c>
      <c r="Q1512" s="25">
        <v>1363</v>
      </c>
      <c r="R1512" t="s">
        <v>436</v>
      </c>
    </row>
    <row r="1513" spans="1:18" hidden="1">
      <c r="A1513" s="23" t="s">
        <v>3025</v>
      </c>
      <c r="B1513" s="23" t="s">
        <v>3026</v>
      </c>
      <c r="C1513" s="23">
        <v>1767</v>
      </c>
      <c r="D1513" t="s">
        <v>436</v>
      </c>
      <c r="I1513" s="3" t="str">
        <f>+IFERROR(VLOOKUP(C1513,'Mov 2023 hasta ahora '!$C$2:$D$314,2,FALSE),"NO")</f>
        <v>NO</v>
      </c>
      <c r="K1513">
        <v>6</v>
      </c>
      <c r="L1513" t="s">
        <v>836</v>
      </c>
      <c r="M1513">
        <v>24</v>
      </c>
      <c r="O1513" s="29" t="s">
        <v>9014</v>
      </c>
      <c r="P1513" s="25" t="s">
        <v>8890</v>
      </c>
      <c r="Q1513" s="25">
        <v>1244</v>
      </c>
      <c r="R1513" t="s">
        <v>436</v>
      </c>
    </row>
    <row r="1514" spans="1:18" hidden="1">
      <c r="A1514" s="23" t="s">
        <v>3027</v>
      </c>
      <c r="B1514" s="23" t="s">
        <v>3028</v>
      </c>
      <c r="C1514" s="23">
        <v>1768</v>
      </c>
      <c r="D1514" t="s">
        <v>436</v>
      </c>
      <c r="I1514" s="3" t="str">
        <f>+IFERROR(VLOOKUP(C1514,'Mov 2023 hasta ahora '!$C$2:$D$314,2,FALSE),"NO")</f>
        <v>NO</v>
      </c>
      <c r="K1514">
        <v>6</v>
      </c>
      <c r="L1514" t="s">
        <v>836</v>
      </c>
      <c r="M1514">
        <v>24</v>
      </c>
      <c r="O1514" s="29" t="s">
        <v>9030</v>
      </c>
      <c r="P1514" s="25" t="s">
        <v>9029</v>
      </c>
      <c r="Q1514" s="25">
        <v>3817</v>
      </c>
      <c r="R1514" t="s">
        <v>436</v>
      </c>
    </row>
    <row r="1515" spans="1:18" hidden="1">
      <c r="A1515" t="s">
        <v>3029</v>
      </c>
      <c r="B1515" t="s">
        <v>3030</v>
      </c>
      <c r="I1515" s="3" t="str">
        <f>+IFERROR(VLOOKUP(C1515,'Mov 2023 hasta ahora '!$C$2:$D$314,2,FALSE),"NO")</f>
        <v>NO</v>
      </c>
      <c r="K1515">
        <v>3</v>
      </c>
      <c r="L1515" t="s">
        <v>836</v>
      </c>
      <c r="M1515">
        <v>10</v>
      </c>
    </row>
    <row r="1516" spans="1:18" hidden="1">
      <c r="A1516" t="s">
        <v>3031</v>
      </c>
      <c r="B1516" t="s">
        <v>3032</v>
      </c>
      <c r="I1516" s="3" t="str">
        <f>+IFERROR(VLOOKUP(C1516,'Mov 2023 hasta ahora '!$C$2:$D$314,2,FALSE),"NO")</f>
        <v>NO</v>
      </c>
      <c r="K1516">
        <v>4</v>
      </c>
      <c r="L1516" t="s">
        <v>836</v>
      </c>
      <c r="M1516">
        <v>14</v>
      </c>
    </row>
    <row r="1517" spans="1:18" hidden="1">
      <c r="A1517" t="s">
        <v>3033</v>
      </c>
      <c r="B1517" t="s">
        <v>3034</v>
      </c>
      <c r="I1517" s="3" t="str">
        <f>+IFERROR(VLOOKUP(C1517,'Mov 2023 hasta ahora '!$C$2:$D$314,2,FALSE),"NO")</f>
        <v>NO</v>
      </c>
      <c r="K1517">
        <v>5</v>
      </c>
      <c r="L1517" t="s">
        <v>836</v>
      </c>
      <c r="M1517">
        <v>18</v>
      </c>
    </row>
    <row r="1518" spans="1:18" s="13" customFormat="1" hidden="1">
      <c r="A1518" s="23" t="s">
        <v>3035</v>
      </c>
      <c r="B1518" s="23" t="s">
        <v>3036</v>
      </c>
      <c r="C1518" s="23">
        <v>1442</v>
      </c>
      <c r="D1518" s="13" t="s">
        <v>436</v>
      </c>
      <c r="G1518"/>
      <c r="I1518" s="14" t="str">
        <f>+IFERROR(VLOOKUP(C1518,'Mov 2023 hasta ahora '!$C$2:$D$314,2,FALSE),"NO")</f>
        <v>NO</v>
      </c>
      <c r="K1518">
        <v>6</v>
      </c>
      <c r="L1518" t="s">
        <v>836</v>
      </c>
      <c r="M1518">
        <v>24</v>
      </c>
      <c r="O1518" s="29" t="s">
        <v>8794</v>
      </c>
      <c r="P1518" s="25" t="s">
        <v>8982</v>
      </c>
      <c r="Q1518" s="25">
        <v>1441</v>
      </c>
      <c r="R1518" t="s">
        <v>436</v>
      </c>
    </row>
    <row r="1519" spans="1:18" s="13" customFormat="1" hidden="1">
      <c r="A1519" s="23" t="s">
        <v>3037</v>
      </c>
      <c r="B1519" s="23" t="s">
        <v>3038</v>
      </c>
      <c r="C1519" s="23">
        <v>1449</v>
      </c>
      <c r="D1519" s="13" t="s">
        <v>436</v>
      </c>
      <c r="G1519"/>
      <c r="I1519" s="14" t="str">
        <f>+IFERROR(VLOOKUP(C1519,'Mov 2023 hasta ahora '!$C$2:$D$314,2,FALSE),"NO")</f>
        <v>NO</v>
      </c>
      <c r="K1519">
        <v>6</v>
      </c>
      <c r="L1519" t="s">
        <v>836</v>
      </c>
      <c r="M1519">
        <v>24</v>
      </c>
      <c r="O1519" s="29" t="s">
        <v>8809</v>
      </c>
      <c r="P1519" s="25" t="s">
        <v>8983</v>
      </c>
      <c r="Q1519" s="25">
        <v>1448</v>
      </c>
      <c r="R1519" t="s">
        <v>436</v>
      </c>
    </row>
    <row r="1520" spans="1:18" s="13" customFormat="1" hidden="1">
      <c r="A1520" s="23" t="s">
        <v>3039</v>
      </c>
      <c r="B1520" s="23" t="s">
        <v>3040</v>
      </c>
      <c r="C1520" s="23">
        <v>1827</v>
      </c>
      <c r="D1520" s="13" t="s">
        <v>436</v>
      </c>
      <c r="G1520"/>
      <c r="I1520" s="14" t="str">
        <f>+IFERROR(VLOOKUP(C1520,'Mov 2023 hasta ahora '!$C$2:$D$314,2,FALSE),"NO")</f>
        <v>NO</v>
      </c>
      <c r="K1520">
        <v>6</v>
      </c>
      <c r="L1520" t="s">
        <v>836</v>
      </c>
      <c r="M1520">
        <v>24</v>
      </c>
      <c r="O1520" s="29" t="s">
        <v>8827</v>
      </c>
      <c r="P1520" s="25" t="s">
        <v>8984</v>
      </c>
      <c r="Q1520" s="25">
        <v>1826</v>
      </c>
      <c r="R1520" t="s">
        <v>436</v>
      </c>
    </row>
    <row r="1521" spans="1:18" hidden="1">
      <c r="A1521" t="s">
        <v>3041</v>
      </c>
      <c r="B1521" t="s">
        <v>3042</v>
      </c>
      <c r="I1521" s="3" t="str">
        <f>+IFERROR(VLOOKUP(C1521,'Mov 2023 hasta ahora '!$C$2:$D$314,2,FALSE),"NO")</f>
        <v>NO</v>
      </c>
      <c r="K1521">
        <v>4</v>
      </c>
      <c r="L1521" t="s">
        <v>836</v>
      </c>
      <c r="M1521">
        <v>14</v>
      </c>
    </row>
    <row r="1522" spans="1:18" hidden="1">
      <c r="A1522" t="s">
        <v>3043</v>
      </c>
      <c r="B1522" t="s">
        <v>3044</v>
      </c>
      <c r="I1522" s="3" t="str">
        <f>+IFERROR(VLOOKUP(C1522,'Mov 2023 hasta ahora '!$C$2:$D$314,2,FALSE),"NO")</f>
        <v>NO</v>
      </c>
      <c r="K1522">
        <v>5</v>
      </c>
      <c r="L1522" t="s">
        <v>836</v>
      </c>
      <c r="M1522">
        <v>18</v>
      </c>
    </row>
    <row r="1523" spans="1:18" s="13" customFormat="1" hidden="1">
      <c r="A1523" s="23" t="s">
        <v>3045</v>
      </c>
      <c r="B1523" s="23" t="s">
        <v>3046</v>
      </c>
      <c r="C1523" s="23">
        <v>1458</v>
      </c>
      <c r="D1523" s="13" t="s">
        <v>436</v>
      </c>
      <c r="G1523"/>
      <c r="I1523" s="14" t="str">
        <f>+IFERROR(VLOOKUP(C1523,'Mov 2023 hasta ahora '!$C$2:$D$314,2,FALSE),"NO")</f>
        <v>NO</v>
      </c>
      <c r="K1523">
        <v>6</v>
      </c>
      <c r="L1523" t="s">
        <v>836</v>
      </c>
      <c r="M1523">
        <v>24</v>
      </c>
      <c r="O1523" s="29" t="s">
        <v>8800</v>
      </c>
      <c r="P1523" s="25" t="s">
        <v>8988</v>
      </c>
      <c r="Q1523" s="25">
        <v>1457</v>
      </c>
      <c r="R1523" t="s">
        <v>436</v>
      </c>
    </row>
    <row r="1524" spans="1:18" s="13" customFormat="1" hidden="1">
      <c r="A1524" s="23" t="s">
        <v>3047</v>
      </c>
      <c r="B1524" s="23" t="s">
        <v>3048</v>
      </c>
      <c r="C1524" s="23">
        <v>1466</v>
      </c>
      <c r="D1524" s="13" t="s">
        <v>436</v>
      </c>
      <c r="G1524"/>
      <c r="I1524" s="14" t="str">
        <f>+IFERROR(VLOOKUP(C1524,'Mov 2023 hasta ahora '!$C$2:$D$314,2,FALSE),"NO")</f>
        <v>NO</v>
      </c>
      <c r="K1524">
        <v>6</v>
      </c>
      <c r="L1524" t="s">
        <v>836</v>
      </c>
      <c r="M1524">
        <v>24</v>
      </c>
      <c r="O1524" s="29" t="s">
        <v>8810</v>
      </c>
      <c r="P1524" s="25" t="s">
        <v>8989</v>
      </c>
      <c r="Q1524" s="25">
        <v>1465</v>
      </c>
      <c r="R1524" t="s">
        <v>436</v>
      </c>
    </row>
    <row r="1525" spans="1:18" s="13" customFormat="1" hidden="1">
      <c r="A1525" s="23" t="s">
        <v>3049</v>
      </c>
      <c r="B1525" s="23" t="s">
        <v>3050</v>
      </c>
      <c r="C1525" s="23">
        <v>1835</v>
      </c>
      <c r="D1525" s="13" t="s">
        <v>436</v>
      </c>
      <c r="G1525"/>
      <c r="I1525" s="14" t="str">
        <f>+IFERROR(VLOOKUP(C1525,'Mov 2023 hasta ahora '!$C$2:$D$314,2,FALSE),"NO")</f>
        <v>NO</v>
      </c>
      <c r="K1525">
        <v>6</v>
      </c>
      <c r="L1525" t="s">
        <v>836</v>
      </c>
      <c r="M1525">
        <v>24</v>
      </c>
      <c r="O1525" s="29" t="s">
        <v>8831</v>
      </c>
      <c r="P1525" s="25" t="s">
        <v>8990</v>
      </c>
      <c r="Q1525" s="25">
        <v>1834</v>
      </c>
      <c r="R1525" t="s">
        <v>436</v>
      </c>
    </row>
    <row r="1526" spans="1:18" hidden="1">
      <c r="A1526" t="s">
        <v>3051</v>
      </c>
      <c r="B1526" t="s">
        <v>3052</v>
      </c>
      <c r="I1526" s="3" t="str">
        <f>+IFERROR(VLOOKUP(C1526,'Mov 2023 hasta ahora '!$C$2:$D$314,2,FALSE),"NO")</f>
        <v>NO</v>
      </c>
      <c r="K1526">
        <v>4</v>
      </c>
      <c r="L1526" t="s">
        <v>836</v>
      </c>
      <c r="M1526">
        <v>14</v>
      </c>
    </row>
    <row r="1527" spans="1:18" hidden="1">
      <c r="A1527" t="s">
        <v>3053</v>
      </c>
      <c r="B1527" t="s">
        <v>3054</v>
      </c>
      <c r="I1527" s="3" t="str">
        <f>+IFERROR(VLOOKUP(C1527,'Mov 2023 hasta ahora '!$C$2:$D$314,2,FALSE),"NO")</f>
        <v>NO</v>
      </c>
      <c r="K1527">
        <v>5</v>
      </c>
      <c r="L1527" t="s">
        <v>836</v>
      </c>
      <c r="M1527">
        <v>18</v>
      </c>
    </row>
    <row r="1528" spans="1:18" s="13" customFormat="1" hidden="1">
      <c r="A1528" s="23" t="s">
        <v>3055</v>
      </c>
      <c r="B1528" s="23" t="s">
        <v>3056</v>
      </c>
      <c r="C1528" s="23">
        <v>1580</v>
      </c>
      <c r="D1528" s="13" t="s">
        <v>436</v>
      </c>
      <c r="G1528"/>
      <c r="I1528" s="14" t="str">
        <f>+IFERROR(VLOOKUP(C1528,'Mov 2023 hasta ahora '!$C$2:$D$314,2,FALSE),"NO")</f>
        <v>NO</v>
      </c>
      <c r="K1528">
        <v>6</v>
      </c>
      <c r="L1528" t="s">
        <v>836</v>
      </c>
      <c r="M1528">
        <v>24</v>
      </c>
      <c r="O1528" s="29" t="s">
        <v>8815</v>
      </c>
      <c r="P1528" s="25" t="s">
        <v>8796</v>
      </c>
      <c r="Q1528" s="25">
        <v>1579</v>
      </c>
      <c r="R1528" t="s">
        <v>436</v>
      </c>
    </row>
    <row r="1529" spans="1:18" s="13" customFormat="1" hidden="1">
      <c r="A1529" s="23" t="s">
        <v>3057</v>
      </c>
      <c r="B1529" s="23" t="s">
        <v>3058</v>
      </c>
      <c r="C1529" s="23">
        <v>1590</v>
      </c>
      <c r="D1529" s="13" t="s">
        <v>436</v>
      </c>
      <c r="G1529"/>
      <c r="I1529" s="14" t="str">
        <f>+IFERROR(VLOOKUP(C1529,'Mov 2023 hasta ahora '!$C$2:$D$314,2,FALSE),"NO")</f>
        <v>NO</v>
      </c>
      <c r="K1529">
        <v>6</v>
      </c>
      <c r="L1529" t="s">
        <v>836</v>
      </c>
      <c r="M1529">
        <v>24</v>
      </c>
      <c r="O1529" s="29" t="s">
        <v>8816</v>
      </c>
      <c r="P1529" s="25" t="s">
        <v>8806</v>
      </c>
      <c r="Q1529" s="25">
        <v>1589</v>
      </c>
      <c r="R1529" t="s">
        <v>436</v>
      </c>
    </row>
    <row r="1530" spans="1:18" s="13" customFormat="1" hidden="1">
      <c r="A1530" s="23" t="s">
        <v>3059</v>
      </c>
      <c r="B1530" s="23" t="s">
        <v>3060</v>
      </c>
      <c r="C1530" s="23">
        <v>1843</v>
      </c>
      <c r="D1530" s="13" t="s">
        <v>436</v>
      </c>
      <c r="G1530"/>
      <c r="I1530" s="14" t="str">
        <f>+IFERROR(VLOOKUP(C1530,'Mov 2023 hasta ahora '!$C$2:$D$314,2,FALSE),"NO")</f>
        <v>NO</v>
      </c>
      <c r="K1530">
        <v>6</v>
      </c>
      <c r="L1530" t="s">
        <v>836</v>
      </c>
      <c r="M1530">
        <v>24</v>
      </c>
      <c r="O1530" s="29" t="s">
        <v>8823</v>
      </c>
      <c r="P1530" s="25" t="s">
        <v>8824</v>
      </c>
      <c r="Q1530" s="25">
        <v>1842</v>
      </c>
      <c r="R1530" t="s">
        <v>436</v>
      </c>
    </row>
    <row r="1531" spans="1:18" hidden="1">
      <c r="A1531" t="s">
        <v>3061</v>
      </c>
      <c r="B1531" t="s">
        <v>3062</v>
      </c>
      <c r="I1531" s="3" t="str">
        <f>+IFERROR(VLOOKUP(C1531,'Mov 2023 hasta ahora '!$C$2:$D$314,2,FALSE),"NO")</f>
        <v>NO</v>
      </c>
      <c r="K1531">
        <v>4</v>
      </c>
      <c r="L1531" t="s">
        <v>836</v>
      </c>
      <c r="M1531">
        <v>14</v>
      </c>
    </row>
    <row r="1532" spans="1:18" hidden="1">
      <c r="A1532" t="s">
        <v>3063</v>
      </c>
      <c r="B1532" t="s">
        <v>3064</v>
      </c>
      <c r="I1532" s="3" t="str">
        <f>+IFERROR(VLOOKUP(C1532,'Mov 2023 hasta ahora '!$C$2:$D$314,2,FALSE),"NO")</f>
        <v>NO</v>
      </c>
      <c r="K1532">
        <v>5</v>
      </c>
      <c r="L1532" t="s">
        <v>836</v>
      </c>
      <c r="M1532">
        <v>18</v>
      </c>
    </row>
    <row r="1533" spans="1:18" s="13" customFormat="1" hidden="1">
      <c r="A1533" s="23" t="s">
        <v>3065</v>
      </c>
      <c r="B1533" s="23" t="s">
        <v>3066</v>
      </c>
      <c r="C1533" s="23">
        <v>1482</v>
      </c>
      <c r="D1533" s="13" t="s">
        <v>436</v>
      </c>
      <c r="G1533"/>
      <c r="I1533" s="14" t="str">
        <f>+IFERROR(VLOOKUP(C1533,'Mov 2023 hasta ahora '!$C$2:$D$314,2,FALSE),"NO")</f>
        <v>NO</v>
      </c>
      <c r="K1533">
        <v>6</v>
      </c>
      <c r="L1533" t="s">
        <v>836</v>
      </c>
      <c r="M1533">
        <v>24</v>
      </c>
      <c r="O1533" s="29" t="s">
        <v>8752</v>
      </c>
      <c r="P1533" s="25" t="s">
        <v>8995</v>
      </c>
      <c r="Q1533" s="25">
        <v>1481</v>
      </c>
      <c r="R1533" t="s">
        <v>436</v>
      </c>
    </row>
    <row r="1534" spans="1:18" s="13" customFormat="1" hidden="1">
      <c r="A1534" s="23" t="s">
        <v>3067</v>
      </c>
      <c r="B1534" s="23" t="s">
        <v>3068</v>
      </c>
      <c r="C1534" s="23">
        <v>1474</v>
      </c>
      <c r="D1534" s="13" t="s">
        <v>436</v>
      </c>
      <c r="G1534"/>
      <c r="I1534" s="14" t="str">
        <f>+IFERROR(VLOOKUP(C1534,'Mov 2023 hasta ahora '!$C$2:$D$314,2,FALSE),"NO")</f>
        <v>NO</v>
      </c>
      <c r="K1534">
        <v>6</v>
      </c>
      <c r="L1534" t="s">
        <v>836</v>
      </c>
      <c r="M1534">
        <v>24</v>
      </c>
      <c r="O1534" s="29" t="s">
        <v>8766</v>
      </c>
      <c r="P1534" s="25" t="s">
        <v>8996</v>
      </c>
      <c r="Q1534" s="25">
        <v>1473</v>
      </c>
      <c r="R1534" t="s">
        <v>436</v>
      </c>
    </row>
    <row r="1535" spans="1:18" s="13" customFormat="1" hidden="1">
      <c r="A1535" s="23" t="s">
        <v>3069</v>
      </c>
      <c r="B1535" s="23" t="s">
        <v>3070</v>
      </c>
      <c r="C1535" s="23">
        <v>1851</v>
      </c>
      <c r="D1535" s="13" t="s">
        <v>436</v>
      </c>
      <c r="G1535"/>
      <c r="I1535" s="14" t="str">
        <f>+IFERROR(VLOOKUP(C1535,'Mov 2023 hasta ahora '!$C$2:$D$314,2,FALSE),"NO")</f>
        <v>NO</v>
      </c>
      <c r="K1535">
        <v>6</v>
      </c>
      <c r="L1535" t="s">
        <v>836</v>
      </c>
      <c r="M1535">
        <v>24</v>
      </c>
      <c r="O1535" s="29" t="s">
        <v>8764</v>
      </c>
      <c r="P1535" s="25" t="s">
        <v>8997</v>
      </c>
      <c r="Q1535" s="25">
        <v>1850</v>
      </c>
      <c r="R1535" t="s">
        <v>436</v>
      </c>
    </row>
    <row r="1536" spans="1:18" hidden="1">
      <c r="A1536" t="s">
        <v>3071</v>
      </c>
      <c r="B1536" t="s">
        <v>3072</v>
      </c>
      <c r="I1536" s="3" t="str">
        <f>+IFERROR(VLOOKUP(C1536,'Mov 2023 hasta ahora '!$C$2:$D$314,2,FALSE),"NO")</f>
        <v>NO</v>
      </c>
      <c r="K1536">
        <v>4</v>
      </c>
      <c r="L1536" t="s">
        <v>836</v>
      </c>
      <c r="M1536">
        <v>14</v>
      </c>
    </row>
    <row r="1537" spans="1:18" hidden="1">
      <c r="A1537" t="s">
        <v>3073</v>
      </c>
      <c r="B1537" t="s">
        <v>3074</v>
      </c>
      <c r="I1537" s="3" t="str">
        <f>+IFERROR(VLOOKUP(C1537,'Mov 2023 hasta ahora '!$C$2:$D$314,2,FALSE),"NO")</f>
        <v>NO</v>
      </c>
      <c r="K1537">
        <v>5</v>
      </c>
      <c r="L1537" t="s">
        <v>836</v>
      </c>
      <c r="M1537">
        <v>18</v>
      </c>
    </row>
    <row r="1538" spans="1:18" s="13" customFormat="1" hidden="1">
      <c r="A1538" s="23" t="s">
        <v>3075</v>
      </c>
      <c r="B1538" s="23" t="s">
        <v>3076</v>
      </c>
      <c r="C1538" s="23">
        <v>1490</v>
      </c>
      <c r="D1538" s="13" t="s">
        <v>436</v>
      </c>
      <c r="G1538"/>
      <c r="I1538" s="14" t="str">
        <f>+IFERROR(VLOOKUP(C1538,'Mov 2023 hasta ahora '!$C$2:$D$314,2,FALSE),"NO")</f>
        <v>NO</v>
      </c>
      <c r="K1538">
        <v>6</v>
      </c>
      <c r="L1538" t="s">
        <v>836</v>
      </c>
      <c r="M1538">
        <v>24</v>
      </c>
      <c r="O1538" s="29" t="s">
        <v>8795</v>
      </c>
      <c r="P1538" s="25" t="s">
        <v>8798</v>
      </c>
      <c r="Q1538" s="25">
        <v>1489</v>
      </c>
      <c r="R1538" t="s">
        <v>436</v>
      </c>
    </row>
    <row r="1539" spans="1:18" s="13" customFormat="1" hidden="1">
      <c r="A1539" s="23" t="s">
        <v>3077</v>
      </c>
      <c r="B1539" s="23" t="s">
        <v>3078</v>
      </c>
      <c r="C1539" s="23">
        <v>1498</v>
      </c>
      <c r="D1539" s="13" t="s">
        <v>436</v>
      </c>
      <c r="G1539"/>
      <c r="I1539" s="14" t="str">
        <f>+IFERROR(VLOOKUP(C1539,'Mov 2023 hasta ahora '!$C$2:$D$314,2,FALSE),"NO")</f>
        <v>NO</v>
      </c>
      <c r="K1539">
        <v>6</v>
      </c>
      <c r="L1539" t="s">
        <v>836</v>
      </c>
      <c r="M1539">
        <v>24</v>
      </c>
      <c r="O1539" s="29" t="s">
        <v>8804</v>
      </c>
      <c r="P1539" s="25" t="s">
        <v>8808</v>
      </c>
      <c r="Q1539" s="25">
        <v>1497</v>
      </c>
      <c r="R1539" s="13" t="s">
        <v>436</v>
      </c>
    </row>
    <row r="1540" spans="1:18" s="13" customFormat="1" hidden="1">
      <c r="A1540" s="23" t="s">
        <v>3079</v>
      </c>
      <c r="B1540" s="23" t="s">
        <v>3080</v>
      </c>
      <c r="C1540" s="23">
        <v>1859</v>
      </c>
      <c r="D1540" s="13" t="s">
        <v>436</v>
      </c>
      <c r="G1540"/>
      <c r="I1540" s="14" t="str">
        <f>+IFERROR(VLOOKUP(C1540,'Mov 2023 hasta ahora '!$C$2:$D$314,2,FALSE),"NO")</f>
        <v>NO</v>
      </c>
      <c r="K1540">
        <v>6</v>
      </c>
      <c r="L1540" t="s">
        <v>836</v>
      </c>
      <c r="M1540">
        <v>24</v>
      </c>
      <c r="O1540" s="29" t="s">
        <v>8820</v>
      </c>
      <c r="P1540" s="25" t="s">
        <v>8826</v>
      </c>
      <c r="Q1540" s="25">
        <v>1858</v>
      </c>
      <c r="R1540" t="s">
        <v>436</v>
      </c>
    </row>
    <row r="1541" spans="1:18" hidden="1">
      <c r="A1541" t="s">
        <v>3081</v>
      </c>
      <c r="B1541" t="s">
        <v>3082</v>
      </c>
      <c r="I1541" s="3" t="str">
        <f>+IFERROR(VLOOKUP(C1541,'Mov 2023 hasta ahora '!$C$2:$D$314,2,FALSE),"NO")</f>
        <v>NO</v>
      </c>
      <c r="K1541">
        <v>4</v>
      </c>
      <c r="L1541" t="s">
        <v>836</v>
      </c>
      <c r="M1541">
        <v>14</v>
      </c>
    </row>
    <row r="1542" spans="1:18" hidden="1">
      <c r="A1542" t="s">
        <v>3083</v>
      </c>
      <c r="B1542" t="s">
        <v>3084</v>
      </c>
      <c r="I1542" s="3" t="str">
        <f>+IFERROR(VLOOKUP(C1542,'Mov 2023 hasta ahora '!$C$2:$D$314,2,FALSE),"NO")</f>
        <v>NO</v>
      </c>
      <c r="K1542">
        <v>5</v>
      </c>
      <c r="L1542" t="s">
        <v>836</v>
      </c>
      <c r="M1542">
        <v>18</v>
      </c>
    </row>
    <row r="1543" spans="1:18" s="13" customFormat="1" hidden="1">
      <c r="A1543" s="23" t="s">
        <v>3085</v>
      </c>
      <c r="B1543" s="23" t="s">
        <v>3086</v>
      </c>
      <c r="C1543" s="23">
        <v>1514</v>
      </c>
      <c r="D1543" s="13" t="s">
        <v>436</v>
      </c>
      <c r="G1543"/>
      <c r="I1543" s="14" t="str">
        <f>+IFERROR(VLOOKUP(C1543,'Mov 2023 hasta ahora '!$C$2:$D$314,2,FALSE),"NO")</f>
        <v>NO</v>
      </c>
      <c r="K1543">
        <v>6</v>
      </c>
      <c r="L1543" t="s">
        <v>836</v>
      </c>
      <c r="M1543">
        <v>24</v>
      </c>
      <c r="O1543" s="29" t="s">
        <v>9002</v>
      </c>
      <c r="P1543" s="25" t="s">
        <v>8799</v>
      </c>
      <c r="Q1543" s="25">
        <v>1513</v>
      </c>
      <c r="R1543" t="s">
        <v>436</v>
      </c>
    </row>
    <row r="1544" spans="1:18" s="13" customFormat="1" hidden="1">
      <c r="A1544" s="23" t="s">
        <v>3087</v>
      </c>
      <c r="B1544" s="23" t="s">
        <v>3088</v>
      </c>
      <c r="C1544" s="23">
        <v>1506</v>
      </c>
      <c r="D1544" s="13" t="s">
        <v>436</v>
      </c>
      <c r="G1544"/>
      <c r="I1544" s="14" t="str">
        <f>+IFERROR(VLOOKUP(C1544,'Mov 2023 hasta ahora '!$C$2:$D$314,2,FALSE),"NO")</f>
        <v>NO</v>
      </c>
      <c r="K1544">
        <v>6</v>
      </c>
      <c r="L1544" t="s">
        <v>836</v>
      </c>
      <c r="M1544">
        <v>24</v>
      </c>
      <c r="O1544" s="29" t="s">
        <v>9003</v>
      </c>
      <c r="P1544" s="25" t="s">
        <v>8803</v>
      </c>
      <c r="Q1544" s="25">
        <v>1505</v>
      </c>
      <c r="R1544" t="s">
        <v>436</v>
      </c>
    </row>
    <row r="1545" spans="1:18" s="13" customFormat="1" hidden="1">
      <c r="A1545" s="23" t="s">
        <v>3089</v>
      </c>
      <c r="B1545" s="23" t="s">
        <v>3090</v>
      </c>
      <c r="C1545" s="23">
        <v>1867</v>
      </c>
      <c r="D1545" s="13" t="s">
        <v>436</v>
      </c>
      <c r="G1545"/>
      <c r="I1545" s="14" t="str">
        <f>+IFERROR(VLOOKUP(C1545,'Mov 2023 hasta ahora '!$C$2:$D$314,2,FALSE),"NO")</f>
        <v>NO</v>
      </c>
      <c r="K1545">
        <v>6</v>
      </c>
      <c r="L1545" t="s">
        <v>836</v>
      </c>
      <c r="M1545">
        <v>24</v>
      </c>
      <c r="O1545" s="29" t="s">
        <v>9004</v>
      </c>
      <c r="P1545" s="25" t="s">
        <v>8822</v>
      </c>
      <c r="Q1545" s="25">
        <v>1866</v>
      </c>
      <c r="R1545" t="s">
        <v>436</v>
      </c>
    </row>
    <row r="1546" spans="1:18" hidden="1">
      <c r="A1546" t="s">
        <v>3091</v>
      </c>
      <c r="B1546" t="s">
        <v>3092</v>
      </c>
      <c r="I1546" s="3" t="str">
        <f>+IFERROR(VLOOKUP(C1546,'Mov 2023 hasta ahora '!$C$2:$D$314,2,FALSE),"NO")</f>
        <v>NO</v>
      </c>
      <c r="K1546">
        <v>4</v>
      </c>
      <c r="L1546" t="s">
        <v>836</v>
      </c>
      <c r="M1546">
        <v>14</v>
      </c>
    </row>
    <row r="1547" spans="1:18" hidden="1">
      <c r="A1547" t="s">
        <v>3093</v>
      </c>
      <c r="B1547" t="s">
        <v>3094</v>
      </c>
      <c r="I1547" s="3" t="str">
        <f>+IFERROR(VLOOKUP(C1547,'Mov 2023 hasta ahora '!$C$2:$D$314,2,FALSE),"NO")</f>
        <v>NO</v>
      </c>
      <c r="K1547">
        <v>5</v>
      </c>
      <c r="L1547" t="s">
        <v>836</v>
      </c>
      <c r="M1547">
        <v>18</v>
      </c>
    </row>
    <row r="1548" spans="1:18" hidden="1">
      <c r="A1548" s="23" t="s">
        <v>3095</v>
      </c>
      <c r="B1548" s="23" t="s">
        <v>3096</v>
      </c>
      <c r="C1548" s="23">
        <v>1875</v>
      </c>
      <c r="D1548" t="s">
        <v>436</v>
      </c>
      <c r="I1548" s="3" t="str">
        <f>+IFERROR(VLOOKUP(C1548,'Mov 2023 hasta ahora '!$C$2:$D$314,2,FALSE),"NO")</f>
        <v>NO</v>
      </c>
      <c r="K1548">
        <v>6</v>
      </c>
      <c r="L1548" t="s">
        <v>836</v>
      </c>
      <c r="M1548">
        <v>24</v>
      </c>
      <c r="O1548" s="29" t="s">
        <v>8861</v>
      </c>
      <c r="P1548" s="25" t="s">
        <v>8868</v>
      </c>
      <c r="Q1548" s="25">
        <v>1419</v>
      </c>
      <c r="R1548" t="s">
        <v>436</v>
      </c>
    </row>
    <row r="1549" spans="1:18" hidden="1">
      <c r="A1549" t="s">
        <v>3097</v>
      </c>
      <c r="B1549" t="s">
        <v>3098</v>
      </c>
      <c r="I1549" s="3" t="str">
        <f>+IFERROR(VLOOKUP(C1549,'Mov 2023 hasta ahora '!$C$2:$D$314,2,FALSE),"NO")</f>
        <v>NO</v>
      </c>
      <c r="K1549">
        <v>5</v>
      </c>
      <c r="L1549" t="s">
        <v>836</v>
      </c>
      <c r="M1549">
        <v>18</v>
      </c>
    </row>
    <row r="1550" spans="1:18" hidden="1">
      <c r="A1550" s="23" t="s">
        <v>3099</v>
      </c>
      <c r="B1550" s="23" t="s">
        <v>3100</v>
      </c>
      <c r="C1550" s="23">
        <v>1769</v>
      </c>
      <c r="D1550" t="s">
        <v>436</v>
      </c>
      <c r="I1550" s="3" t="str">
        <f>+IFERROR(VLOOKUP(C1550,'Mov 2023 hasta ahora '!$C$2:$D$314,2,FALSE),"NO")</f>
        <v>NO</v>
      </c>
      <c r="K1550">
        <v>6</v>
      </c>
      <c r="L1550" t="s">
        <v>836</v>
      </c>
      <c r="M1550">
        <v>24</v>
      </c>
      <c r="O1550" s="29" t="s">
        <v>9049</v>
      </c>
      <c r="P1550" s="25" t="s">
        <v>9050</v>
      </c>
      <c r="Q1550" s="25">
        <v>1363</v>
      </c>
      <c r="R1550" t="s">
        <v>436</v>
      </c>
    </row>
    <row r="1551" spans="1:18" hidden="1">
      <c r="A1551" s="23" t="s">
        <v>3101</v>
      </c>
      <c r="B1551" s="23" t="s">
        <v>3102</v>
      </c>
      <c r="C1551" s="23">
        <v>1770</v>
      </c>
      <c r="D1551" t="s">
        <v>436</v>
      </c>
      <c r="I1551" s="3" t="str">
        <f>+IFERROR(VLOOKUP(C1551,'Mov 2023 hasta ahora '!$C$2:$D$314,2,FALSE),"NO")</f>
        <v>NO</v>
      </c>
      <c r="K1551">
        <v>6</v>
      </c>
      <c r="L1551" t="s">
        <v>836</v>
      </c>
      <c r="M1551">
        <v>24</v>
      </c>
      <c r="O1551" s="29" t="s">
        <v>9014</v>
      </c>
      <c r="P1551" s="25" t="s">
        <v>8890</v>
      </c>
      <c r="Q1551" s="25">
        <v>1244</v>
      </c>
      <c r="R1551" t="s">
        <v>436</v>
      </c>
    </row>
    <row r="1552" spans="1:18" hidden="1">
      <c r="A1552" s="23" t="s">
        <v>3103</v>
      </c>
      <c r="B1552" s="23" t="s">
        <v>3104</v>
      </c>
      <c r="C1552" s="23">
        <v>1771</v>
      </c>
      <c r="D1552" t="s">
        <v>436</v>
      </c>
      <c r="I1552" s="3" t="str">
        <f>+IFERROR(VLOOKUP(C1552,'Mov 2023 hasta ahora '!$C$2:$D$314,2,FALSE),"NO")</f>
        <v>NO</v>
      </c>
      <c r="K1552">
        <v>6</v>
      </c>
      <c r="L1552" t="s">
        <v>836</v>
      </c>
      <c r="M1552">
        <v>24</v>
      </c>
      <c r="O1552" s="29" t="s">
        <v>9030</v>
      </c>
      <c r="P1552" s="25" t="s">
        <v>9029</v>
      </c>
      <c r="Q1552" s="25">
        <v>3817</v>
      </c>
      <c r="R1552" t="s">
        <v>436</v>
      </c>
    </row>
    <row r="1553" spans="1:18" hidden="1">
      <c r="A1553" t="s">
        <v>3105</v>
      </c>
      <c r="B1553" t="s">
        <v>3106</v>
      </c>
      <c r="I1553" s="3" t="str">
        <f>+IFERROR(VLOOKUP(C1553,'Mov 2023 hasta ahora '!$C$2:$D$314,2,FALSE),"NO")</f>
        <v>NO</v>
      </c>
      <c r="K1553">
        <v>3</v>
      </c>
      <c r="L1553" t="s">
        <v>836</v>
      </c>
      <c r="M1553">
        <v>10</v>
      </c>
    </row>
    <row r="1554" spans="1:18" hidden="1">
      <c r="A1554" t="s">
        <v>3107</v>
      </c>
      <c r="B1554" t="s">
        <v>3108</v>
      </c>
      <c r="I1554" s="3" t="str">
        <f>+IFERROR(VLOOKUP(C1554,'Mov 2023 hasta ahora '!$C$2:$D$314,2,FALSE),"NO")</f>
        <v>NO</v>
      </c>
      <c r="K1554">
        <v>4</v>
      </c>
      <c r="L1554" t="s">
        <v>836</v>
      </c>
      <c r="M1554">
        <v>14</v>
      </c>
    </row>
    <row r="1555" spans="1:18" hidden="1">
      <c r="A1555" t="s">
        <v>3109</v>
      </c>
      <c r="B1555" t="s">
        <v>3110</v>
      </c>
      <c r="I1555" s="3" t="str">
        <f>+IFERROR(VLOOKUP(C1555,'Mov 2023 hasta ahora '!$C$2:$D$314,2,FALSE),"NO")</f>
        <v>NO</v>
      </c>
      <c r="K1555">
        <v>5</v>
      </c>
      <c r="L1555" t="s">
        <v>836</v>
      </c>
      <c r="M1555">
        <v>18</v>
      </c>
    </row>
    <row r="1556" spans="1:18" s="13" customFormat="1" hidden="1">
      <c r="A1556" s="23" t="s">
        <v>3111</v>
      </c>
      <c r="B1556" s="23" t="s">
        <v>3112</v>
      </c>
      <c r="C1556" s="23">
        <v>1443</v>
      </c>
      <c r="D1556" s="13" t="s">
        <v>436</v>
      </c>
      <c r="G1556"/>
      <c r="I1556" s="14" t="str">
        <f>+IFERROR(VLOOKUP(C1556,'Mov 2023 hasta ahora '!$C$2:$D$314,2,FALSE),"NO")</f>
        <v>NO</v>
      </c>
      <c r="K1556">
        <v>6</v>
      </c>
      <c r="L1556" t="s">
        <v>836</v>
      </c>
      <c r="M1556">
        <v>24</v>
      </c>
      <c r="O1556" s="29" t="s">
        <v>8794</v>
      </c>
      <c r="P1556" s="25" t="s">
        <v>8982</v>
      </c>
      <c r="Q1556" s="25">
        <v>1441</v>
      </c>
      <c r="R1556" t="s">
        <v>436</v>
      </c>
    </row>
    <row r="1557" spans="1:18" s="13" customFormat="1" hidden="1">
      <c r="A1557" s="23" t="s">
        <v>3113</v>
      </c>
      <c r="B1557" s="23" t="s">
        <v>3114</v>
      </c>
      <c r="C1557" s="23">
        <v>1450</v>
      </c>
      <c r="D1557" s="13" t="s">
        <v>436</v>
      </c>
      <c r="G1557"/>
      <c r="I1557" s="14" t="str">
        <f>+IFERROR(VLOOKUP(C1557,'Mov 2023 hasta ahora '!$C$2:$D$314,2,FALSE),"NO")</f>
        <v>NO</v>
      </c>
      <c r="K1557">
        <v>6</v>
      </c>
      <c r="L1557" t="s">
        <v>836</v>
      </c>
      <c r="M1557">
        <v>24</v>
      </c>
      <c r="O1557" s="29" t="s">
        <v>8809</v>
      </c>
      <c r="P1557" s="25" t="s">
        <v>8983</v>
      </c>
      <c r="Q1557" s="25">
        <v>1448</v>
      </c>
      <c r="R1557" t="s">
        <v>436</v>
      </c>
    </row>
    <row r="1558" spans="1:18" s="13" customFormat="1" hidden="1">
      <c r="A1558" s="23" t="s">
        <v>3115</v>
      </c>
      <c r="B1558" s="23" t="s">
        <v>3116</v>
      </c>
      <c r="C1558" s="23">
        <v>1828</v>
      </c>
      <c r="D1558" s="13" t="s">
        <v>436</v>
      </c>
      <c r="G1558"/>
      <c r="I1558" s="14" t="str">
        <f>+IFERROR(VLOOKUP(C1558,'Mov 2023 hasta ahora '!$C$2:$D$314,2,FALSE),"NO")</f>
        <v>NO</v>
      </c>
      <c r="K1558">
        <v>6</v>
      </c>
      <c r="L1558" t="s">
        <v>836</v>
      </c>
      <c r="M1558">
        <v>24</v>
      </c>
      <c r="O1558" s="29" t="s">
        <v>8827</v>
      </c>
      <c r="P1558" s="25" t="s">
        <v>8984</v>
      </c>
      <c r="Q1558" s="25">
        <v>1826</v>
      </c>
      <c r="R1558" t="s">
        <v>436</v>
      </c>
    </row>
    <row r="1559" spans="1:18" hidden="1">
      <c r="A1559" t="s">
        <v>3117</v>
      </c>
      <c r="B1559" t="s">
        <v>3118</v>
      </c>
      <c r="I1559" s="3" t="str">
        <f>+IFERROR(VLOOKUP(C1559,'Mov 2023 hasta ahora '!$C$2:$D$314,2,FALSE),"NO")</f>
        <v>NO</v>
      </c>
      <c r="K1559">
        <v>4</v>
      </c>
      <c r="L1559" t="s">
        <v>836</v>
      </c>
      <c r="M1559">
        <v>14</v>
      </c>
    </row>
    <row r="1560" spans="1:18" hidden="1">
      <c r="A1560" t="s">
        <v>3119</v>
      </c>
      <c r="B1560" t="s">
        <v>3120</v>
      </c>
      <c r="I1560" s="3" t="str">
        <f>+IFERROR(VLOOKUP(C1560,'Mov 2023 hasta ahora '!$C$2:$D$314,2,FALSE),"NO")</f>
        <v>NO</v>
      </c>
      <c r="K1560">
        <v>5</v>
      </c>
      <c r="L1560" t="s">
        <v>836</v>
      </c>
      <c r="M1560">
        <v>18</v>
      </c>
    </row>
    <row r="1561" spans="1:18" s="13" customFormat="1" hidden="1">
      <c r="A1561" s="23" t="s">
        <v>3121</v>
      </c>
      <c r="B1561" s="23" t="s">
        <v>3122</v>
      </c>
      <c r="C1561" s="23">
        <v>1459</v>
      </c>
      <c r="D1561" s="13" t="s">
        <v>436</v>
      </c>
      <c r="G1561"/>
      <c r="I1561" s="14" t="str">
        <f>+IFERROR(VLOOKUP(C1561,'Mov 2023 hasta ahora '!$C$2:$D$314,2,FALSE),"NO")</f>
        <v>NO</v>
      </c>
      <c r="K1561">
        <v>6</v>
      </c>
      <c r="L1561" t="s">
        <v>836</v>
      </c>
      <c r="M1561">
        <v>24</v>
      </c>
      <c r="O1561" s="29" t="s">
        <v>8800</v>
      </c>
      <c r="P1561" s="25" t="s">
        <v>8988</v>
      </c>
      <c r="Q1561" s="25">
        <v>1457</v>
      </c>
      <c r="R1561" t="s">
        <v>436</v>
      </c>
    </row>
    <row r="1562" spans="1:18" s="13" customFormat="1" hidden="1">
      <c r="A1562" s="23" t="s">
        <v>3123</v>
      </c>
      <c r="B1562" s="23" t="s">
        <v>3124</v>
      </c>
      <c r="C1562" s="23">
        <v>1467</v>
      </c>
      <c r="D1562" s="13" t="s">
        <v>436</v>
      </c>
      <c r="G1562"/>
      <c r="I1562" s="14" t="str">
        <f>+IFERROR(VLOOKUP(C1562,'Mov 2023 hasta ahora '!$C$2:$D$314,2,FALSE),"NO")</f>
        <v>NO</v>
      </c>
      <c r="K1562">
        <v>6</v>
      </c>
      <c r="L1562" t="s">
        <v>836</v>
      </c>
      <c r="M1562">
        <v>24</v>
      </c>
      <c r="O1562" s="29" t="s">
        <v>8810</v>
      </c>
      <c r="P1562" s="25" t="s">
        <v>8989</v>
      </c>
      <c r="Q1562" s="25">
        <v>1465</v>
      </c>
      <c r="R1562" t="s">
        <v>436</v>
      </c>
    </row>
    <row r="1563" spans="1:18" s="13" customFormat="1" hidden="1">
      <c r="A1563" s="23" t="s">
        <v>3125</v>
      </c>
      <c r="B1563" s="23" t="s">
        <v>3126</v>
      </c>
      <c r="C1563" s="23">
        <v>1836</v>
      </c>
      <c r="D1563" s="13" t="s">
        <v>436</v>
      </c>
      <c r="G1563"/>
      <c r="I1563" s="14" t="str">
        <f>+IFERROR(VLOOKUP(C1563,'Mov 2023 hasta ahora '!$C$2:$D$314,2,FALSE),"NO")</f>
        <v>NO</v>
      </c>
      <c r="K1563">
        <v>6</v>
      </c>
      <c r="L1563" t="s">
        <v>836</v>
      </c>
      <c r="M1563">
        <v>24</v>
      </c>
      <c r="O1563" s="29" t="s">
        <v>8831</v>
      </c>
      <c r="P1563" s="25" t="s">
        <v>8990</v>
      </c>
      <c r="Q1563" s="25">
        <v>1834</v>
      </c>
      <c r="R1563" t="s">
        <v>436</v>
      </c>
    </row>
    <row r="1564" spans="1:18" hidden="1">
      <c r="A1564" t="s">
        <v>3127</v>
      </c>
      <c r="B1564" t="s">
        <v>3128</v>
      </c>
      <c r="I1564" s="3" t="str">
        <f>+IFERROR(VLOOKUP(C1564,'Mov 2023 hasta ahora '!$C$2:$D$314,2,FALSE),"NO")</f>
        <v>NO</v>
      </c>
      <c r="K1564">
        <v>4</v>
      </c>
      <c r="L1564" t="s">
        <v>836</v>
      </c>
      <c r="M1564">
        <v>14</v>
      </c>
    </row>
    <row r="1565" spans="1:18" hidden="1">
      <c r="A1565" t="s">
        <v>3129</v>
      </c>
      <c r="B1565" t="s">
        <v>3130</v>
      </c>
      <c r="I1565" s="3" t="str">
        <f>+IFERROR(VLOOKUP(C1565,'Mov 2023 hasta ahora '!$C$2:$D$314,2,FALSE),"NO")</f>
        <v>NO</v>
      </c>
      <c r="K1565">
        <v>5</v>
      </c>
      <c r="L1565" t="s">
        <v>836</v>
      </c>
      <c r="M1565">
        <v>18</v>
      </c>
    </row>
    <row r="1566" spans="1:18" s="13" customFormat="1" hidden="1">
      <c r="A1566" s="23" t="s">
        <v>3131</v>
      </c>
      <c r="B1566" s="23" t="s">
        <v>3132</v>
      </c>
      <c r="C1566" s="23">
        <v>1581</v>
      </c>
      <c r="D1566" s="13" t="s">
        <v>436</v>
      </c>
      <c r="G1566"/>
      <c r="I1566" s="14" t="str">
        <f>+IFERROR(VLOOKUP(C1566,'Mov 2023 hasta ahora '!$C$2:$D$314,2,FALSE),"NO")</f>
        <v>NO</v>
      </c>
      <c r="K1566">
        <v>6</v>
      </c>
      <c r="L1566" t="s">
        <v>836</v>
      </c>
      <c r="M1566">
        <v>24</v>
      </c>
      <c r="O1566" s="29" t="s">
        <v>8815</v>
      </c>
      <c r="P1566" s="25" t="s">
        <v>8796</v>
      </c>
      <c r="Q1566" s="25">
        <v>1579</v>
      </c>
      <c r="R1566" t="s">
        <v>436</v>
      </c>
    </row>
    <row r="1567" spans="1:18" s="13" customFormat="1" hidden="1">
      <c r="A1567" s="23" t="s">
        <v>3133</v>
      </c>
      <c r="B1567" s="23" t="s">
        <v>3134</v>
      </c>
      <c r="C1567" s="23">
        <v>1588</v>
      </c>
      <c r="D1567" s="13" t="s">
        <v>436</v>
      </c>
      <c r="G1567"/>
      <c r="I1567" s="14" t="str">
        <f>+IFERROR(VLOOKUP(C1567,'Mov 2023 hasta ahora '!$C$2:$D$314,2,FALSE),"NO")</f>
        <v>NO</v>
      </c>
      <c r="K1567">
        <v>6</v>
      </c>
      <c r="L1567" t="s">
        <v>836</v>
      </c>
      <c r="M1567">
        <v>24</v>
      </c>
      <c r="O1567" s="29" t="s">
        <v>8816</v>
      </c>
      <c r="P1567" s="25" t="s">
        <v>8806</v>
      </c>
      <c r="Q1567" s="25">
        <v>1589</v>
      </c>
      <c r="R1567" t="s">
        <v>436</v>
      </c>
    </row>
    <row r="1568" spans="1:18" s="13" customFormat="1" hidden="1">
      <c r="A1568" s="23" t="s">
        <v>3135</v>
      </c>
      <c r="B1568" s="23" t="s">
        <v>3136</v>
      </c>
      <c r="C1568" s="23">
        <v>1844</v>
      </c>
      <c r="D1568" s="13" t="s">
        <v>436</v>
      </c>
      <c r="G1568"/>
      <c r="I1568" s="14" t="str">
        <f>+IFERROR(VLOOKUP(C1568,'Mov 2023 hasta ahora '!$C$2:$D$314,2,FALSE),"NO")</f>
        <v>NO</v>
      </c>
      <c r="K1568">
        <v>6</v>
      </c>
      <c r="L1568" t="s">
        <v>836</v>
      </c>
      <c r="M1568">
        <v>24</v>
      </c>
      <c r="O1568" s="29" t="s">
        <v>8823</v>
      </c>
      <c r="P1568" s="25" t="s">
        <v>8824</v>
      </c>
      <c r="Q1568" s="25">
        <v>1842</v>
      </c>
      <c r="R1568" t="s">
        <v>436</v>
      </c>
    </row>
    <row r="1569" spans="1:18" hidden="1">
      <c r="A1569" t="s">
        <v>3137</v>
      </c>
      <c r="B1569" t="s">
        <v>3138</v>
      </c>
      <c r="I1569" s="3" t="str">
        <f>+IFERROR(VLOOKUP(C1569,'Mov 2023 hasta ahora '!$C$2:$D$314,2,FALSE),"NO")</f>
        <v>NO</v>
      </c>
      <c r="K1569">
        <v>4</v>
      </c>
      <c r="L1569" t="s">
        <v>836</v>
      </c>
      <c r="M1569">
        <v>14</v>
      </c>
    </row>
    <row r="1570" spans="1:18" hidden="1">
      <c r="A1570" t="s">
        <v>3139</v>
      </c>
      <c r="B1570" t="s">
        <v>3140</v>
      </c>
      <c r="I1570" s="3" t="str">
        <f>+IFERROR(VLOOKUP(C1570,'Mov 2023 hasta ahora '!$C$2:$D$314,2,FALSE),"NO")</f>
        <v>NO</v>
      </c>
      <c r="K1570">
        <v>5</v>
      </c>
      <c r="L1570" t="s">
        <v>836</v>
      </c>
      <c r="M1570">
        <v>18</v>
      </c>
    </row>
    <row r="1571" spans="1:18" s="13" customFormat="1" hidden="1">
      <c r="A1571" s="23" t="s">
        <v>3141</v>
      </c>
      <c r="B1571" s="23" t="s">
        <v>3142</v>
      </c>
      <c r="C1571" s="23">
        <v>1483</v>
      </c>
      <c r="D1571" s="13" t="s">
        <v>436</v>
      </c>
      <c r="G1571"/>
      <c r="I1571" s="14" t="str">
        <f>+IFERROR(VLOOKUP(C1571,'Mov 2023 hasta ahora '!$C$2:$D$314,2,FALSE),"NO")</f>
        <v>NO</v>
      </c>
      <c r="K1571">
        <v>6</v>
      </c>
      <c r="L1571" t="s">
        <v>836</v>
      </c>
      <c r="M1571">
        <v>24</v>
      </c>
      <c r="O1571" s="29" t="s">
        <v>8752</v>
      </c>
      <c r="P1571" s="25" t="s">
        <v>8995</v>
      </c>
      <c r="Q1571" s="25">
        <v>1481</v>
      </c>
      <c r="R1571" t="s">
        <v>436</v>
      </c>
    </row>
    <row r="1572" spans="1:18" s="13" customFormat="1" hidden="1">
      <c r="A1572" s="23" t="s">
        <v>3143</v>
      </c>
      <c r="B1572" s="23" t="s">
        <v>3144</v>
      </c>
      <c r="C1572" s="23">
        <v>1475</v>
      </c>
      <c r="D1572" s="13" t="s">
        <v>436</v>
      </c>
      <c r="G1572"/>
      <c r="I1572" s="14" t="str">
        <f>+IFERROR(VLOOKUP(C1572,'Mov 2023 hasta ahora '!$C$2:$D$314,2,FALSE),"NO")</f>
        <v>NO</v>
      </c>
      <c r="K1572">
        <v>6</v>
      </c>
      <c r="L1572" t="s">
        <v>836</v>
      </c>
      <c r="M1572">
        <v>24</v>
      </c>
      <c r="O1572" s="29" t="s">
        <v>8766</v>
      </c>
      <c r="P1572" s="25" t="s">
        <v>8996</v>
      </c>
      <c r="Q1572" s="25">
        <v>1473</v>
      </c>
      <c r="R1572" t="s">
        <v>436</v>
      </c>
    </row>
    <row r="1573" spans="1:18" s="13" customFormat="1" hidden="1">
      <c r="A1573" s="23" t="s">
        <v>3145</v>
      </c>
      <c r="B1573" s="23" t="s">
        <v>3146</v>
      </c>
      <c r="C1573" s="23">
        <v>1852</v>
      </c>
      <c r="D1573" s="13" t="s">
        <v>436</v>
      </c>
      <c r="G1573"/>
      <c r="I1573" s="14" t="str">
        <f>+IFERROR(VLOOKUP(C1573,'Mov 2023 hasta ahora '!$C$2:$D$314,2,FALSE),"NO")</f>
        <v>NO</v>
      </c>
      <c r="K1573">
        <v>6</v>
      </c>
      <c r="L1573" t="s">
        <v>836</v>
      </c>
      <c r="M1573">
        <v>24</v>
      </c>
      <c r="O1573" s="29" t="s">
        <v>8764</v>
      </c>
      <c r="P1573" s="25" t="s">
        <v>8997</v>
      </c>
      <c r="Q1573" s="25">
        <v>1850</v>
      </c>
      <c r="R1573" t="s">
        <v>436</v>
      </c>
    </row>
    <row r="1574" spans="1:18" hidden="1">
      <c r="A1574" t="s">
        <v>3147</v>
      </c>
      <c r="B1574" t="s">
        <v>3148</v>
      </c>
      <c r="I1574" s="3" t="str">
        <f>+IFERROR(VLOOKUP(C1574,'Mov 2023 hasta ahora '!$C$2:$D$314,2,FALSE),"NO")</f>
        <v>NO</v>
      </c>
      <c r="K1574">
        <v>4</v>
      </c>
      <c r="L1574" t="s">
        <v>836</v>
      </c>
      <c r="M1574">
        <v>14</v>
      </c>
    </row>
    <row r="1575" spans="1:18" hidden="1">
      <c r="A1575" t="s">
        <v>3149</v>
      </c>
      <c r="B1575" t="s">
        <v>3150</v>
      </c>
      <c r="I1575" s="3" t="str">
        <f>+IFERROR(VLOOKUP(C1575,'Mov 2023 hasta ahora '!$C$2:$D$314,2,FALSE),"NO")</f>
        <v>NO</v>
      </c>
      <c r="K1575">
        <v>5</v>
      </c>
      <c r="L1575" t="s">
        <v>836</v>
      </c>
      <c r="M1575">
        <v>18</v>
      </c>
    </row>
    <row r="1576" spans="1:18" s="13" customFormat="1" hidden="1">
      <c r="A1576" s="23" t="s">
        <v>3151</v>
      </c>
      <c r="B1576" s="23" t="s">
        <v>3152</v>
      </c>
      <c r="C1576" s="23">
        <v>1491</v>
      </c>
      <c r="D1576" s="13" t="s">
        <v>436</v>
      </c>
      <c r="G1576"/>
      <c r="I1576" s="14" t="str">
        <f>+IFERROR(VLOOKUP(C1576,'Mov 2023 hasta ahora '!$C$2:$D$314,2,FALSE),"NO")</f>
        <v>NO</v>
      </c>
      <c r="K1576">
        <v>6</v>
      </c>
      <c r="L1576" t="s">
        <v>836</v>
      </c>
      <c r="M1576">
        <v>24</v>
      </c>
      <c r="O1576" s="29" t="s">
        <v>8795</v>
      </c>
      <c r="P1576" s="25" t="s">
        <v>8798</v>
      </c>
      <c r="Q1576" s="25">
        <v>1489</v>
      </c>
      <c r="R1576" t="s">
        <v>436</v>
      </c>
    </row>
    <row r="1577" spans="1:18" s="13" customFormat="1" hidden="1">
      <c r="A1577" s="23" t="s">
        <v>3153</v>
      </c>
      <c r="B1577" s="23" t="s">
        <v>3154</v>
      </c>
      <c r="C1577" s="23">
        <v>1499</v>
      </c>
      <c r="D1577" s="13" t="s">
        <v>436</v>
      </c>
      <c r="G1577"/>
      <c r="I1577" s="14" t="str">
        <f>+IFERROR(VLOOKUP(C1577,'Mov 2023 hasta ahora '!$C$2:$D$314,2,FALSE),"NO")</f>
        <v>NO</v>
      </c>
      <c r="K1577">
        <v>6</v>
      </c>
      <c r="L1577" t="s">
        <v>836</v>
      </c>
      <c r="M1577">
        <v>24</v>
      </c>
      <c r="O1577" s="29" t="s">
        <v>8804</v>
      </c>
      <c r="P1577" s="25" t="s">
        <v>8808</v>
      </c>
      <c r="Q1577" s="25">
        <v>1497</v>
      </c>
      <c r="R1577" s="13" t="s">
        <v>436</v>
      </c>
    </row>
    <row r="1578" spans="1:18" s="13" customFormat="1" hidden="1">
      <c r="A1578" s="23" t="s">
        <v>3155</v>
      </c>
      <c r="B1578" s="23" t="s">
        <v>3156</v>
      </c>
      <c r="C1578" s="23">
        <v>1860</v>
      </c>
      <c r="D1578" s="13" t="s">
        <v>436</v>
      </c>
      <c r="G1578"/>
      <c r="I1578" s="14" t="str">
        <f>+IFERROR(VLOOKUP(C1578,'Mov 2023 hasta ahora '!$C$2:$D$314,2,FALSE),"NO")</f>
        <v>NO</v>
      </c>
      <c r="K1578">
        <v>6</v>
      </c>
      <c r="L1578" t="s">
        <v>836</v>
      </c>
      <c r="M1578">
        <v>24</v>
      </c>
      <c r="O1578" s="29" t="s">
        <v>8820</v>
      </c>
      <c r="P1578" s="25" t="s">
        <v>8826</v>
      </c>
      <c r="Q1578" s="25">
        <v>1858</v>
      </c>
      <c r="R1578" t="s">
        <v>436</v>
      </c>
    </row>
    <row r="1579" spans="1:18" hidden="1">
      <c r="A1579" t="s">
        <v>3157</v>
      </c>
      <c r="B1579" t="s">
        <v>3158</v>
      </c>
      <c r="I1579" s="3" t="str">
        <f>+IFERROR(VLOOKUP(C1579,'Mov 2023 hasta ahora '!$C$2:$D$314,2,FALSE),"NO")</f>
        <v>NO</v>
      </c>
      <c r="K1579">
        <v>4</v>
      </c>
      <c r="L1579" t="s">
        <v>836</v>
      </c>
      <c r="M1579">
        <v>14</v>
      </c>
    </row>
    <row r="1580" spans="1:18" hidden="1">
      <c r="A1580" t="s">
        <v>3159</v>
      </c>
      <c r="B1580" t="s">
        <v>3160</v>
      </c>
      <c r="I1580" s="3" t="str">
        <f>+IFERROR(VLOOKUP(C1580,'Mov 2023 hasta ahora '!$C$2:$D$314,2,FALSE),"NO")</f>
        <v>NO</v>
      </c>
      <c r="K1580">
        <v>5</v>
      </c>
      <c r="L1580" t="s">
        <v>836</v>
      </c>
      <c r="M1580">
        <v>18</v>
      </c>
    </row>
    <row r="1581" spans="1:18" s="13" customFormat="1" hidden="1">
      <c r="A1581" s="23" t="s">
        <v>3161</v>
      </c>
      <c r="B1581" s="23" t="s">
        <v>3162</v>
      </c>
      <c r="C1581" s="23">
        <v>1515</v>
      </c>
      <c r="D1581" s="13" t="s">
        <v>436</v>
      </c>
      <c r="G1581"/>
      <c r="I1581" s="14" t="str">
        <f>+IFERROR(VLOOKUP(C1581,'Mov 2023 hasta ahora '!$C$2:$D$314,2,FALSE),"NO")</f>
        <v>NO</v>
      </c>
      <c r="K1581">
        <v>6</v>
      </c>
      <c r="L1581" t="s">
        <v>836</v>
      </c>
      <c r="M1581">
        <v>24</v>
      </c>
      <c r="O1581" s="29" t="s">
        <v>9002</v>
      </c>
      <c r="P1581" s="25" t="s">
        <v>8799</v>
      </c>
      <c r="Q1581" s="25">
        <v>1513</v>
      </c>
      <c r="R1581" t="s">
        <v>436</v>
      </c>
    </row>
    <row r="1582" spans="1:18" s="13" customFormat="1" hidden="1">
      <c r="A1582" s="23" t="s">
        <v>3163</v>
      </c>
      <c r="B1582" s="23" t="s">
        <v>3164</v>
      </c>
      <c r="C1582" s="23">
        <v>1507</v>
      </c>
      <c r="D1582" s="13" t="s">
        <v>436</v>
      </c>
      <c r="G1582"/>
      <c r="I1582" s="14" t="str">
        <f>+IFERROR(VLOOKUP(C1582,'Mov 2023 hasta ahora '!$C$2:$D$314,2,FALSE),"NO")</f>
        <v>NO</v>
      </c>
      <c r="K1582">
        <v>6</v>
      </c>
      <c r="L1582" t="s">
        <v>836</v>
      </c>
      <c r="M1582">
        <v>24</v>
      </c>
      <c r="O1582" s="29" t="s">
        <v>9003</v>
      </c>
      <c r="P1582" s="25" t="s">
        <v>8803</v>
      </c>
      <c r="Q1582" s="25">
        <v>1505</v>
      </c>
      <c r="R1582" t="s">
        <v>436</v>
      </c>
    </row>
    <row r="1583" spans="1:18" s="13" customFormat="1" hidden="1">
      <c r="A1583" s="23" t="s">
        <v>3165</v>
      </c>
      <c r="B1583" s="23" t="s">
        <v>3166</v>
      </c>
      <c r="C1583" s="23">
        <v>1868</v>
      </c>
      <c r="D1583" s="13" t="s">
        <v>436</v>
      </c>
      <c r="G1583"/>
      <c r="I1583" s="14" t="str">
        <f>+IFERROR(VLOOKUP(C1583,'Mov 2023 hasta ahora '!$C$2:$D$314,2,FALSE),"NO")</f>
        <v>NO</v>
      </c>
      <c r="K1583">
        <v>6</v>
      </c>
      <c r="L1583" t="s">
        <v>836</v>
      </c>
      <c r="M1583">
        <v>24</v>
      </c>
      <c r="O1583" s="29" t="s">
        <v>9004</v>
      </c>
      <c r="P1583" s="25" t="s">
        <v>8822</v>
      </c>
      <c r="Q1583" s="25">
        <v>1866</v>
      </c>
      <c r="R1583" t="s">
        <v>436</v>
      </c>
    </row>
    <row r="1584" spans="1:18" hidden="1">
      <c r="A1584" t="s">
        <v>3167</v>
      </c>
      <c r="B1584" t="s">
        <v>3168</v>
      </c>
      <c r="I1584" s="3" t="str">
        <f>+IFERROR(VLOOKUP(C1584,'Mov 2023 hasta ahora '!$C$2:$D$314,2,FALSE),"NO")</f>
        <v>NO</v>
      </c>
      <c r="K1584">
        <v>4</v>
      </c>
      <c r="L1584" t="s">
        <v>836</v>
      </c>
      <c r="M1584">
        <v>14</v>
      </c>
    </row>
    <row r="1585" spans="1:18" hidden="1">
      <c r="A1585" t="s">
        <v>3169</v>
      </c>
      <c r="B1585" t="s">
        <v>3170</v>
      </c>
      <c r="I1585" s="3" t="str">
        <f>+IFERROR(VLOOKUP(C1585,'Mov 2023 hasta ahora '!$C$2:$D$314,2,FALSE),"NO")</f>
        <v>NO</v>
      </c>
      <c r="K1585">
        <v>5</v>
      </c>
      <c r="L1585" t="s">
        <v>836</v>
      </c>
      <c r="M1585">
        <v>18</v>
      </c>
    </row>
    <row r="1586" spans="1:18" hidden="1">
      <c r="A1586" s="23" t="s">
        <v>3171</v>
      </c>
      <c r="B1586" s="23" t="s">
        <v>3172</v>
      </c>
      <c r="C1586" s="23">
        <v>1876</v>
      </c>
      <c r="D1586" t="s">
        <v>436</v>
      </c>
      <c r="I1586" s="3" t="str">
        <f>+IFERROR(VLOOKUP(C1586,'Mov 2023 hasta ahora '!$C$2:$D$314,2,FALSE),"NO")</f>
        <v>NO</v>
      </c>
      <c r="K1586">
        <v>6</v>
      </c>
      <c r="L1586" t="s">
        <v>836</v>
      </c>
      <c r="M1586">
        <v>24</v>
      </c>
      <c r="O1586" s="29" t="s">
        <v>8861</v>
      </c>
      <c r="P1586" s="25" t="s">
        <v>8868</v>
      </c>
      <c r="Q1586" s="25">
        <v>1419</v>
      </c>
      <c r="R1586" t="s">
        <v>436</v>
      </c>
    </row>
    <row r="1587" spans="1:18" hidden="1">
      <c r="A1587" t="s">
        <v>3173</v>
      </c>
      <c r="B1587" t="s">
        <v>3174</v>
      </c>
      <c r="I1587" s="3" t="str">
        <f>+IFERROR(VLOOKUP(C1587,'Mov 2023 hasta ahora '!$C$2:$D$314,2,FALSE),"NO")</f>
        <v>NO</v>
      </c>
      <c r="K1587">
        <v>5</v>
      </c>
      <c r="L1587" t="s">
        <v>836</v>
      </c>
      <c r="M1587">
        <v>18</v>
      </c>
    </row>
    <row r="1588" spans="1:18" hidden="1">
      <c r="A1588" s="23" t="s">
        <v>3175</v>
      </c>
      <c r="B1588" s="23" t="s">
        <v>3176</v>
      </c>
      <c r="C1588" s="23">
        <v>1747</v>
      </c>
      <c r="D1588" t="s">
        <v>436</v>
      </c>
      <c r="I1588" s="3" t="str">
        <f>+IFERROR(VLOOKUP(C1588,'Mov 2023 hasta ahora '!$C$2:$D$314,2,FALSE),"NO")</f>
        <v>NO</v>
      </c>
      <c r="K1588">
        <v>6</v>
      </c>
      <c r="L1588" t="s">
        <v>836</v>
      </c>
      <c r="M1588">
        <v>24</v>
      </c>
      <c r="O1588" s="29" t="s">
        <v>9049</v>
      </c>
      <c r="P1588" s="25" t="s">
        <v>9050</v>
      </c>
      <c r="Q1588" s="25">
        <v>1363</v>
      </c>
      <c r="R1588" t="s">
        <v>436</v>
      </c>
    </row>
    <row r="1589" spans="1:18" hidden="1">
      <c r="A1589" s="23" t="s">
        <v>3177</v>
      </c>
      <c r="B1589" s="23" t="s">
        <v>3178</v>
      </c>
      <c r="C1589" s="23">
        <v>1746</v>
      </c>
      <c r="D1589" t="s">
        <v>436</v>
      </c>
      <c r="I1589" s="3" t="str">
        <f>+IFERROR(VLOOKUP(C1589,'Mov 2023 hasta ahora '!$C$2:$D$314,2,FALSE),"NO")</f>
        <v>NO</v>
      </c>
      <c r="K1589">
        <v>6</v>
      </c>
      <c r="L1589" t="s">
        <v>836</v>
      </c>
      <c r="M1589">
        <v>24</v>
      </c>
      <c r="O1589" s="29" t="s">
        <v>9014</v>
      </c>
      <c r="P1589" s="25" t="s">
        <v>8890</v>
      </c>
      <c r="Q1589" s="25">
        <v>1244</v>
      </c>
      <c r="R1589" t="s">
        <v>436</v>
      </c>
    </row>
    <row r="1590" spans="1:18" hidden="1">
      <c r="A1590" s="23" t="s">
        <v>3179</v>
      </c>
      <c r="B1590" s="23" t="s">
        <v>3180</v>
      </c>
      <c r="C1590" s="23">
        <v>1745</v>
      </c>
      <c r="D1590" t="s">
        <v>436</v>
      </c>
      <c r="I1590" s="3" t="str">
        <f>+IFERROR(VLOOKUP(C1590,'Mov 2023 hasta ahora '!$C$2:$D$314,2,FALSE),"NO")</f>
        <v>NO</v>
      </c>
      <c r="K1590">
        <v>6</v>
      </c>
      <c r="L1590" t="s">
        <v>836</v>
      </c>
      <c r="M1590">
        <v>24</v>
      </c>
      <c r="O1590" s="29" t="s">
        <v>9030</v>
      </c>
      <c r="P1590" s="25" t="s">
        <v>9029</v>
      </c>
      <c r="Q1590" s="25">
        <v>3817</v>
      </c>
      <c r="R1590" t="s">
        <v>436</v>
      </c>
    </row>
    <row r="1591" spans="1:18" hidden="1">
      <c r="A1591" t="s">
        <v>3181</v>
      </c>
      <c r="B1591" t="s">
        <v>3182</v>
      </c>
      <c r="I1591" s="3" t="str">
        <f>+IFERROR(VLOOKUP(C1591,'Mov 2023 hasta ahora '!$C$2:$D$314,2,FALSE),"NO")</f>
        <v>NO</v>
      </c>
      <c r="K1591">
        <v>3</v>
      </c>
      <c r="L1591" t="s">
        <v>836</v>
      </c>
      <c r="M1591">
        <v>10</v>
      </c>
    </row>
    <row r="1592" spans="1:18" hidden="1">
      <c r="A1592" t="s">
        <v>3183</v>
      </c>
      <c r="B1592" t="s">
        <v>3184</v>
      </c>
      <c r="I1592" s="3" t="str">
        <f>+IFERROR(VLOOKUP(C1592,'Mov 2023 hasta ahora '!$C$2:$D$314,2,FALSE),"NO")</f>
        <v>NO</v>
      </c>
      <c r="K1592">
        <v>4</v>
      </c>
      <c r="L1592" t="s">
        <v>836</v>
      </c>
      <c r="M1592">
        <v>14</v>
      </c>
    </row>
    <row r="1593" spans="1:18" hidden="1">
      <c r="A1593" t="s">
        <v>3185</v>
      </c>
      <c r="B1593" t="s">
        <v>3186</v>
      </c>
      <c r="I1593" s="3" t="str">
        <f>+IFERROR(VLOOKUP(C1593,'Mov 2023 hasta ahora '!$C$2:$D$314,2,FALSE),"NO")</f>
        <v>NO</v>
      </c>
      <c r="K1593">
        <v>5</v>
      </c>
      <c r="L1593" t="s">
        <v>836</v>
      </c>
      <c r="M1593">
        <v>18</v>
      </c>
    </row>
    <row r="1594" spans="1:18" s="13" customFormat="1" hidden="1">
      <c r="A1594" s="23" t="s">
        <v>3187</v>
      </c>
      <c r="B1594" s="23" t="s">
        <v>3188</v>
      </c>
      <c r="C1594" s="23">
        <v>1444</v>
      </c>
      <c r="D1594" s="13" t="s">
        <v>436</v>
      </c>
      <c r="G1594"/>
      <c r="I1594" s="14" t="str">
        <f>+IFERROR(VLOOKUP(C1594,'Mov 2023 hasta ahora '!$C$2:$D$314,2,FALSE),"NO")</f>
        <v>NO</v>
      </c>
      <c r="K1594">
        <v>6</v>
      </c>
      <c r="L1594" t="s">
        <v>836</v>
      </c>
      <c r="M1594">
        <v>24</v>
      </c>
      <c r="O1594" s="29" t="s">
        <v>8794</v>
      </c>
      <c r="P1594" s="25" t="s">
        <v>8982</v>
      </c>
      <c r="Q1594" s="25">
        <v>1441</v>
      </c>
      <c r="R1594" t="s">
        <v>436</v>
      </c>
    </row>
    <row r="1595" spans="1:18" s="13" customFormat="1" hidden="1">
      <c r="A1595" s="23" t="s">
        <v>3189</v>
      </c>
      <c r="B1595" s="23" t="s">
        <v>3190</v>
      </c>
      <c r="C1595" s="23">
        <v>1451</v>
      </c>
      <c r="D1595" s="13" t="s">
        <v>436</v>
      </c>
      <c r="G1595"/>
      <c r="I1595" s="14" t="str">
        <f>+IFERROR(VLOOKUP(C1595,'Mov 2023 hasta ahora '!$C$2:$D$314,2,FALSE),"NO")</f>
        <v>NO</v>
      </c>
      <c r="K1595">
        <v>6</v>
      </c>
      <c r="L1595" t="s">
        <v>836</v>
      </c>
      <c r="M1595">
        <v>24</v>
      </c>
      <c r="O1595" s="29" t="s">
        <v>8809</v>
      </c>
      <c r="P1595" s="25" t="s">
        <v>8983</v>
      </c>
      <c r="Q1595" s="25">
        <v>1448</v>
      </c>
      <c r="R1595" t="s">
        <v>436</v>
      </c>
    </row>
    <row r="1596" spans="1:18" s="13" customFormat="1" hidden="1">
      <c r="A1596" s="23" t="s">
        <v>3191</v>
      </c>
      <c r="B1596" s="23" t="s">
        <v>3192</v>
      </c>
      <c r="C1596" s="23">
        <v>1829</v>
      </c>
      <c r="D1596" s="13" t="s">
        <v>436</v>
      </c>
      <c r="G1596"/>
      <c r="I1596" s="14" t="str">
        <f>+IFERROR(VLOOKUP(C1596,'Mov 2023 hasta ahora '!$C$2:$D$314,2,FALSE),"NO")</f>
        <v>NO</v>
      </c>
      <c r="K1596">
        <v>6</v>
      </c>
      <c r="L1596" t="s">
        <v>836</v>
      </c>
      <c r="M1596">
        <v>24</v>
      </c>
      <c r="O1596" s="29" t="s">
        <v>8827</v>
      </c>
      <c r="P1596" s="25" t="s">
        <v>8984</v>
      </c>
      <c r="Q1596" s="25">
        <v>1826</v>
      </c>
      <c r="R1596" t="s">
        <v>436</v>
      </c>
    </row>
    <row r="1597" spans="1:18" hidden="1">
      <c r="A1597" t="s">
        <v>3193</v>
      </c>
      <c r="B1597" t="s">
        <v>3194</v>
      </c>
      <c r="I1597" s="3" t="str">
        <f>+IFERROR(VLOOKUP(C1597,'Mov 2023 hasta ahora '!$C$2:$D$314,2,FALSE),"NO")</f>
        <v>NO</v>
      </c>
      <c r="K1597">
        <v>4</v>
      </c>
      <c r="L1597" t="s">
        <v>836</v>
      </c>
      <c r="M1597">
        <v>14</v>
      </c>
    </row>
    <row r="1598" spans="1:18" hidden="1">
      <c r="A1598" t="s">
        <v>3195</v>
      </c>
      <c r="B1598" t="s">
        <v>3196</v>
      </c>
      <c r="I1598" s="3" t="str">
        <f>+IFERROR(VLOOKUP(C1598,'Mov 2023 hasta ahora '!$C$2:$D$314,2,FALSE),"NO")</f>
        <v>NO</v>
      </c>
      <c r="K1598">
        <v>5</v>
      </c>
      <c r="L1598" t="s">
        <v>836</v>
      </c>
      <c r="M1598">
        <v>18</v>
      </c>
    </row>
    <row r="1599" spans="1:18" s="13" customFormat="1" hidden="1">
      <c r="A1599" s="23" t="s">
        <v>3197</v>
      </c>
      <c r="B1599" s="23" t="s">
        <v>3198</v>
      </c>
      <c r="C1599" s="23">
        <v>1460</v>
      </c>
      <c r="D1599" s="13" t="s">
        <v>436</v>
      </c>
      <c r="G1599"/>
      <c r="I1599" s="14" t="str">
        <f>+IFERROR(VLOOKUP(C1599,'Mov 2023 hasta ahora '!$C$2:$D$314,2,FALSE),"NO")</f>
        <v>NO</v>
      </c>
      <c r="K1599">
        <v>6</v>
      </c>
      <c r="L1599" t="s">
        <v>836</v>
      </c>
      <c r="M1599">
        <v>24</v>
      </c>
      <c r="O1599" s="29" t="s">
        <v>8800</v>
      </c>
      <c r="P1599" s="25" t="s">
        <v>8988</v>
      </c>
      <c r="Q1599" s="25">
        <v>1457</v>
      </c>
      <c r="R1599" t="s">
        <v>436</v>
      </c>
    </row>
    <row r="1600" spans="1:18" s="13" customFormat="1" hidden="1">
      <c r="A1600" s="23" t="s">
        <v>3199</v>
      </c>
      <c r="B1600" s="23" t="s">
        <v>3200</v>
      </c>
      <c r="C1600" s="23">
        <v>1468</v>
      </c>
      <c r="D1600" s="13" t="s">
        <v>436</v>
      </c>
      <c r="G1600"/>
      <c r="I1600" s="14" t="str">
        <f>+IFERROR(VLOOKUP(C1600,'Mov 2023 hasta ahora '!$C$2:$D$314,2,FALSE),"NO")</f>
        <v>NO</v>
      </c>
      <c r="K1600">
        <v>6</v>
      </c>
      <c r="L1600" t="s">
        <v>836</v>
      </c>
      <c r="M1600">
        <v>24</v>
      </c>
      <c r="O1600" s="29" t="s">
        <v>8810</v>
      </c>
      <c r="P1600" s="25" t="s">
        <v>8989</v>
      </c>
      <c r="Q1600" s="25">
        <v>1465</v>
      </c>
      <c r="R1600" t="s">
        <v>436</v>
      </c>
    </row>
    <row r="1601" spans="1:18" s="13" customFormat="1" hidden="1">
      <c r="A1601" s="23" t="s">
        <v>3201</v>
      </c>
      <c r="B1601" s="23" t="s">
        <v>3202</v>
      </c>
      <c r="C1601" s="23">
        <v>1837</v>
      </c>
      <c r="D1601" s="13" t="s">
        <v>436</v>
      </c>
      <c r="G1601"/>
      <c r="I1601" s="14" t="str">
        <f>+IFERROR(VLOOKUP(C1601,'Mov 2023 hasta ahora '!$C$2:$D$314,2,FALSE),"NO")</f>
        <v>NO</v>
      </c>
      <c r="K1601">
        <v>6</v>
      </c>
      <c r="L1601" t="s">
        <v>836</v>
      </c>
      <c r="M1601">
        <v>24</v>
      </c>
      <c r="O1601" s="29" t="s">
        <v>8831</v>
      </c>
      <c r="P1601" s="25" t="s">
        <v>8990</v>
      </c>
      <c r="Q1601" s="25">
        <v>1834</v>
      </c>
      <c r="R1601" t="s">
        <v>436</v>
      </c>
    </row>
    <row r="1602" spans="1:18" hidden="1">
      <c r="A1602" t="s">
        <v>3203</v>
      </c>
      <c r="B1602" t="s">
        <v>3204</v>
      </c>
      <c r="I1602" s="3" t="str">
        <f>+IFERROR(VLOOKUP(C1602,'Mov 2023 hasta ahora '!$C$2:$D$314,2,FALSE),"NO")</f>
        <v>NO</v>
      </c>
      <c r="K1602">
        <v>4</v>
      </c>
      <c r="L1602" t="s">
        <v>836</v>
      </c>
      <c r="M1602">
        <v>14</v>
      </c>
    </row>
    <row r="1603" spans="1:18" hidden="1">
      <c r="A1603" t="s">
        <v>3205</v>
      </c>
      <c r="B1603" t="s">
        <v>3206</v>
      </c>
      <c r="I1603" s="3" t="str">
        <f>+IFERROR(VLOOKUP(C1603,'Mov 2023 hasta ahora '!$C$2:$D$314,2,FALSE),"NO")</f>
        <v>NO</v>
      </c>
      <c r="K1603">
        <v>5</v>
      </c>
      <c r="L1603" t="s">
        <v>836</v>
      </c>
      <c r="M1603">
        <v>18</v>
      </c>
    </row>
    <row r="1604" spans="1:18" s="13" customFormat="1" hidden="1">
      <c r="A1604" s="23" t="s">
        <v>3207</v>
      </c>
      <c r="B1604" s="23" t="s">
        <v>3208</v>
      </c>
      <c r="C1604" s="23">
        <v>1582</v>
      </c>
      <c r="D1604" s="13" t="s">
        <v>436</v>
      </c>
      <c r="G1604"/>
      <c r="I1604" s="14" t="str">
        <f>+IFERROR(VLOOKUP(C1604,'Mov 2023 hasta ahora '!$C$2:$D$314,2,FALSE),"NO")</f>
        <v>NO</v>
      </c>
      <c r="K1604">
        <v>6</v>
      </c>
      <c r="L1604" t="s">
        <v>836</v>
      </c>
      <c r="M1604">
        <v>24</v>
      </c>
      <c r="O1604" s="29" t="s">
        <v>8815</v>
      </c>
      <c r="P1604" s="25" t="s">
        <v>8796</v>
      </c>
      <c r="Q1604" s="25">
        <v>1579</v>
      </c>
      <c r="R1604" t="s">
        <v>436</v>
      </c>
    </row>
    <row r="1605" spans="1:18" s="13" customFormat="1" hidden="1">
      <c r="A1605" s="23" t="s">
        <v>3209</v>
      </c>
      <c r="B1605" s="23" t="s">
        <v>3210</v>
      </c>
      <c r="C1605" s="23">
        <v>1591</v>
      </c>
      <c r="D1605" s="13" t="s">
        <v>436</v>
      </c>
      <c r="G1605"/>
      <c r="I1605" s="14" t="str">
        <f>+IFERROR(VLOOKUP(C1605,'Mov 2023 hasta ahora '!$C$2:$D$314,2,FALSE),"NO")</f>
        <v>NO</v>
      </c>
      <c r="K1605">
        <v>6</v>
      </c>
      <c r="L1605" t="s">
        <v>836</v>
      </c>
      <c r="M1605">
        <v>24</v>
      </c>
      <c r="O1605" s="29" t="s">
        <v>8816</v>
      </c>
      <c r="P1605" s="25" t="s">
        <v>8806</v>
      </c>
      <c r="Q1605" s="25">
        <v>1589</v>
      </c>
      <c r="R1605" t="s">
        <v>436</v>
      </c>
    </row>
    <row r="1606" spans="1:18" s="13" customFormat="1" hidden="1">
      <c r="A1606" s="23" t="s">
        <v>3211</v>
      </c>
      <c r="B1606" s="23" t="s">
        <v>3212</v>
      </c>
      <c r="C1606" s="23">
        <v>1845</v>
      </c>
      <c r="D1606" s="13" t="s">
        <v>436</v>
      </c>
      <c r="G1606"/>
      <c r="I1606" s="14" t="str">
        <f>+IFERROR(VLOOKUP(C1606,'Mov 2023 hasta ahora '!$C$2:$D$314,2,FALSE),"NO")</f>
        <v>NO</v>
      </c>
      <c r="K1606">
        <v>6</v>
      </c>
      <c r="L1606" t="s">
        <v>836</v>
      </c>
      <c r="M1606">
        <v>24</v>
      </c>
      <c r="O1606" s="29" t="s">
        <v>8823</v>
      </c>
      <c r="P1606" s="25" t="s">
        <v>8824</v>
      </c>
      <c r="Q1606" s="25">
        <v>1842</v>
      </c>
      <c r="R1606" t="s">
        <v>436</v>
      </c>
    </row>
    <row r="1607" spans="1:18" hidden="1">
      <c r="A1607" t="s">
        <v>3213</v>
      </c>
      <c r="B1607" t="s">
        <v>3214</v>
      </c>
      <c r="I1607" s="3" t="str">
        <f>+IFERROR(VLOOKUP(C1607,'Mov 2023 hasta ahora '!$C$2:$D$314,2,FALSE),"NO")</f>
        <v>NO</v>
      </c>
      <c r="K1607">
        <v>4</v>
      </c>
      <c r="L1607" t="s">
        <v>836</v>
      </c>
      <c r="M1607">
        <v>14</v>
      </c>
    </row>
    <row r="1608" spans="1:18" hidden="1">
      <c r="A1608" t="s">
        <v>3215</v>
      </c>
      <c r="B1608" t="s">
        <v>3216</v>
      </c>
      <c r="I1608" s="3" t="str">
        <f>+IFERROR(VLOOKUP(C1608,'Mov 2023 hasta ahora '!$C$2:$D$314,2,FALSE),"NO")</f>
        <v>NO</v>
      </c>
      <c r="K1608">
        <v>5</v>
      </c>
      <c r="L1608" t="s">
        <v>836</v>
      </c>
      <c r="M1608">
        <v>18</v>
      </c>
    </row>
    <row r="1609" spans="1:18" s="13" customFormat="1" hidden="1">
      <c r="A1609" s="23" t="s">
        <v>3217</v>
      </c>
      <c r="B1609" s="23" t="s">
        <v>3218</v>
      </c>
      <c r="C1609" s="23">
        <v>1484</v>
      </c>
      <c r="D1609" s="13" t="s">
        <v>436</v>
      </c>
      <c r="G1609"/>
      <c r="I1609" s="14" t="str">
        <f>+IFERROR(VLOOKUP(C1609,'Mov 2023 hasta ahora '!$C$2:$D$314,2,FALSE),"NO")</f>
        <v>NO</v>
      </c>
      <c r="K1609">
        <v>6</v>
      </c>
      <c r="L1609" t="s">
        <v>836</v>
      </c>
      <c r="M1609">
        <v>24</v>
      </c>
      <c r="O1609" s="29" t="s">
        <v>8752</v>
      </c>
      <c r="P1609" s="25" t="s">
        <v>8995</v>
      </c>
      <c r="Q1609" s="25">
        <v>1481</v>
      </c>
      <c r="R1609" t="s">
        <v>436</v>
      </c>
    </row>
    <row r="1610" spans="1:18" s="13" customFormat="1" hidden="1">
      <c r="A1610" s="23" t="s">
        <v>3219</v>
      </c>
      <c r="B1610" s="23" t="s">
        <v>3220</v>
      </c>
      <c r="C1610" s="23">
        <v>1476</v>
      </c>
      <c r="D1610" s="13" t="s">
        <v>436</v>
      </c>
      <c r="G1610"/>
      <c r="I1610" s="14" t="str">
        <f>+IFERROR(VLOOKUP(C1610,'Mov 2023 hasta ahora '!$C$2:$D$314,2,FALSE),"NO")</f>
        <v>NO</v>
      </c>
      <c r="K1610">
        <v>6</v>
      </c>
      <c r="L1610" t="s">
        <v>836</v>
      </c>
      <c r="M1610">
        <v>24</v>
      </c>
      <c r="O1610" s="29" t="s">
        <v>8766</v>
      </c>
      <c r="P1610" s="25" t="s">
        <v>8996</v>
      </c>
      <c r="Q1610" s="25">
        <v>1473</v>
      </c>
      <c r="R1610" t="s">
        <v>436</v>
      </c>
    </row>
    <row r="1611" spans="1:18" s="13" customFormat="1" hidden="1">
      <c r="A1611" s="23" t="s">
        <v>3221</v>
      </c>
      <c r="B1611" s="23" t="s">
        <v>3222</v>
      </c>
      <c r="C1611" s="23">
        <v>1853</v>
      </c>
      <c r="D1611" s="13" t="s">
        <v>436</v>
      </c>
      <c r="G1611"/>
      <c r="I1611" s="14" t="str">
        <f>+IFERROR(VLOOKUP(C1611,'Mov 2023 hasta ahora '!$C$2:$D$314,2,FALSE),"NO")</f>
        <v>NO</v>
      </c>
      <c r="K1611">
        <v>6</v>
      </c>
      <c r="L1611" t="s">
        <v>836</v>
      </c>
      <c r="M1611">
        <v>24</v>
      </c>
      <c r="O1611" s="29" t="s">
        <v>8764</v>
      </c>
      <c r="P1611" s="25" t="s">
        <v>8997</v>
      </c>
      <c r="Q1611" s="25">
        <v>1850</v>
      </c>
      <c r="R1611" t="s">
        <v>436</v>
      </c>
    </row>
    <row r="1612" spans="1:18" hidden="1">
      <c r="A1612" t="s">
        <v>3223</v>
      </c>
      <c r="B1612" t="s">
        <v>3224</v>
      </c>
      <c r="I1612" s="3" t="str">
        <f>+IFERROR(VLOOKUP(C1612,'Mov 2023 hasta ahora '!$C$2:$D$314,2,FALSE),"NO")</f>
        <v>NO</v>
      </c>
      <c r="K1612">
        <v>4</v>
      </c>
      <c r="L1612" t="s">
        <v>836</v>
      </c>
      <c r="M1612">
        <v>14</v>
      </c>
    </row>
    <row r="1613" spans="1:18" hidden="1">
      <c r="A1613" t="s">
        <v>3225</v>
      </c>
      <c r="B1613" t="s">
        <v>3226</v>
      </c>
      <c r="I1613" s="3" t="str">
        <f>+IFERROR(VLOOKUP(C1613,'Mov 2023 hasta ahora '!$C$2:$D$314,2,FALSE),"NO")</f>
        <v>NO</v>
      </c>
      <c r="K1613">
        <v>5</v>
      </c>
      <c r="L1613" t="s">
        <v>836</v>
      </c>
      <c r="M1613">
        <v>18</v>
      </c>
    </row>
    <row r="1614" spans="1:18" s="13" customFormat="1" hidden="1">
      <c r="A1614" s="23" t="s">
        <v>3227</v>
      </c>
      <c r="B1614" s="23" t="s">
        <v>3228</v>
      </c>
      <c r="C1614" s="23">
        <v>1492</v>
      </c>
      <c r="D1614" s="13" t="s">
        <v>436</v>
      </c>
      <c r="G1614"/>
      <c r="I1614" s="14" t="str">
        <f>+IFERROR(VLOOKUP(C1614,'Mov 2023 hasta ahora '!$C$2:$D$314,2,FALSE),"NO")</f>
        <v>NO</v>
      </c>
      <c r="K1614">
        <v>6</v>
      </c>
      <c r="L1614" t="s">
        <v>836</v>
      </c>
      <c r="M1614">
        <v>24</v>
      </c>
      <c r="O1614" s="29" t="s">
        <v>8795</v>
      </c>
      <c r="P1614" s="25" t="s">
        <v>8798</v>
      </c>
      <c r="Q1614" s="25">
        <v>1489</v>
      </c>
      <c r="R1614" t="s">
        <v>436</v>
      </c>
    </row>
    <row r="1615" spans="1:18" s="13" customFormat="1" hidden="1">
      <c r="A1615" s="23" t="s">
        <v>3229</v>
      </c>
      <c r="B1615" s="23" t="s">
        <v>3230</v>
      </c>
      <c r="C1615" s="23">
        <v>1500</v>
      </c>
      <c r="D1615" s="13" t="s">
        <v>436</v>
      </c>
      <c r="G1615"/>
      <c r="I1615" s="14" t="str">
        <f>+IFERROR(VLOOKUP(C1615,'Mov 2023 hasta ahora '!$C$2:$D$314,2,FALSE),"NO")</f>
        <v>NO</v>
      </c>
      <c r="K1615">
        <v>6</v>
      </c>
      <c r="L1615" t="s">
        <v>836</v>
      </c>
      <c r="M1615">
        <v>24</v>
      </c>
      <c r="O1615" s="29" t="s">
        <v>8804</v>
      </c>
      <c r="P1615" s="25" t="s">
        <v>8808</v>
      </c>
      <c r="Q1615" s="25">
        <v>1497</v>
      </c>
      <c r="R1615" s="13" t="s">
        <v>436</v>
      </c>
    </row>
    <row r="1616" spans="1:18" s="13" customFormat="1" hidden="1">
      <c r="A1616" s="23" t="s">
        <v>3231</v>
      </c>
      <c r="B1616" s="23" t="s">
        <v>3232</v>
      </c>
      <c r="C1616" s="23">
        <v>1861</v>
      </c>
      <c r="D1616" s="13" t="s">
        <v>436</v>
      </c>
      <c r="G1616"/>
      <c r="I1616" s="14" t="str">
        <f>+IFERROR(VLOOKUP(C1616,'Mov 2023 hasta ahora '!$C$2:$D$314,2,FALSE),"NO")</f>
        <v>NO</v>
      </c>
      <c r="K1616">
        <v>6</v>
      </c>
      <c r="L1616" t="s">
        <v>836</v>
      </c>
      <c r="M1616">
        <v>24</v>
      </c>
      <c r="O1616" s="29" t="s">
        <v>8820</v>
      </c>
      <c r="P1616" s="25" t="s">
        <v>8826</v>
      </c>
      <c r="Q1616" s="25">
        <v>1858</v>
      </c>
      <c r="R1616" t="s">
        <v>436</v>
      </c>
    </row>
    <row r="1617" spans="1:18" hidden="1">
      <c r="A1617" t="s">
        <v>3233</v>
      </c>
      <c r="B1617" t="s">
        <v>3234</v>
      </c>
      <c r="I1617" s="3" t="str">
        <f>+IFERROR(VLOOKUP(C1617,'Mov 2023 hasta ahora '!$C$2:$D$314,2,FALSE),"NO")</f>
        <v>NO</v>
      </c>
      <c r="K1617">
        <v>4</v>
      </c>
      <c r="L1617" t="s">
        <v>836</v>
      </c>
      <c r="M1617">
        <v>14</v>
      </c>
    </row>
    <row r="1618" spans="1:18" hidden="1">
      <c r="A1618" t="s">
        <v>3235</v>
      </c>
      <c r="B1618" t="s">
        <v>3236</v>
      </c>
      <c r="I1618" s="3" t="str">
        <f>+IFERROR(VLOOKUP(C1618,'Mov 2023 hasta ahora '!$C$2:$D$314,2,FALSE),"NO")</f>
        <v>NO</v>
      </c>
      <c r="K1618">
        <v>5</v>
      </c>
      <c r="L1618" t="s">
        <v>836</v>
      </c>
      <c r="M1618">
        <v>18</v>
      </c>
    </row>
    <row r="1619" spans="1:18" s="13" customFormat="1" hidden="1">
      <c r="A1619" s="23" t="s">
        <v>3237</v>
      </c>
      <c r="B1619" s="23" t="s">
        <v>3238</v>
      </c>
      <c r="C1619" s="23">
        <v>1516</v>
      </c>
      <c r="D1619" s="13" t="s">
        <v>436</v>
      </c>
      <c r="G1619"/>
      <c r="I1619" s="14" t="str">
        <f>+IFERROR(VLOOKUP(C1619,'Mov 2023 hasta ahora '!$C$2:$D$314,2,FALSE),"NO")</f>
        <v>NO</v>
      </c>
      <c r="K1619">
        <v>6</v>
      </c>
      <c r="L1619" t="s">
        <v>836</v>
      </c>
      <c r="M1619">
        <v>24</v>
      </c>
      <c r="O1619" s="29" t="s">
        <v>9002</v>
      </c>
      <c r="P1619" s="25" t="s">
        <v>8799</v>
      </c>
      <c r="Q1619" s="25">
        <v>1513</v>
      </c>
      <c r="R1619" t="s">
        <v>436</v>
      </c>
    </row>
    <row r="1620" spans="1:18" s="13" customFormat="1" hidden="1">
      <c r="A1620" s="23" t="s">
        <v>3239</v>
      </c>
      <c r="B1620" s="23" t="s">
        <v>3240</v>
      </c>
      <c r="C1620" s="23">
        <v>1508</v>
      </c>
      <c r="D1620" s="13" t="s">
        <v>436</v>
      </c>
      <c r="G1620"/>
      <c r="I1620" s="14" t="str">
        <f>+IFERROR(VLOOKUP(C1620,'Mov 2023 hasta ahora '!$C$2:$D$314,2,FALSE),"NO")</f>
        <v>NO</v>
      </c>
      <c r="K1620">
        <v>6</v>
      </c>
      <c r="L1620" t="s">
        <v>836</v>
      </c>
      <c r="M1620">
        <v>24</v>
      </c>
      <c r="O1620" s="29" t="s">
        <v>9003</v>
      </c>
      <c r="P1620" s="25" t="s">
        <v>8803</v>
      </c>
      <c r="Q1620" s="25">
        <v>1505</v>
      </c>
      <c r="R1620" t="s">
        <v>436</v>
      </c>
    </row>
    <row r="1621" spans="1:18" s="13" customFormat="1" hidden="1">
      <c r="A1621" s="23" t="s">
        <v>3241</v>
      </c>
      <c r="B1621" s="23" t="s">
        <v>3242</v>
      </c>
      <c r="C1621" s="23">
        <v>1869</v>
      </c>
      <c r="D1621" s="13" t="s">
        <v>436</v>
      </c>
      <c r="G1621"/>
      <c r="I1621" s="14" t="str">
        <f>+IFERROR(VLOOKUP(C1621,'Mov 2023 hasta ahora '!$C$2:$D$314,2,FALSE),"NO")</f>
        <v>NO</v>
      </c>
      <c r="K1621">
        <v>6</v>
      </c>
      <c r="L1621" t="s">
        <v>836</v>
      </c>
      <c r="M1621">
        <v>24</v>
      </c>
      <c r="O1621" s="29" t="s">
        <v>9004</v>
      </c>
      <c r="P1621" s="25" t="s">
        <v>8822</v>
      </c>
      <c r="Q1621" s="25">
        <v>1866</v>
      </c>
      <c r="R1621" t="s">
        <v>436</v>
      </c>
    </row>
    <row r="1622" spans="1:18" hidden="1">
      <c r="A1622" t="s">
        <v>3243</v>
      </c>
      <c r="B1622" t="s">
        <v>3244</v>
      </c>
      <c r="I1622" s="3" t="str">
        <f>+IFERROR(VLOOKUP(C1622,'Mov 2023 hasta ahora '!$C$2:$D$314,2,FALSE),"NO")</f>
        <v>NO</v>
      </c>
      <c r="K1622">
        <v>4</v>
      </c>
      <c r="L1622" t="s">
        <v>836</v>
      </c>
      <c r="M1622">
        <v>14</v>
      </c>
    </row>
    <row r="1623" spans="1:18" hidden="1">
      <c r="A1623" t="s">
        <v>3245</v>
      </c>
      <c r="B1623" t="s">
        <v>3246</v>
      </c>
      <c r="I1623" s="3" t="str">
        <f>+IFERROR(VLOOKUP(C1623,'Mov 2023 hasta ahora '!$C$2:$D$314,2,FALSE),"NO")</f>
        <v>NO</v>
      </c>
      <c r="K1623">
        <v>5</v>
      </c>
      <c r="L1623" t="s">
        <v>836</v>
      </c>
      <c r="M1623">
        <v>18</v>
      </c>
    </row>
    <row r="1624" spans="1:18" hidden="1">
      <c r="A1624" s="23" t="s">
        <v>3247</v>
      </c>
      <c r="B1624" s="23" t="s">
        <v>3248</v>
      </c>
      <c r="C1624" s="23">
        <v>1877</v>
      </c>
      <c r="D1624" t="s">
        <v>436</v>
      </c>
      <c r="I1624" s="3" t="str">
        <f>+IFERROR(VLOOKUP(C1624,'Mov 2023 hasta ahora '!$C$2:$D$314,2,FALSE),"NO")</f>
        <v>NO</v>
      </c>
      <c r="K1624">
        <v>6</v>
      </c>
      <c r="L1624" t="s">
        <v>836</v>
      </c>
      <c r="M1624">
        <v>24</v>
      </c>
      <c r="O1624" s="29" t="s">
        <v>8861</v>
      </c>
      <c r="P1624" s="25" t="s">
        <v>8868</v>
      </c>
      <c r="Q1624" s="25">
        <v>1419</v>
      </c>
      <c r="R1624" t="s">
        <v>436</v>
      </c>
    </row>
    <row r="1625" spans="1:18" hidden="1">
      <c r="A1625" t="s">
        <v>3249</v>
      </c>
      <c r="B1625" t="s">
        <v>3250</v>
      </c>
      <c r="I1625" s="3" t="str">
        <f>+IFERROR(VLOOKUP(C1625,'Mov 2023 hasta ahora '!$C$2:$D$314,2,FALSE),"NO")</f>
        <v>NO</v>
      </c>
      <c r="K1625">
        <v>5</v>
      </c>
      <c r="L1625" t="s">
        <v>836</v>
      </c>
      <c r="M1625">
        <v>18</v>
      </c>
    </row>
    <row r="1626" spans="1:18" hidden="1">
      <c r="A1626" s="23" t="s">
        <v>3251</v>
      </c>
      <c r="B1626" s="23" t="s">
        <v>3252</v>
      </c>
      <c r="C1626" s="23">
        <v>1753</v>
      </c>
      <c r="D1626" t="s">
        <v>436</v>
      </c>
      <c r="I1626" s="3" t="str">
        <f>+IFERROR(VLOOKUP(C1626,'Mov 2023 hasta ahora '!$C$2:$D$314,2,FALSE),"NO")</f>
        <v>NO</v>
      </c>
      <c r="K1626">
        <v>6</v>
      </c>
      <c r="L1626" t="s">
        <v>836</v>
      </c>
      <c r="M1626">
        <v>24</v>
      </c>
      <c r="O1626" s="29" t="s">
        <v>9049</v>
      </c>
      <c r="P1626" s="25" t="s">
        <v>9050</v>
      </c>
      <c r="Q1626" s="25">
        <v>1363</v>
      </c>
      <c r="R1626" t="s">
        <v>436</v>
      </c>
    </row>
    <row r="1627" spans="1:18" hidden="1">
      <c r="A1627" s="23" t="s">
        <v>3253</v>
      </c>
      <c r="B1627" s="23" t="s">
        <v>3254</v>
      </c>
      <c r="C1627" s="23">
        <v>1752</v>
      </c>
      <c r="D1627" t="s">
        <v>436</v>
      </c>
      <c r="I1627" s="3" t="str">
        <f>+IFERROR(VLOOKUP(C1627,'Mov 2023 hasta ahora '!$C$2:$D$314,2,FALSE),"NO")</f>
        <v>NO</v>
      </c>
      <c r="K1627">
        <v>6</v>
      </c>
      <c r="L1627" t="s">
        <v>836</v>
      </c>
      <c r="M1627">
        <v>24</v>
      </c>
      <c r="O1627" s="29" t="s">
        <v>9014</v>
      </c>
      <c r="P1627" s="25" t="s">
        <v>8890</v>
      </c>
      <c r="Q1627" s="25">
        <v>1244</v>
      </c>
      <c r="R1627" t="s">
        <v>436</v>
      </c>
    </row>
    <row r="1628" spans="1:18" hidden="1">
      <c r="A1628" s="23" t="s">
        <v>3255</v>
      </c>
      <c r="B1628" s="23" t="s">
        <v>3256</v>
      </c>
      <c r="C1628" s="23">
        <v>1751</v>
      </c>
      <c r="D1628" t="s">
        <v>436</v>
      </c>
      <c r="I1628" s="3" t="str">
        <f>+IFERROR(VLOOKUP(C1628,'Mov 2023 hasta ahora '!$C$2:$D$314,2,FALSE),"NO")</f>
        <v>NO</v>
      </c>
      <c r="K1628">
        <v>6</v>
      </c>
      <c r="L1628" t="s">
        <v>836</v>
      </c>
      <c r="M1628">
        <v>24</v>
      </c>
      <c r="O1628" s="29" t="s">
        <v>9030</v>
      </c>
      <c r="P1628" s="25" t="s">
        <v>9029</v>
      </c>
      <c r="Q1628" s="25">
        <v>3817</v>
      </c>
      <c r="R1628" t="s">
        <v>436</v>
      </c>
    </row>
    <row r="1629" spans="1:18" hidden="1">
      <c r="A1629" t="s">
        <v>3257</v>
      </c>
      <c r="B1629" t="s">
        <v>3258</v>
      </c>
      <c r="I1629" s="3" t="str">
        <f>+IFERROR(VLOOKUP(C1629,'Mov 2023 hasta ahora '!$C$2:$D$314,2,FALSE),"NO")</f>
        <v>NO</v>
      </c>
      <c r="K1629">
        <v>3</v>
      </c>
      <c r="L1629" t="s">
        <v>836</v>
      </c>
      <c r="M1629">
        <v>10</v>
      </c>
    </row>
    <row r="1630" spans="1:18" hidden="1">
      <c r="A1630" t="s">
        <v>3259</v>
      </c>
      <c r="B1630" t="s">
        <v>3260</v>
      </c>
      <c r="I1630" s="3" t="str">
        <f>+IFERROR(VLOOKUP(C1630,'Mov 2023 hasta ahora '!$C$2:$D$314,2,FALSE),"NO")</f>
        <v>NO</v>
      </c>
      <c r="K1630">
        <v>4</v>
      </c>
      <c r="L1630" t="s">
        <v>836</v>
      </c>
      <c r="M1630">
        <v>14</v>
      </c>
    </row>
    <row r="1631" spans="1:18" hidden="1">
      <c r="A1631" t="s">
        <v>3261</v>
      </c>
      <c r="B1631" t="s">
        <v>3262</v>
      </c>
      <c r="I1631" s="3" t="str">
        <f>+IFERROR(VLOOKUP(C1631,'Mov 2023 hasta ahora '!$C$2:$D$314,2,FALSE),"NO")</f>
        <v>NO</v>
      </c>
      <c r="K1631">
        <v>5</v>
      </c>
      <c r="L1631" t="s">
        <v>836</v>
      </c>
      <c r="M1631">
        <v>18</v>
      </c>
    </row>
    <row r="1632" spans="1:18" s="13" customFormat="1" hidden="1">
      <c r="A1632" s="23" t="s">
        <v>3263</v>
      </c>
      <c r="B1632" s="23" t="s">
        <v>3264</v>
      </c>
      <c r="C1632" s="23">
        <v>1445</v>
      </c>
      <c r="D1632" s="13" t="s">
        <v>436</v>
      </c>
      <c r="G1632"/>
      <c r="I1632" s="14" t="str">
        <f>+IFERROR(VLOOKUP(C1632,'Mov 2023 hasta ahora '!$C$2:$D$314,2,FALSE),"NO")</f>
        <v>NO</v>
      </c>
      <c r="K1632">
        <v>6</v>
      </c>
      <c r="L1632" t="s">
        <v>836</v>
      </c>
      <c r="M1632">
        <v>24</v>
      </c>
      <c r="O1632" s="29" t="s">
        <v>8794</v>
      </c>
      <c r="P1632" s="25" t="s">
        <v>8982</v>
      </c>
      <c r="Q1632" s="25">
        <v>1441</v>
      </c>
      <c r="R1632" t="s">
        <v>436</v>
      </c>
    </row>
    <row r="1633" spans="1:18" s="13" customFormat="1" hidden="1">
      <c r="A1633" s="23" t="s">
        <v>3265</v>
      </c>
      <c r="B1633" s="23" t="s">
        <v>3266</v>
      </c>
      <c r="C1633" s="23">
        <v>1452</v>
      </c>
      <c r="D1633" s="13" t="s">
        <v>436</v>
      </c>
      <c r="G1633"/>
      <c r="I1633" s="14" t="str">
        <f>+IFERROR(VLOOKUP(C1633,'Mov 2023 hasta ahora '!$C$2:$D$314,2,FALSE),"NO")</f>
        <v>NO</v>
      </c>
      <c r="K1633">
        <v>6</v>
      </c>
      <c r="L1633" t="s">
        <v>836</v>
      </c>
      <c r="M1633">
        <v>24</v>
      </c>
      <c r="O1633" s="29" t="s">
        <v>8809</v>
      </c>
      <c r="P1633" s="25" t="s">
        <v>8983</v>
      </c>
      <c r="Q1633" s="25">
        <v>1448</v>
      </c>
      <c r="R1633" t="s">
        <v>436</v>
      </c>
    </row>
    <row r="1634" spans="1:18" s="13" customFormat="1" hidden="1">
      <c r="A1634" s="23" t="s">
        <v>3267</v>
      </c>
      <c r="B1634" s="23" t="s">
        <v>3268</v>
      </c>
      <c r="C1634" s="23">
        <v>1830</v>
      </c>
      <c r="D1634" s="13" t="s">
        <v>436</v>
      </c>
      <c r="G1634"/>
      <c r="I1634" s="14" t="str">
        <f>+IFERROR(VLOOKUP(C1634,'Mov 2023 hasta ahora '!$C$2:$D$314,2,FALSE),"NO")</f>
        <v>NO</v>
      </c>
      <c r="K1634">
        <v>6</v>
      </c>
      <c r="L1634" t="s">
        <v>836</v>
      </c>
      <c r="M1634">
        <v>24</v>
      </c>
      <c r="O1634" s="29" t="s">
        <v>8827</v>
      </c>
      <c r="P1634" s="25" t="s">
        <v>8984</v>
      </c>
      <c r="Q1634" s="25">
        <v>1826</v>
      </c>
      <c r="R1634" t="s">
        <v>436</v>
      </c>
    </row>
    <row r="1635" spans="1:18" hidden="1">
      <c r="A1635" t="s">
        <v>3269</v>
      </c>
      <c r="B1635" t="s">
        <v>3270</v>
      </c>
      <c r="I1635" s="3" t="str">
        <f>+IFERROR(VLOOKUP(C1635,'Mov 2023 hasta ahora '!$C$2:$D$314,2,FALSE),"NO")</f>
        <v>NO</v>
      </c>
      <c r="K1635">
        <v>4</v>
      </c>
      <c r="L1635" t="s">
        <v>836</v>
      </c>
      <c r="M1635">
        <v>14</v>
      </c>
    </row>
    <row r="1636" spans="1:18" hidden="1">
      <c r="A1636" t="s">
        <v>3271</v>
      </c>
      <c r="B1636" t="s">
        <v>3272</v>
      </c>
      <c r="I1636" s="3" t="str">
        <f>+IFERROR(VLOOKUP(C1636,'Mov 2023 hasta ahora '!$C$2:$D$314,2,FALSE),"NO")</f>
        <v>NO</v>
      </c>
      <c r="K1636">
        <v>5</v>
      </c>
      <c r="L1636" t="s">
        <v>836</v>
      </c>
      <c r="M1636">
        <v>18</v>
      </c>
    </row>
    <row r="1637" spans="1:18" s="13" customFormat="1" hidden="1">
      <c r="A1637" s="23" t="s">
        <v>3273</v>
      </c>
      <c r="B1637" s="23" t="s">
        <v>3274</v>
      </c>
      <c r="C1637" s="23">
        <v>1461</v>
      </c>
      <c r="D1637" s="13" t="s">
        <v>436</v>
      </c>
      <c r="G1637"/>
      <c r="I1637" s="14" t="str">
        <f>+IFERROR(VLOOKUP(C1637,'Mov 2023 hasta ahora '!$C$2:$D$314,2,FALSE),"NO")</f>
        <v>NO</v>
      </c>
      <c r="K1637">
        <v>6</v>
      </c>
      <c r="L1637" t="s">
        <v>836</v>
      </c>
      <c r="M1637">
        <v>24</v>
      </c>
      <c r="O1637" s="29" t="s">
        <v>8800</v>
      </c>
      <c r="P1637" s="25" t="s">
        <v>8988</v>
      </c>
      <c r="Q1637" s="25">
        <v>1457</v>
      </c>
      <c r="R1637" t="s">
        <v>436</v>
      </c>
    </row>
    <row r="1638" spans="1:18" s="13" customFormat="1" hidden="1">
      <c r="A1638" s="23" t="s">
        <v>3275</v>
      </c>
      <c r="B1638" s="23" t="s">
        <v>3276</v>
      </c>
      <c r="C1638" s="23">
        <v>1469</v>
      </c>
      <c r="D1638" s="13" t="s">
        <v>436</v>
      </c>
      <c r="G1638"/>
      <c r="I1638" s="14" t="str">
        <f>+IFERROR(VLOOKUP(C1638,'Mov 2023 hasta ahora '!$C$2:$D$314,2,FALSE),"NO")</f>
        <v>NO</v>
      </c>
      <c r="K1638">
        <v>6</v>
      </c>
      <c r="L1638" t="s">
        <v>836</v>
      </c>
      <c r="M1638">
        <v>24</v>
      </c>
      <c r="O1638" s="29" t="s">
        <v>8810</v>
      </c>
      <c r="P1638" s="25" t="s">
        <v>8989</v>
      </c>
      <c r="Q1638" s="25">
        <v>1465</v>
      </c>
      <c r="R1638" t="s">
        <v>436</v>
      </c>
    </row>
    <row r="1639" spans="1:18" s="13" customFormat="1" hidden="1">
      <c r="A1639" s="23" t="s">
        <v>3277</v>
      </c>
      <c r="B1639" s="23" t="s">
        <v>3278</v>
      </c>
      <c r="C1639" s="23">
        <v>1838</v>
      </c>
      <c r="D1639" s="13" t="s">
        <v>436</v>
      </c>
      <c r="G1639"/>
      <c r="I1639" s="14" t="str">
        <f>+IFERROR(VLOOKUP(C1639,'Mov 2023 hasta ahora '!$C$2:$D$314,2,FALSE),"NO")</f>
        <v>NO</v>
      </c>
      <c r="K1639">
        <v>6</v>
      </c>
      <c r="L1639" t="s">
        <v>836</v>
      </c>
      <c r="M1639">
        <v>24</v>
      </c>
      <c r="O1639" s="29" t="s">
        <v>8831</v>
      </c>
      <c r="P1639" s="25" t="s">
        <v>8990</v>
      </c>
      <c r="Q1639" s="25">
        <v>1834</v>
      </c>
      <c r="R1639" t="s">
        <v>436</v>
      </c>
    </row>
    <row r="1640" spans="1:18" hidden="1">
      <c r="A1640" t="s">
        <v>3279</v>
      </c>
      <c r="B1640" t="s">
        <v>3280</v>
      </c>
      <c r="I1640" s="3" t="str">
        <f>+IFERROR(VLOOKUP(C1640,'Mov 2023 hasta ahora '!$C$2:$D$314,2,FALSE),"NO")</f>
        <v>NO</v>
      </c>
      <c r="K1640">
        <v>4</v>
      </c>
      <c r="L1640" t="s">
        <v>836</v>
      </c>
      <c r="M1640">
        <v>14</v>
      </c>
    </row>
    <row r="1641" spans="1:18" hidden="1">
      <c r="A1641" t="s">
        <v>3281</v>
      </c>
      <c r="B1641" t="s">
        <v>3282</v>
      </c>
      <c r="I1641" s="3" t="str">
        <f>+IFERROR(VLOOKUP(C1641,'Mov 2023 hasta ahora '!$C$2:$D$314,2,FALSE),"NO")</f>
        <v>NO</v>
      </c>
      <c r="K1641">
        <v>5</v>
      </c>
      <c r="L1641" t="s">
        <v>836</v>
      </c>
      <c r="M1641">
        <v>18</v>
      </c>
    </row>
    <row r="1642" spans="1:18" s="13" customFormat="1" hidden="1">
      <c r="A1642" s="23" t="s">
        <v>3283</v>
      </c>
      <c r="B1642" s="23" t="s">
        <v>3284</v>
      </c>
      <c r="C1642" s="23">
        <v>1583</v>
      </c>
      <c r="D1642" s="13" t="s">
        <v>436</v>
      </c>
      <c r="G1642"/>
      <c r="I1642" s="14" t="str">
        <f>+IFERROR(VLOOKUP(C1642,'Mov 2023 hasta ahora '!$C$2:$D$314,2,FALSE),"NO")</f>
        <v>NO</v>
      </c>
      <c r="K1642">
        <v>6</v>
      </c>
      <c r="L1642" t="s">
        <v>836</v>
      </c>
      <c r="M1642">
        <v>24</v>
      </c>
      <c r="O1642" s="29" t="s">
        <v>8815</v>
      </c>
      <c r="P1642" s="25" t="s">
        <v>8796</v>
      </c>
      <c r="Q1642" s="25">
        <v>1579</v>
      </c>
      <c r="R1642" t="s">
        <v>436</v>
      </c>
    </row>
    <row r="1643" spans="1:18" s="13" customFormat="1" hidden="1">
      <c r="A1643" s="23" t="s">
        <v>3285</v>
      </c>
      <c r="B1643" s="23" t="s">
        <v>3286</v>
      </c>
      <c r="C1643" s="23">
        <v>1592</v>
      </c>
      <c r="D1643" s="13" t="s">
        <v>436</v>
      </c>
      <c r="G1643"/>
      <c r="I1643" s="14" t="str">
        <f>+IFERROR(VLOOKUP(C1643,'Mov 2023 hasta ahora '!$C$2:$D$314,2,FALSE),"NO")</f>
        <v>NO</v>
      </c>
      <c r="K1643">
        <v>6</v>
      </c>
      <c r="L1643" t="s">
        <v>836</v>
      </c>
      <c r="M1643">
        <v>24</v>
      </c>
      <c r="O1643" s="29" t="s">
        <v>8816</v>
      </c>
      <c r="P1643" s="25" t="s">
        <v>8806</v>
      </c>
      <c r="Q1643" s="25">
        <v>1589</v>
      </c>
      <c r="R1643" t="s">
        <v>436</v>
      </c>
    </row>
    <row r="1644" spans="1:18" s="13" customFormat="1" hidden="1">
      <c r="A1644" s="23" t="s">
        <v>3287</v>
      </c>
      <c r="B1644" s="23" t="s">
        <v>3288</v>
      </c>
      <c r="C1644" s="23">
        <v>1846</v>
      </c>
      <c r="D1644" s="13" t="s">
        <v>436</v>
      </c>
      <c r="G1644"/>
      <c r="I1644" s="14" t="str">
        <f>+IFERROR(VLOOKUP(C1644,'Mov 2023 hasta ahora '!$C$2:$D$314,2,FALSE),"NO")</f>
        <v>NO</v>
      </c>
      <c r="K1644">
        <v>6</v>
      </c>
      <c r="L1644" t="s">
        <v>836</v>
      </c>
      <c r="M1644">
        <v>24</v>
      </c>
      <c r="O1644" s="29" t="s">
        <v>8823</v>
      </c>
      <c r="P1644" s="25" t="s">
        <v>8824</v>
      </c>
      <c r="Q1644" s="25">
        <v>1842</v>
      </c>
      <c r="R1644" t="s">
        <v>436</v>
      </c>
    </row>
    <row r="1645" spans="1:18" hidden="1">
      <c r="A1645" t="s">
        <v>3289</v>
      </c>
      <c r="B1645" t="s">
        <v>3290</v>
      </c>
      <c r="I1645" s="3" t="str">
        <f>+IFERROR(VLOOKUP(C1645,'Mov 2023 hasta ahora '!$C$2:$D$314,2,FALSE),"NO")</f>
        <v>NO</v>
      </c>
      <c r="K1645">
        <v>4</v>
      </c>
      <c r="L1645" t="s">
        <v>836</v>
      </c>
      <c r="M1645">
        <v>14</v>
      </c>
    </row>
    <row r="1646" spans="1:18" hidden="1">
      <c r="A1646" t="s">
        <v>3291</v>
      </c>
      <c r="B1646" t="s">
        <v>3292</v>
      </c>
      <c r="I1646" s="3" t="str">
        <f>+IFERROR(VLOOKUP(C1646,'Mov 2023 hasta ahora '!$C$2:$D$314,2,FALSE),"NO")</f>
        <v>NO</v>
      </c>
      <c r="K1646">
        <v>5</v>
      </c>
      <c r="L1646" t="s">
        <v>836</v>
      </c>
      <c r="M1646">
        <v>18</v>
      </c>
    </row>
    <row r="1647" spans="1:18" s="13" customFormat="1" hidden="1">
      <c r="A1647" s="23" t="s">
        <v>3293</v>
      </c>
      <c r="B1647" s="23" t="s">
        <v>3294</v>
      </c>
      <c r="C1647" s="23">
        <v>1485</v>
      </c>
      <c r="D1647" s="13" t="s">
        <v>436</v>
      </c>
      <c r="G1647"/>
      <c r="I1647" s="14" t="str">
        <f>+IFERROR(VLOOKUP(C1647,'Mov 2023 hasta ahora '!$C$2:$D$314,2,FALSE),"NO")</f>
        <v>NO</v>
      </c>
      <c r="K1647">
        <v>6</v>
      </c>
      <c r="L1647" t="s">
        <v>836</v>
      </c>
      <c r="M1647">
        <v>24</v>
      </c>
      <c r="O1647" s="29" t="s">
        <v>8752</v>
      </c>
      <c r="P1647" s="25" t="s">
        <v>8995</v>
      </c>
      <c r="Q1647" s="25">
        <v>1481</v>
      </c>
      <c r="R1647" t="s">
        <v>436</v>
      </c>
    </row>
    <row r="1648" spans="1:18" s="13" customFormat="1" hidden="1">
      <c r="A1648" s="23" t="s">
        <v>3295</v>
      </c>
      <c r="B1648" s="23" t="s">
        <v>3296</v>
      </c>
      <c r="C1648" s="23">
        <v>1477</v>
      </c>
      <c r="D1648" s="13" t="s">
        <v>436</v>
      </c>
      <c r="G1648"/>
      <c r="I1648" s="14" t="str">
        <f>+IFERROR(VLOOKUP(C1648,'Mov 2023 hasta ahora '!$C$2:$D$314,2,FALSE),"NO")</f>
        <v>NO</v>
      </c>
      <c r="K1648">
        <v>6</v>
      </c>
      <c r="L1648" t="s">
        <v>836</v>
      </c>
      <c r="M1648">
        <v>24</v>
      </c>
      <c r="O1648" s="29" t="s">
        <v>8766</v>
      </c>
      <c r="P1648" s="25" t="s">
        <v>8996</v>
      </c>
      <c r="Q1648" s="25">
        <v>1473</v>
      </c>
      <c r="R1648" t="s">
        <v>436</v>
      </c>
    </row>
    <row r="1649" spans="1:18" s="13" customFormat="1" hidden="1">
      <c r="A1649" s="23" t="s">
        <v>3297</v>
      </c>
      <c r="B1649" s="23" t="s">
        <v>3298</v>
      </c>
      <c r="C1649" s="23">
        <v>1854</v>
      </c>
      <c r="D1649" s="13" t="s">
        <v>436</v>
      </c>
      <c r="G1649"/>
      <c r="I1649" s="14" t="str">
        <f>+IFERROR(VLOOKUP(C1649,'Mov 2023 hasta ahora '!$C$2:$D$314,2,FALSE),"NO")</f>
        <v>NO</v>
      </c>
      <c r="K1649">
        <v>6</v>
      </c>
      <c r="L1649" t="s">
        <v>836</v>
      </c>
      <c r="M1649">
        <v>24</v>
      </c>
      <c r="O1649" s="29" t="s">
        <v>8764</v>
      </c>
      <c r="P1649" s="25" t="s">
        <v>8997</v>
      </c>
      <c r="Q1649" s="25">
        <v>1850</v>
      </c>
      <c r="R1649" t="s">
        <v>436</v>
      </c>
    </row>
    <row r="1650" spans="1:18" hidden="1">
      <c r="A1650" t="s">
        <v>3299</v>
      </c>
      <c r="B1650" t="s">
        <v>3300</v>
      </c>
      <c r="I1650" s="3" t="str">
        <f>+IFERROR(VLOOKUP(C1650,'Mov 2023 hasta ahora '!$C$2:$D$314,2,FALSE),"NO")</f>
        <v>NO</v>
      </c>
      <c r="K1650">
        <v>4</v>
      </c>
      <c r="L1650" t="s">
        <v>836</v>
      </c>
      <c r="M1650">
        <v>14</v>
      </c>
    </row>
    <row r="1651" spans="1:18" hidden="1">
      <c r="A1651" t="s">
        <v>3301</v>
      </c>
      <c r="B1651" t="s">
        <v>3302</v>
      </c>
      <c r="I1651" s="3" t="str">
        <f>+IFERROR(VLOOKUP(C1651,'Mov 2023 hasta ahora '!$C$2:$D$314,2,FALSE),"NO")</f>
        <v>NO</v>
      </c>
      <c r="K1651">
        <v>5</v>
      </c>
      <c r="L1651" t="s">
        <v>836</v>
      </c>
      <c r="M1651">
        <v>18</v>
      </c>
    </row>
    <row r="1652" spans="1:18" s="13" customFormat="1" hidden="1">
      <c r="A1652" s="23" t="s">
        <v>3303</v>
      </c>
      <c r="B1652" s="23" t="s">
        <v>3304</v>
      </c>
      <c r="C1652" s="23">
        <v>1493</v>
      </c>
      <c r="D1652" s="13" t="s">
        <v>436</v>
      </c>
      <c r="G1652"/>
      <c r="I1652" s="14" t="str">
        <f>+IFERROR(VLOOKUP(C1652,'Mov 2023 hasta ahora '!$C$2:$D$314,2,FALSE),"NO")</f>
        <v>NO</v>
      </c>
      <c r="K1652">
        <v>6</v>
      </c>
      <c r="L1652" t="s">
        <v>836</v>
      </c>
      <c r="M1652">
        <v>24</v>
      </c>
      <c r="O1652" s="29" t="s">
        <v>8795</v>
      </c>
      <c r="P1652" s="25" t="s">
        <v>8798</v>
      </c>
      <c r="Q1652" s="25">
        <v>1489</v>
      </c>
      <c r="R1652" t="s">
        <v>436</v>
      </c>
    </row>
    <row r="1653" spans="1:18" s="13" customFormat="1" hidden="1">
      <c r="A1653" s="23" t="s">
        <v>3305</v>
      </c>
      <c r="B1653" s="23" t="s">
        <v>3306</v>
      </c>
      <c r="C1653" s="23">
        <v>1501</v>
      </c>
      <c r="D1653" s="13" t="s">
        <v>436</v>
      </c>
      <c r="G1653"/>
      <c r="I1653" s="14" t="str">
        <f>+IFERROR(VLOOKUP(C1653,'Mov 2023 hasta ahora '!$C$2:$D$314,2,FALSE),"NO")</f>
        <v>NO</v>
      </c>
      <c r="K1653">
        <v>6</v>
      </c>
      <c r="L1653" t="s">
        <v>836</v>
      </c>
      <c r="M1653">
        <v>24</v>
      </c>
      <c r="O1653" s="29" t="s">
        <v>8804</v>
      </c>
      <c r="P1653" s="25" t="s">
        <v>8808</v>
      </c>
      <c r="Q1653" s="25">
        <v>1497</v>
      </c>
      <c r="R1653" s="13" t="s">
        <v>436</v>
      </c>
    </row>
    <row r="1654" spans="1:18" s="13" customFormat="1" hidden="1">
      <c r="A1654" s="23" t="s">
        <v>3307</v>
      </c>
      <c r="B1654" s="23" t="s">
        <v>3308</v>
      </c>
      <c r="C1654" s="23">
        <v>1862</v>
      </c>
      <c r="D1654" s="13" t="s">
        <v>436</v>
      </c>
      <c r="G1654"/>
      <c r="I1654" s="14" t="str">
        <f>+IFERROR(VLOOKUP(C1654,'Mov 2023 hasta ahora '!$C$2:$D$314,2,FALSE),"NO")</f>
        <v>NO</v>
      </c>
      <c r="K1654">
        <v>6</v>
      </c>
      <c r="L1654" t="s">
        <v>836</v>
      </c>
      <c r="M1654">
        <v>24</v>
      </c>
      <c r="O1654" s="29" t="s">
        <v>8820</v>
      </c>
      <c r="P1654" s="25" t="s">
        <v>8826</v>
      </c>
      <c r="Q1654" s="25">
        <v>1858</v>
      </c>
      <c r="R1654" t="s">
        <v>436</v>
      </c>
    </row>
    <row r="1655" spans="1:18" hidden="1">
      <c r="A1655" t="s">
        <v>3309</v>
      </c>
      <c r="B1655" t="s">
        <v>3310</v>
      </c>
      <c r="I1655" s="3" t="str">
        <f>+IFERROR(VLOOKUP(C1655,'Mov 2023 hasta ahora '!$C$2:$D$314,2,FALSE),"NO")</f>
        <v>NO</v>
      </c>
      <c r="K1655">
        <v>4</v>
      </c>
      <c r="L1655" t="s">
        <v>836</v>
      </c>
      <c r="M1655">
        <v>14</v>
      </c>
    </row>
    <row r="1656" spans="1:18" hidden="1">
      <c r="A1656" t="s">
        <v>3311</v>
      </c>
      <c r="B1656" t="s">
        <v>3312</v>
      </c>
      <c r="I1656" s="3" t="str">
        <f>+IFERROR(VLOOKUP(C1656,'Mov 2023 hasta ahora '!$C$2:$D$314,2,FALSE),"NO")</f>
        <v>NO</v>
      </c>
      <c r="K1656">
        <v>5</v>
      </c>
      <c r="L1656" t="s">
        <v>836</v>
      </c>
      <c r="M1656">
        <v>18</v>
      </c>
    </row>
    <row r="1657" spans="1:18" s="13" customFormat="1" hidden="1">
      <c r="A1657" s="23" t="s">
        <v>3313</v>
      </c>
      <c r="B1657" s="23" t="s">
        <v>3314</v>
      </c>
      <c r="C1657" s="23">
        <v>1517</v>
      </c>
      <c r="D1657" s="13" t="s">
        <v>436</v>
      </c>
      <c r="G1657"/>
      <c r="I1657" s="14" t="str">
        <f>+IFERROR(VLOOKUP(C1657,'Mov 2023 hasta ahora '!$C$2:$D$314,2,FALSE),"NO")</f>
        <v>NO</v>
      </c>
      <c r="K1657">
        <v>6</v>
      </c>
      <c r="L1657" t="s">
        <v>836</v>
      </c>
      <c r="M1657">
        <v>24</v>
      </c>
      <c r="O1657" s="29" t="s">
        <v>9002</v>
      </c>
      <c r="P1657" s="25" t="s">
        <v>8799</v>
      </c>
      <c r="Q1657" s="25">
        <v>1513</v>
      </c>
      <c r="R1657" t="s">
        <v>436</v>
      </c>
    </row>
    <row r="1658" spans="1:18" s="13" customFormat="1" hidden="1">
      <c r="A1658" s="23" t="s">
        <v>3315</v>
      </c>
      <c r="B1658" s="23" t="s">
        <v>3316</v>
      </c>
      <c r="C1658" s="23">
        <v>1509</v>
      </c>
      <c r="D1658" s="13" t="s">
        <v>436</v>
      </c>
      <c r="G1658"/>
      <c r="I1658" s="14" t="str">
        <f>+IFERROR(VLOOKUP(C1658,'Mov 2023 hasta ahora '!$C$2:$D$314,2,FALSE),"NO")</f>
        <v>NO</v>
      </c>
      <c r="K1658">
        <v>6</v>
      </c>
      <c r="L1658" t="s">
        <v>836</v>
      </c>
      <c r="M1658">
        <v>24</v>
      </c>
      <c r="O1658" s="29" t="s">
        <v>9003</v>
      </c>
      <c r="P1658" s="25" t="s">
        <v>8803</v>
      </c>
      <c r="Q1658" s="25">
        <v>1505</v>
      </c>
      <c r="R1658" t="s">
        <v>436</v>
      </c>
    </row>
    <row r="1659" spans="1:18" s="13" customFormat="1" hidden="1">
      <c r="A1659" s="23" t="s">
        <v>3317</v>
      </c>
      <c r="B1659" s="23" t="s">
        <v>3318</v>
      </c>
      <c r="C1659" s="23">
        <v>1870</v>
      </c>
      <c r="D1659" s="13" t="s">
        <v>436</v>
      </c>
      <c r="G1659"/>
      <c r="I1659" s="14" t="str">
        <f>+IFERROR(VLOOKUP(C1659,'Mov 2023 hasta ahora '!$C$2:$D$314,2,FALSE),"NO")</f>
        <v>NO</v>
      </c>
      <c r="K1659">
        <v>6</v>
      </c>
      <c r="L1659" t="s">
        <v>836</v>
      </c>
      <c r="M1659">
        <v>24</v>
      </c>
      <c r="O1659" s="29" t="s">
        <v>9004</v>
      </c>
      <c r="P1659" s="25" t="s">
        <v>8822</v>
      </c>
      <c r="Q1659" s="25">
        <v>1866</v>
      </c>
      <c r="R1659" t="s">
        <v>436</v>
      </c>
    </row>
    <row r="1660" spans="1:18" hidden="1">
      <c r="A1660" t="s">
        <v>3319</v>
      </c>
      <c r="B1660" t="s">
        <v>3320</v>
      </c>
      <c r="I1660" s="3" t="str">
        <f>+IFERROR(VLOOKUP(C1660,'Mov 2023 hasta ahora '!$C$2:$D$314,2,FALSE),"NO")</f>
        <v>NO</v>
      </c>
      <c r="K1660">
        <v>4</v>
      </c>
      <c r="L1660" t="s">
        <v>836</v>
      </c>
      <c r="M1660">
        <v>14</v>
      </c>
    </row>
    <row r="1661" spans="1:18" hidden="1">
      <c r="A1661" t="s">
        <v>3321</v>
      </c>
      <c r="B1661" t="s">
        <v>3322</v>
      </c>
      <c r="I1661" s="3" t="str">
        <f>+IFERROR(VLOOKUP(C1661,'Mov 2023 hasta ahora '!$C$2:$D$314,2,FALSE),"NO")</f>
        <v>NO</v>
      </c>
      <c r="K1661">
        <v>5</v>
      </c>
      <c r="L1661" t="s">
        <v>836</v>
      </c>
      <c r="M1661">
        <v>18</v>
      </c>
    </row>
    <row r="1662" spans="1:18" hidden="1">
      <c r="A1662" s="23" t="s">
        <v>3323</v>
      </c>
      <c r="B1662" s="23" t="s">
        <v>3324</v>
      </c>
      <c r="C1662" s="23">
        <v>1878</v>
      </c>
      <c r="D1662" t="s">
        <v>436</v>
      </c>
      <c r="I1662" s="3" t="str">
        <f>+IFERROR(VLOOKUP(C1662,'Mov 2023 hasta ahora '!$C$2:$D$314,2,FALSE),"NO")</f>
        <v>NO</v>
      </c>
      <c r="K1662">
        <v>6</v>
      </c>
      <c r="L1662" t="s">
        <v>836</v>
      </c>
      <c r="M1662">
        <v>24</v>
      </c>
      <c r="O1662" s="29" t="s">
        <v>8861</v>
      </c>
      <c r="P1662" s="25" t="s">
        <v>8868</v>
      </c>
      <c r="Q1662" s="25">
        <v>1419</v>
      </c>
      <c r="R1662" t="s">
        <v>436</v>
      </c>
    </row>
    <row r="1663" spans="1:18" hidden="1">
      <c r="A1663" t="s">
        <v>3325</v>
      </c>
      <c r="B1663" t="s">
        <v>3326</v>
      </c>
      <c r="I1663" s="3" t="str">
        <f>+IFERROR(VLOOKUP(C1663,'Mov 2023 hasta ahora '!$C$2:$D$314,2,FALSE),"NO")</f>
        <v>NO</v>
      </c>
      <c r="K1663">
        <v>5</v>
      </c>
      <c r="L1663" t="s">
        <v>836</v>
      </c>
      <c r="M1663">
        <v>18</v>
      </c>
    </row>
    <row r="1664" spans="1:18" hidden="1">
      <c r="A1664" s="23" t="s">
        <v>3327</v>
      </c>
      <c r="B1664" s="23" t="s">
        <v>3328</v>
      </c>
      <c r="C1664" s="23">
        <v>1750</v>
      </c>
      <c r="D1664" t="s">
        <v>436</v>
      </c>
      <c r="I1664" s="3" t="str">
        <f>+IFERROR(VLOOKUP(C1664,'Mov 2023 hasta ahora '!$C$2:$D$314,2,FALSE),"NO")</f>
        <v>NO</v>
      </c>
      <c r="K1664">
        <v>6</v>
      </c>
      <c r="L1664" t="s">
        <v>836</v>
      </c>
      <c r="M1664">
        <v>24</v>
      </c>
      <c r="O1664" s="29" t="s">
        <v>9049</v>
      </c>
      <c r="P1664" s="25" t="s">
        <v>9050</v>
      </c>
      <c r="Q1664" s="25">
        <v>1363</v>
      </c>
      <c r="R1664" t="s">
        <v>436</v>
      </c>
    </row>
    <row r="1665" spans="1:18" hidden="1">
      <c r="A1665" s="23" t="s">
        <v>3329</v>
      </c>
      <c r="B1665" s="23" t="s">
        <v>3330</v>
      </c>
      <c r="C1665" s="23">
        <v>1749</v>
      </c>
      <c r="D1665" t="s">
        <v>436</v>
      </c>
      <c r="I1665" s="3" t="str">
        <f>+IFERROR(VLOOKUP(C1665,'Mov 2023 hasta ahora '!$C$2:$D$314,2,FALSE),"NO")</f>
        <v>NO</v>
      </c>
      <c r="K1665">
        <v>6</v>
      </c>
      <c r="L1665" t="s">
        <v>836</v>
      </c>
      <c r="M1665">
        <v>24</v>
      </c>
      <c r="O1665" s="29" t="s">
        <v>9014</v>
      </c>
      <c r="P1665" s="25" t="s">
        <v>8890</v>
      </c>
      <c r="Q1665" s="25">
        <v>1244</v>
      </c>
      <c r="R1665" t="s">
        <v>436</v>
      </c>
    </row>
    <row r="1666" spans="1:18" hidden="1">
      <c r="A1666" s="23" t="s">
        <v>3331</v>
      </c>
      <c r="B1666" s="23" t="s">
        <v>3332</v>
      </c>
      <c r="C1666" s="23">
        <v>1748</v>
      </c>
      <c r="D1666" t="s">
        <v>436</v>
      </c>
      <c r="I1666" s="3" t="str">
        <f>+IFERROR(VLOOKUP(C1666,'Mov 2023 hasta ahora '!$C$2:$D$314,2,FALSE),"NO")</f>
        <v>NO</v>
      </c>
      <c r="K1666">
        <v>6</v>
      </c>
      <c r="L1666" t="s">
        <v>836</v>
      </c>
      <c r="M1666">
        <v>24</v>
      </c>
      <c r="O1666" s="29" t="s">
        <v>9030</v>
      </c>
      <c r="P1666" s="25" t="s">
        <v>9029</v>
      </c>
      <c r="Q1666" s="25">
        <v>3817</v>
      </c>
      <c r="R1666" t="s">
        <v>436</v>
      </c>
    </row>
    <row r="1667" spans="1:18" s="13" customFormat="1" hidden="1">
      <c r="A1667" s="23" t="s">
        <v>3333</v>
      </c>
      <c r="B1667" s="23" t="s">
        <v>3334</v>
      </c>
      <c r="C1667" s="23">
        <v>1984</v>
      </c>
      <c r="G1667"/>
      <c r="I1667" s="14" t="str">
        <f>+IFERROR(VLOOKUP(C1667,'Mov 2023 hasta ahora '!$C$2:$D$314,2,FALSE),"NO")</f>
        <v>NO</v>
      </c>
      <c r="K1667">
        <v>6</v>
      </c>
      <c r="L1667" t="s">
        <v>836</v>
      </c>
      <c r="M1667">
        <v>24</v>
      </c>
      <c r="O1667" s="29" t="s">
        <v>8825</v>
      </c>
      <c r="P1667" s="25" t="s">
        <v>8832</v>
      </c>
      <c r="Q1667" s="25">
        <v>3601</v>
      </c>
      <c r="R1667" t="s">
        <v>436</v>
      </c>
    </row>
    <row r="1668" spans="1:18" s="13" customFormat="1" hidden="1">
      <c r="A1668" s="23" t="s">
        <v>3335</v>
      </c>
      <c r="B1668" s="23" t="s">
        <v>3336</v>
      </c>
      <c r="C1668" s="23">
        <v>1985</v>
      </c>
      <c r="G1668"/>
      <c r="I1668" s="14" t="str">
        <f>+IFERROR(VLOOKUP(C1668,'Mov 2023 hasta ahora '!$C$2:$D$314,2,FALSE),"NO")</f>
        <v>NO</v>
      </c>
      <c r="K1668">
        <v>6</v>
      </c>
      <c r="L1668" t="s">
        <v>836</v>
      </c>
      <c r="M1668">
        <v>24</v>
      </c>
      <c r="O1668" s="29" t="s">
        <v>8992</v>
      </c>
      <c r="P1668" s="25" t="s">
        <v>8836</v>
      </c>
      <c r="Q1668" s="25">
        <v>3603</v>
      </c>
      <c r="R1668" t="s">
        <v>436</v>
      </c>
    </row>
    <row r="1669" spans="1:18" hidden="1">
      <c r="A1669" t="s">
        <v>3337</v>
      </c>
      <c r="B1669" t="s">
        <v>3338</v>
      </c>
      <c r="I1669" s="3" t="str">
        <f>+IFERROR(VLOOKUP(C1669,'Mov 2023 hasta ahora '!$C$2:$D$314,2,FALSE),"NO")</f>
        <v>NO</v>
      </c>
      <c r="K1669">
        <v>3</v>
      </c>
      <c r="L1669" t="s">
        <v>836</v>
      </c>
      <c r="M1669">
        <v>10</v>
      </c>
    </row>
    <row r="1670" spans="1:18" hidden="1">
      <c r="A1670" t="s">
        <v>3339</v>
      </c>
      <c r="B1670" t="s">
        <v>3340</v>
      </c>
      <c r="I1670" s="3" t="str">
        <f>+IFERROR(VLOOKUP(C1670,'Mov 2023 hasta ahora '!$C$2:$D$314,2,FALSE),"NO")</f>
        <v>NO</v>
      </c>
      <c r="K1670">
        <v>4</v>
      </c>
      <c r="L1670" t="s">
        <v>836</v>
      </c>
      <c r="M1670">
        <v>14</v>
      </c>
    </row>
    <row r="1671" spans="1:18" hidden="1">
      <c r="A1671" t="s">
        <v>3341</v>
      </c>
      <c r="B1671" t="s">
        <v>3342</v>
      </c>
      <c r="I1671" s="3" t="str">
        <f>+IFERROR(VLOOKUP(C1671,'Mov 2023 hasta ahora '!$C$2:$D$314,2,FALSE),"NO")</f>
        <v>NO</v>
      </c>
      <c r="K1671">
        <v>5</v>
      </c>
      <c r="L1671" t="s">
        <v>836</v>
      </c>
      <c r="M1671">
        <v>18</v>
      </c>
    </row>
    <row r="1672" spans="1:18" s="13" customFormat="1" hidden="1">
      <c r="A1672" s="23" t="s">
        <v>3343</v>
      </c>
      <c r="B1672" s="23" t="s">
        <v>3344</v>
      </c>
      <c r="C1672" s="23">
        <v>1446</v>
      </c>
      <c r="D1672" s="13" t="s">
        <v>436</v>
      </c>
      <c r="G1672"/>
      <c r="I1672" s="14" t="str">
        <f>+IFERROR(VLOOKUP(C1672,'Mov 2023 hasta ahora '!$C$2:$D$314,2,FALSE),"NO")</f>
        <v>NO</v>
      </c>
      <c r="K1672">
        <v>6</v>
      </c>
      <c r="L1672" t="s">
        <v>836</v>
      </c>
      <c r="M1672">
        <v>24</v>
      </c>
      <c r="O1672" s="29" t="s">
        <v>8794</v>
      </c>
      <c r="P1672" s="25" t="s">
        <v>8982</v>
      </c>
      <c r="Q1672" s="25">
        <v>1441</v>
      </c>
      <c r="R1672" t="s">
        <v>436</v>
      </c>
    </row>
    <row r="1673" spans="1:18" s="13" customFormat="1" hidden="1">
      <c r="A1673" s="23" t="s">
        <v>3345</v>
      </c>
      <c r="B1673" s="23" t="s">
        <v>3346</v>
      </c>
      <c r="C1673" s="23">
        <v>1453</v>
      </c>
      <c r="D1673" s="13" t="s">
        <v>436</v>
      </c>
      <c r="G1673"/>
      <c r="I1673" s="14" t="str">
        <f>+IFERROR(VLOOKUP(C1673,'Mov 2023 hasta ahora '!$C$2:$D$314,2,FALSE),"NO")</f>
        <v>NO</v>
      </c>
      <c r="K1673">
        <v>6</v>
      </c>
      <c r="L1673" t="s">
        <v>836</v>
      </c>
      <c r="M1673">
        <v>24</v>
      </c>
      <c r="O1673" s="29" t="s">
        <v>8809</v>
      </c>
      <c r="P1673" s="25" t="s">
        <v>8983</v>
      </c>
      <c r="Q1673" s="25">
        <v>1448</v>
      </c>
      <c r="R1673" t="s">
        <v>436</v>
      </c>
    </row>
    <row r="1674" spans="1:18" s="13" customFormat="1" hidden="1">
      <c r="A1674" s="23" t="s">
        <v>3347</v>
      </c>
      <c r="B1674" s="23" t="s">
        <v>3348</v>
      </c>
      <c r="C1674" s="23">
        <v>1831</v>
      </c>
      <c r="D1674" s="13" t="s">
        <v>436</v>
      </c>
      <c r="G1674"/>
      <c r="I1674" s="14" t="str">
        <f>+IFERROR(VLOOKUP(C1674,'Mov 2023 hasta ahora '!$C$2:$D$314,2,FALSE),"NO")</f>
        <v>NO</v>
      </c>
      <c r="K1674">
        <v>6</v>
      </c>
      <c r="L1674" t="s">
        <v>836</v>
      </c>
      <c r="M1674">
        <v>24</v>
      </c>
      <c r="O1674" s="29" t="s">
        <v>8827</v>
      </c>
      <c r="P1674" s="25" t="s">
        <v>8984</v>
      </c>
      <c r="Q1674" s="25">
        <v>1826</v>
      </c>
      <c r="R1674" t="s">
        <v>436</v>
      </c>
    </row>
    <row r="1675" spans="1:18" hidden="1">
      <c r="A1675" t="s">
        <v>3349</v>
      </c>
      <c r="B1675" t="s">
        <v>3350</v>
      </c>
      <c r="I1675" s="3" t="str">
        <f>+IFERROR(VLOOKUP(C1675,'Mov 2023 hasta ahora '!$C$2:$D$314,2,FALSE),"NO")</f>
        <v>NO</v>
      </c>
      <c r="K1675">
        <v>4</v>
      </c>
      <c r="L1675" t="s">
        <v>836</v>
      </c>
      <c r="M1675">
        <v>14</v>
      </c>
    </row>
    <row r="1676" spans="1:18" hidden="1">
      <c r="A1676" t="s">
        <v>3351</v>
      </c>
      <c r="B1676" t="s">
        <v>3352</v>
      </c>
      <c r="I1676" s="3" t="str">
        <f>+IFERROR(VLOOKUP(C1676,'Mov 2023 hasta ahora '!$C$2:$D$314,2,FALSE),"NO")</f>
        <v>NO</v>
      </c>
      <c r="K1676">
        <v>5</v>
      </c>
      <c r="L1676" t="s">
        <v>836</v>
      </c>
      <c r="M1676">
        <v>18</v>
      </c>
    </row>
    <row r="1677" spans="1:18" s="13" customFormat="1" hidden="1">
      <c r="A1677" s="23" t="s">
        <v>3353</v>
      </c>
      <c r="B1677" s="23" t="s">
        <v>3354</v>
      </c>
      <c r="C1677" s="23">
        <v>1462</v>
      </c>
      <c r="D1677" s="13" t="s">
        <v>436</v>
      </c>
      <c r="G1677"/>
      <c r="I1677" s="14" t="str">
        <f>+IFERROR(VLOOKUP(C1677,'Mov 2023 hasta ahora '!$C$2:$D$314,2,FALSE),"NO")</f>
        <v>NO</v>
      </c>
      <c r="K1677">
        <v>6</v>
      </c>
      <c r="L1677" t="s">
        <v>836</v>
      </c>
      <c r="M1677">
        <v>24</v>
      </c>
      <c r="O1677" s="29" t="s">
        <v>8800</v>
      </c>
      <c r="P1677" s="25" t="s">
        <v>8988</v>
      </c>
      <c r="Q1677" s="25">
        <v>1457</v>
      </c>
      <c r="R1677" t="s">
        <v>436</v>
      </c>
    </row>
    <row r="1678" spans="1:18" s="13" customFormat="1" hidden="1">
      <c r="A1678" s="23" t="s">
        <v>3355</v>
      </c>
      <c r="B1678" s="23" t="s">
        <v>3356</v>
      </c>
      <c r="C1678" s="23">
        <v>1470</v>
      </c>
      <c r="D1678" s="13" t="s">
        <v>436</v>
      </c>
      <c r="G1678"/>
      <c r="I1678" s="14" t="str">
        <f>+IFERROR(VLOOKUP(C1678,'Mov 2023 hasta ahora '!$C$2:$D$314,2,FALSE),"NO")</f>
        <v>NO</v>
      </c>
      <c r="K1678">
        <v>6</v>
      </c>
      <c r="L1678" t="s">
        <v>836</v>
      </c>
      <c r="M1678">
        <v>24</v>
      </c>
      <c r="O1678" s="29" t="s">
        <v>8810</v>
      </c>
      <c r="P1678" s="25" t="s">
        <v>8989</v>
      </c>
      <c r="Q1678" s="25">
        <v>1465</v>
      </c>
      <c r="R1678" t="s">
        <v>436</v>
      </c>
    </row>
    <row r="1679" spans="1:18" s="13" customFormat="1" hidden="1">
      <c r="A1679" s="23" t="s">
        <v>3357</v>
      </c>
      <c r="B1679" s="23" t="s">
        <v>3358</v>
      </c>
      <c r="C1679" s="23">
        <v>1839</v>
      </c>
      <c r="D1679" s="13" t="s">
        <v>436</v>
      </c>
      <c r="G1679"/>
      <c r="I1679" s="14" t="str">
        <f>+IFERROR(VLOOKUP(C1679,'Mov 2023 hasta ahora '!$C$2:$D$314,2,FALSE),"NO")</f>
        <v>NO</v>
      </c>
      <c r="K1679">
        <v>6</v>
      </c>
      <c r="L1679" t="s">
        <v>836</v>
      </c>
      <c r="M1679">
        <v>24</v>
      </c>
      <c r="O1679" s="29" t="s">
        <v>8831</v>
      </c>
      <c r="P1679" s="25" t="s">
        <v>8990</v>
      </c>
      <c r="Q1679" s="25">
        <v>1834</v>
      </c>
      <c r="R1679" t="s">
        <v>436</v>
      </c>
    </row>
    <row r="1680" spans="1:18" hidden="1">
      <c r="A1680" t="s">
        <v>3359</v>
      </c>
      <c r="B1680" t="s">
        <v>3360</v>
      </c>
      <c r="I1680" s="3" t="str">
        <f>+IFERROR(VLOOKUP(C1680,'Mov 2023 hasta ahora '!$C$2:$D$314,2,FALSE),"NO")</f>
        <v>NO</v>
      </c>
      <c r="K1680">
        <v>4</v>
      </c>
      <c r="L1680" t="s">
        <v>836</v>
      </c>
      <c r="M1680">
        <v>14</v>
      </c>
    </row>
    <row r="1681" spans="1:18" hidden="1">
      <c r="A1681" t="s">
        <v>3361</v>
      </c>
      <c r="B1681" t="s">
        <v>3362</v>
      </c>
      <c r="I1681" s="3" t="str">
        <f>+IFERROR(VLOOKUP(C1681,'Mov 2023 hasta ahora '!$C$2:$D$314,2,FALSE),"NO")</f>
        <v>NO</v>
      </c>
      <c r="K1681">
        <v>5</v>
      </c>
      <c r="L1681" t="s">
        <v>836</v>
      </c>
      <c r="M1681">
        <v>18</v>
      </c>
    </row>
    <row r="1682" spans="1:18" s="13" customFormat="1" hidden="1">
      <c r="A1682" s="23" t="s">
        <v>3363</v>
      </c>
      <c r="B1682" s="23" t="s">
        <v>3364</v>
      </c>
      <c r="C1682" s="23">
        <v>1584</v>
      </c>
      <c r="D1682" s="13" t="s">
        <v>436</v>
      </c>
      <c r="G1682"/>
      <c r="I1682" s="14" t="str">
        <f>+IFERROR(VLOOKUP(C1682,'Mov 2023 hasta ahora '!$C$2:$D$314,2,FALSE),"NO")</f>
        <v>NO</v>
      </c>
      <c r="K1682">
        <v>6</v>
      </c>
      <c r="L1682" t="s">
        <v>836</v>
      </c>
      <c r="M1682">
        <v>24</v>
      </c>
      <c r="O1682" s="29" t="s">
        <v>8815</v>
      </c>
      <c r="P1682" s="25" t="s">
        <v>8796</v>
      </c>
      <c r="Q1682" s="25">
        <v>1579</v>
      </c>
      <c r="R1682" t="s">
        <v>436</v>
      </c>
    </row>
    <row r="1683" spans="1:18" s="13" customFormat="1" hidden="1">
      <c r="A1683" s="23" t="s">
        <v>3365</v>
      </c>
      <c r="B1683" s="23" t="s">
        <v>3366</v>
      </c>
      <c r="C1683" s="23">
        <v>1593</v>
      </c>
      <c r="D1683" s="13" t="s">
        <v>436</v>
      </c>
      <c r="G1683"/>
      <c r="I1683" s="14" t="str">
        <f>+IFERROR(VLOOKUP(C1683,'Mov 2023 hasta ahora '!$C$2:$D$314,2,FALSE),"NO")</f>
        <v>NO</v>
      </c>
      <c r="K1683">
        <v>6</v>
      </c>
      <c r="L1683" t="s">
        <v>836</v>
      </c>
      <c r="M1683">
        <v>24</v>
      </c>
      <c r="O1683" s="29" t="s">
        <v>8816</v>
      </c>
      <c r="P1683" s="25" t="s">
        <v>8806</v>
      </c>
      <c r="Q1683" s="25">
        <v>1589</v>
      </c>
      <c r="R1683" t="s">
        <v>436</v>
      </c>
    </row>
    <row r="1684" spans="1:18" s="13" customFormat="1" hidden="1">
      <c r="A1684" s="23" t="s">
        <v>3367</v>
      </c>
      <c r="B1684" s="23" t="s">
        <v>3368</v>
      </c>
      <c r="C1684" s="23">
        <v>1847</v>
      </c>
      <c r="D1684" s="13" t="s">
        <v>436</v>
      </c>
      <c r="G1684"/>
      <c r="I1684" s="14" t="str">
        <f>+IFERROR(VLOOKUP(C1684,'Mov 2023 hasta ahora '!$C$2:$D$314,2,FALSE),"NO")</f>
        <v>NO</v>
      </c>
      <c r="K1684">
        <v>6</v>
      </c>
      <c r="L1684" t="s">
        <v>836</v>
      </c>
      <c r="M1684">
        <v>24</v>
      </c>
      <c r="O1684" s="29" t="s">
        <v>8823</v>
      </c>
      <c r="P1684" s="25" t="s">
        <v>8824</v>
      </c>
      <c r="Q1684" s="25">
        <v>1842</v>
      </c>
      <c r="R1684" t="s">
        <v>436</v>
      </c>
    </row>
    <row r="1685" spans="1:18" hidden="1">
      <c r="A1685" t="s">
        <v>3369</v>
      </c>
      <c r="B1685" t="s">
        <v>3370</v>
      </c>
      <c r="I1685" s="3" t="str">
        <f>+IFERROR(VLOOKUP(C1685,'Mov 2023 hasta ahora '!$C$2:$D$314,2,FALSE),"NO")</f>
        <v>NO</v>
      </c>
      <c r="K1685">
        <v>4</v>
      </c>
      <c r="L1685" t="s">
        <v>836</v>
      </c>
      <c r="M1685">
        <v>14</v>
      </c>
    </row>
    <row r="1686" spans="1:18" hidden="1">
      <c r="A1686" t="s">
        <v>3371</v>
      </c>
      <c r="B1686" t="s">
        <v>3372</v>
      </c>
      <c r="I1686" s="3" t="str">
        <f>+IFERROR(VLOOKUP(C1686,'Mov 2023 hasta ahora '!$C$2:$D$314,2,FALSE),"NO")</f>
        <v>NO</v>
      </c>
      <c r="K1686">
        <v>5</v>
      </c>
      <c r="L1686" t="s">
        <v>836</v>
      </c>
      <c r="M1686">
        <v>18</v>
      </c>
    </row>
    <row r="1687" spans="1:18" s="13" customFormat="1" hidden="1">
      <c r="A1687" s="23" t="s">
        <v>3373</v>
      </c>
      <c r="B1687" s="23" t="s">
        <v>3374</v>
      </c>
      <c r="C1687" s="23">
        <v>1486</v>
      </c>
      <c r="D1687" s="13" t="s">
        <v>436</v>
      </c>
      <c r="G1687"/>
      <c r="I1687" s="14" t="str">
        <f>+IFERROR(VLOOKUP(C1687,'Mov 2023 hasta ahora '!$C$2:$D$314,2,FALSE),"NO")</f>
        <v>NO</v>
      </c>
      <c r="K1687">
        <v>6</v>
      </c>
      <c r="L1687" t="s">
        <v>836</v>
      </c>
      <c r="M1687">
        <v>24</v>
      </c>
      <c r="O1687" s="29" t="s">
        <v>8752</v>
      </c>
      <c r="P1687" s="25" t="s">
        <v>8995</v>
      </c>
      <c r="Q1687" s="25">
        <v>1481</v>
      </c>
      <c r="R1687" t="s">
        <v>436</v>
      </c>
    </row>
    <row r="1688" spans="1:18" s="13" customFormat="1" hidden="1">
      <c r="A1688" s="23" t="s">
        <v>3375</v>
      </c>
      <c r="B1688" s="23" t="s">
        <v>3376</v>
      </c>
      <c r="C1688" s="23">
        <v>1478</v>
      </c>
      <c r="D1688" s="13" t="s">
        <v>436</v>
      </c>
      <c r="G1688"/>
      <c r="I1688" s="14" t="str">
        <f>+IFERROR(VLOOKUP(C1688,'Mov 2023 hasta ahora '!$C$2:$D$314,2,FALSE),"NO")</f>
        <v>NO</v>
      </c>
      <c r="K1688">
        <v>6</v>
      </c>
      <c r="L1688" t="s">
        <v>836</v>
      </c>
      <c r="M1688">
        <v>24</v>
      </c>
      <c r="O1688" s="29" t="s">
        <v>8766</v>
      </c>
      <c r="P1688" s="25" t="s">
        <v>8996</v>
      </c>
      <c r="Q1688" s="25">
        <v>1473</v>
      </c>
      <c r="R1688" t="s">
        <v>436</v>
      </c>
    </row>
    <row r="1689" spans="1:18" s="13" customFormat="1" hidden="1">
      <c r="A1689" s="23" t="s">
        <v>3377</v>
      </c>
      <c r="B1689" s="23" t="s">
        <v>3378</v>
      </c>
      <c r="C1689" s="23">
        <v>1855</v>
      </c>
      <c r="D1689" s="13" t="s">
        <v>436</v>
      </c>
      <c r="G1689"/>
      <c r="I1689" s="14" t="str">
        <f>+IFERROR(VLOOKUP(C1689,'Mov 2023 hasta ahora '!$C$2:$D$314,2,FALSE),"NO")</f>
        <v>NO</v>
      </c>
      <c r="K1689">
        <v>6</v>
      </c>
      <c r="L1689" t="s">
        <v>836</v>
      </c>
      <c r="M1689">
        <v>24</v>
      </c>
      <c r="O1689" s="29" t="s">
        <v>8764</v>
      </c>
      <c r="P1689" s="25" t="s">
        <v>8997</v>
      </c>
      <c r="Q1689" s="25">
        <v>1850</v>
      </c>
      <c r="R1689" t="s">
        <v>436</v>
      </c>
    </row>
    <row r="1690" spans="1:18" hidden="1">
      <c r="A1690" t="s">
        <v>3379</v>
      </c>
      <c r="B1690" t="s">
        <v>3380</v>
      </c>
      <c r="I1690" s="3" t="str">
        <f>+IFERROR(VLOOKUP(C1690,'Mov 2023 hasta ahora '!$C$2:$D$314,2,FALSE),"NO")</f>
        <v>NO</v>
      </c>
      <c r="K1690">
        <v>4</v>
      </c>
      <c r="L1690" t="s">
        <v>836</v>
      </c>
      <c r="M1690">
        <v>14</v>
      </c>
    </row>
    <row r="1691" spans="1:18" hidden="1">
      <c r="A1691" t="s">
        <v>3381</v>
      </c>
      <c r="B1691" t="s">
        <v>3382</v>
      </c>
      <c r="I1691" s="3" t="str">
        <f>+IFERROR(VLOOKUP(C1691,'Mov 2023 hasta ahora '!$C$2:$D$314,2,FALSE),"NO")</f>
        <v>NO</v>
      </c>
      <c r="K1691">
        <v>5</v>
      </c>
      <c r="L1691" t="s">
        <v>836</v>
      </c>
      <c r="M1691">
        <v>18</v>
      </c>
    </row>
    <row r="1692" spans="1:18" s="13" customFormat="1" hidden="1">
      <c r="A1692" s="23" t="s">
        <v>3383</v>
      </c>
      <c r="B1692" s="23" t="s">
        <v>3384</v>
      </c>
      <c r="C1692" s="23">
        <v>1494</v>
      </c>
      <c r="D1692" s="13" t="s">
        <v>436</v>
      </c>
      <c r="G1692"/>
      <c r="I1692" s="14" t="str">
        <f>+IFERROR(VLOOKUP(C1692,'Mov 2023 hasta ahora '!$C$2:$D$314,2,FALSE),"NO")</f>
        <v>NO</v>
      </c>
      <c r="K1692">
        <v>6</v>
      </c>
      <c r="L1692" t="s">
        <v>836</v>
      </c>
      <c r="M1692">
        <v>24</v>
      </c>
      <c r="O1692" s="29" t="s">
        <v>8795</v>
      </c>
      <c r="P1692" s="25" t="s">
        <v>8798</v>
      </c>
      <c r="Q1692" s="25">
        <v>1489</v>
      </c>
      <c r="R1692" t="s">
        <v>436</v>
      </c>
    </row>
    <row r="1693" spans="1:18" s="13" customFormat="1" hidden="1">
      <c r="A1693" s="23" t="s">
        <v>3385</v>
      </c>
      <c r="B1693" s="23" t="s">
        <v>3386</v>
      </c>
      <c r="C1693" s="23">
        <v>1502</v>
      </c>
      <c r="D1693" s="13" t="s">
        <v>436</v>
      </c>
      <c r="G1693"/>
      <c r="I1693" s="14" t="str">
        <f>+IFERROR(VLOOKUP(C1693,'Mov 2023 hasta ahora '!$C$2:$D$314,2,FALSE),"NO")</f>
        <v>NO</v>
      </c>
      <c r="K1693">
        <v>6</v>
      </c>
      <c r="L1693" t="s">
        <v>836</v>
      </c>
      <c r="M1693">
        <v>24</v>
      </c>
      <c r="O1693" s="29" t="s">
        <v>8804</v>
      </c>
      <c r="P1693" s="25" t="s">
        <v>8808</v>
      </c>
      <c r="Q1693" s="25">
        <v>1497</v>
      </c>
      <c r="R1693" s="13" t="s">
        <v>436</v>
      </c>
    </row>
    <row r="1694" spans="1:18" s="13" customFormat="1" hidden="1">
      <c r="A1694" s="23" t="s">
        <v>3387</v>
      </c>
      <c r="B1694" s="23" t="s">
        <v>3388</v>
      </c>
      <c r="C1694" s="23">
        <v>1863</v>
      </c>
      <c r="D1694" s="13" t="s">
        <v>436</v>
      </c>
      <c r="G1694"/>
      <c r="I1694" s="14" t="str">
        <f>+IFERROR(VLOOKUP(C1694,'Mov 2023 hasta ahora '!$C$2:$D$314,2,FALSE),"NO")</f>
        <v>NO</v>
      </c>
      <c r="K1694">
        <v>6</v>
      </c>
      <c r="L1694" t="s">
        <v>836</v>
      </c>
      <c r="M1694">
        <v>24</v>
      </c>
      <c r="O1694" s="29" t="s">
        <v>8820</v>
      </c>
      <c r="P1694" s="25" t="s">
        <v>8826</v>
      </c>
      <c r="Q1694" s="25">
        <v>1858</v>
      </c>
      <c r="R1694" t="s">
        <v>436</v>
      </c>
    </row>
    <row r="1695" spans="1:18" hidden="1">
      <c r="A1695" t="s">
        <v>3389</v>
      </c>
      <c r="B1695" t="s">
        <v>3390</v>
      </c>
      <c r="I1695" s="3" t="str">
        <f>+IFERROR(VLOOKUP(C1695,'Mov 2023 hasta ahora '!$C$2:$D$314,2,FALSE),"NO")</f>
        <v>NO</v>
      </c>
      <c r="K1695">
        <v>4</v>
      </c>
      <c r="L1695" t="s">
        <v>836</v>
      </c>
      <c r="M1695">
        <v>14</v>
      </c>
    </row>
    <row r="1696" spans="1:18" hidden="1">
      <c r="A1696" t="s">
        <v>3391</v>
      </c>
      <c r="B1696" t="s">
        <v>3392</v>
      </c>
      <c r="I1696" s="3" t="str">
        <f>+IFERROR(VLOOKUP(C1696,'Mov 2023 hasta ahora '!$C$2:$D$314,2,FALSE),"NO")</f>
        <v>NO</v>
      </c>
      <c r="K1696">
        <v>5</v>
      </c>
      <c r="L1696" t="s">
        <v>836</v>
      </c>
      <c r="M1696">
        <v>18</v>
      </c>
    </row>
    <row r="1697" spans="1:18" s="13" customFormat="1" hidden="1">
      <c r="A1697" s="23" t="s">
        <v>3393</v>
      </c>
      <c r="B1697" s="23" t="s">
        <v>3394</v>
      </c>
      <c r="C1697" s="23">
        <v>1518</v>
      </c>
      <c r="D1697" s="13" t="s">
        <v>436</v>
      </c>
      <c r="G1697"/>
      <c r="I1697" s="14" t="str">
        <f>+IFERROR(VLOOKUP(C1697,'Mov 2023 hasta ahora '!$C$2:$D$314,2,FALSE),"NO")</f>
        <v>NO</v>
      </c>
      <c r="K1697">
        <v>6</v>
      </c>
      <c r="L1697" t="s">
        <v>836</v>
      </c>
      <c r="M1697">
        <v>24</v>
      </c>
      <c r="O1697" s="29" t="s">
        <v>9002</v>
      </c>
      <c r="P1697" s="25" t="s">
        <v>8799</v>
      </c>
      <c r="Q1697" s="25">
        <v>1513</v>
      </c>
      <c r="R1697" t="s">
        <v>436</v>
      </c>
    </row>
    <row r="1698" spans="1:18" s="13" customFormat="1" hidden="1">
      <c r="A1698" s="23" t="s">
        <v>3395</v>
      </c>
      <c r="B1698" s="23" t="s">
        <v>3396</v>
      </c>
      <c r="C1698" s="23">
        <v>1510</v>
      </c>
      <c r="D1698" s="13" t="s">
        <v>436</v>
      </c>
      <c r="G1698"/>
      <c r="I1698" s="14" t="str">
        <f>+IFERROR(VLOOKUP(C1698,'Mov 2023 hasta ahora '!$C$2:$D$314,2,FALSE),"NO")</f>
        <v>NO</v>
      </c>
      <c r="K1698">
        <v>6</v>
      </c>
      <c r="L1698" t="s">
        <v>836</v>
      </c>
      <c r="M1698">
        <v>24</v>
      </c>
      <c r="O1698" s="29" t="s">
        <v>9003</v>
      </c>
      <c r="P1698" s="25" t="s">
        <v>8803</v>
      </c>
      <c r="Q1698" s="25">
        <v>1505</v>
      </c>
      <c r="R1698" t="s">
        <v>436</v>
      </c>
    </row>
    <row r="1699" spans="1:18" s="13" customFormat="1" hidden="1">
      <c r="A1699" s="23" t="s">
        <v>3397</v>
      </c>
      <c r="B1699" s="23" t="s">
        <v>3398</v>
      </c>
      <c r="C1699" s="23">
        <v>1871</v>
      </c>
      <c r="D1699" s="13" t="s">
        <v>436</v>
      </c>
      <c r="G1699"/>
      <c r="I1699" s="14" t="str">
        <f>+IFERROR(VLOOKUP(C1699,'Mov 2023 hasta ahora '!$C$2:$D$314,2,FALSE),"NO")</f>
        <v>NO</v>
      </c>
      <c r="K1699">
        <v>6</v>
      </c>
      <c r="L1699" t="s">
        <v>836</v>
      </c>
      <c r="M1699">
        <v>24</v>
      </c>
      <c r="O1699" s="29" t="s">
        <v>9004</v>
      </c>
      <c r="P1699" s="25" t="s">
        <v>8822</v>
      </c>
      <c r="Q1699" s="25">
        <v>1866</v>
      </c>
      <c r="R1699" t="s">
        <v>436</v>
      </c>
    </row>
    <row r="1700" spans="1:18" hidden="1">
      <c r="A1700" t="s">
        <v>3399</v>
      </c>
      <c r="B1700" t="s">
        <v>3400</v>
      </c>
      <c r="I1700" s="3" t="str">
        <f>+IFERROR(VLOOKUP(C1700,'Mov 2023 hasta ahora '!$C$2:$D$314,2,FALSE),"NO")</f>
        <v>NO</v>
      </c>
      <c r="K1700">
        <v>4</v>
      </c>
      <c r="L1700" t="s">
        <v>836</v>
      </c>
      <c r="M1700">
        <v>14</v>
      </c>
    </row>
    <row r="1701" spans="1:18" hidden="1">
      <c r="A1701" t="s">
        <v>3401</v>
      </c>
      <c r="B1701" t="s">
        <v>3402</v>
      </c>
      <c r="I1701" s="3" t="str">
        <f>+IFERROR(VLOOKUP(C1701,'Mov 2023 hasta ahora '!$C$2:$D$314,2,FALSE),"NO")</f>
        <v>NO</v>
      </c>
      <c r="K1701">
        <v>5</v>
      </c>
      <c r="L1701" t="s">
        <v>836</v>
      </c>
      <c r="M1701">
        <v>18</v>
      </c>
    </row>
    <row r="1702" spans="1:18" hidden="1">
      <c r="A1702" s="23" t="s">
        <v>3403</v>
      </c>
      <c r="B1702" s="23" t="s">
        <v>3404</v>
      </c>
      <c r="C1702" s="23">
        <v>1879</v>
      </c>
      <c r="D1702" t="s">
        <v>436</v>
      </c>
      <c r="I1702" s="3" t="str">
        <f>+IFERROR(VLOOKUP(C1702,'Mov 2023 hasta ahora '!$C$2:$D$314,2,FALSE),"NO")</f>
        <v>NO</v>
      </c>
      <c r="K1702">
        <v>6</v>
      </c>
      <c r="L1702" t="s">
        <v>836</v>
      </c>
      <c r="M1702">
        <v>24</v>
      </c>
      <c r="O1702" s="29" t="s">
        <v>8861</v>
      </c>
      <c r="P1702" s="25" t="s">
        <v>8868</v>
      </c>
      <c r="Q1702" s="25">
        <v>1419</v>
      </c>
      <c r="R1702" t="s">
        <v>436</v>
      </c>
    </row>
    <row r="1703" spans="1:18" hidden="1">
      <c r="A1703" t="s">
        <v>3405</v>
      </c>
      <c r="B1703" t="s">
        <v>3406</v>
      </c>
      <c r="I1703" s="3" t="str">
        <f>+IFERROR(VLOOKUP(C1703,'Mov 2023 hasta ahora '!$C$2:$D$314,2,FALSE),"NO")</f>
        <v>NO</v>
      </c>
      <c r="K1703">
        <v>5</v>
      </c>
      <c r="L1703" t="s">
        <v>836</v>
      </c>
      <c r="M1703">
        <v>18</v>
      </c>
    </row>
    <row r="1704" spans="1:18" hidden="1">
      <c r="A1704" s="23" t="s">
        <v>3407</v>
      </c>
      <c r="B1704" s="23" t="s">
        <v>3408</v>
      </c>
      <c r="C1704" s="23">
        <v>1757</v>
      </c>
      <c r="D1704" t="s">
        <v>436</v>
      </c>
      <c r="I1704" s="3" t="str">
        <f>+IFERROR(VLOOKUP(C1704,'Mov 2023 hasta ahora '!$C$2:$D$314,2,FALSE),"NO")</f>
        <v>NO</v>
      </c>
      <c r="K1704">
        <v>6</v>
      </c>
      <c r="L1704" t="s">
        <v>836</v>
      </c>
      <c r="M1704">
        <v>24</v>
      </c>
      <c r="O1704" s="29" t="s">
        <v>9049</v>
      </c>
      <c r="P1704" s="25" t="s">
        <v>9050</v>
      </c>
      <c r="Q1704" s="25">
        <v>1363</v>
      </c>
      <c r="R1704" t="s">
        <v>436</v>
      </c>
    </row>
    <row r="1705" spans="1:18" hidden="1">
      <c r="A1705" s="23" t="s">
        <v>3409</v>
      </c>
      <c r="B1705" s="23" t="s">
        <v>3410</v>
      </c>
      <c r="C1705" s="23">
        <v>1756</v>
      </c>
      <c r="D1705" t="s">
        <v>436</v>
      </c>
      <c r="I1705" s="3" t="str">
        <f>+IFERROR(VLOOKUP(C1705,'Mov 2023 hasta ahora '!$C$2:$D$314,2,FALSE),"NO")</f>
        <v>NO</v>
      </c>
      <c r="K1705">
        <v>6</v>
      </c>
      <c r="L1705" t="s">
        <v>836</v>
      </c>
      <c r="M1705">
        <v>24</v>
      </c>
      <c r="O1705" s="29" t="s">
        <v>9014</v>
      </c>
      <c r="P1705" s="25" t="s">
        <v>8890</v>
      </c>
      <c r="Q1705" s="25">
        <v>1244</v>
      </c>
      <c r="R1705" t="s">
        <v>436</v>
      </c>
    </row>
    <row r="1706" spans="1:18" hidden="1">
      <c r="A1706" s="23" t="s">
        <v>3411</v>
      </c>
      <c r="B1706" s="23" t="s">
        <v>3412</v>
      </c>
      <c r="C1706" s="23">
        <v>1755</v>
      </c>
      <c r="D1706" t="s">
        <v>436</v>
      </c>
      <c r="I1706" s="3" t="str">
        <f>+IFERROR(VLOOKUP(C1706,'Mov 2023 hasta ahora '!$C$2:$D$314,2,FALSE),"NO")</f>
        <v>NO</v>
      </c>
      <c r="K1706">
        <v>6</v>
      </c>
      <c r="L1706" t="s">
        <v>836</v>
      </c>
      <c r="M1706">
        <v>24</v>
      </c>
      <c r="O1706" s="29" t="s">
        <v>9030</v>
      </c>
      <c r="P1706" s="25" t="s">
        <v>9029</v>
      </c>
      <c r="Q1706" s="25">
        <v>3817</v>
      </c>
      <c r="R1706" t="s">
        <v>436</v>
      </c>
    </row>
    <row r="1707" spans="1:18" s="13" customFormat="1" hidden="1">
      <c r="A1707" s="23" t="s">
        <v>3413</v>
      </c>
      <c r="B1707" s="23" t="s">
        <v>3414</v>
      </c>
      <c r="C1707" s="23">
        <v>1986</v>
      </c>
      <c r="G1707"/>
      <c r="I1707" s="14" t="str">
        <f>+IFERROR(VLOOKUP(C1707,'Mov 2023 hasta ahora '!$C$2:$D$314,2,FALSE),"NO")</f>
        <v>NO</v>
      </c>
      <c r="K1707">
        <v>6</v>
      </c>
      <c r="L1707" t="s">
        <v>836</v>
      </c>
      <c r="M1707">
        <v>24</v>
      </c>
      <c r="O1707" s="29" t="s">
        <v>8825</v>
      </c>
      <c r="P1707" s="25" t="s">
        <v>8832</v>
      </c>
      <c r="Q1707" s="25">
        <v>3601</v>
      </c>
      <c r="R1707" t="s">
        <v>436</v>
      </c>
    </row>
    <row r="1708" spans="1:18" s="13" customFormat="1" hidden="1">
      <c r="A1708" s="23" t="s">
        <v>3415</v>
      </c>
      <c r="B1708" s="23" t="s">
        <v>3416</v>
      </c>
      <c r="C1708" s="23">
        <v>2014</v>
      </c>
      <c r="G1708"/>
      <c r="I1708" s="14" t="str">
        <f>+IFERROR(VLOOKUP(C1708,'Mov 2023 hasta ahora '!$C$2:$D$314,2,FALSE),"NO")</f>
        <v>NO</v>
      </c>
      <c r="K1708">
        <v>6</v>
      </c>
      <c r="L1708" t="s">
        <v>836</v>
      </c>
      <c r="M1708">
        <v>24</v>
      </c>
      <c r="O1708" s="29" t="s">
        <v>8992</v>
      </c>
      <c r="P1708" s="25" t="s">
        <v>8836</v>
      </c>
      <c r="Q1708" s="25">
        <v>3603</v>
      </c>
      <c r="R1708" t="s">
        <v>436</v>
      </c>
    </row>
    <row r="1709" spans="1:18" hidden="1">
      <c r="A1709" t="s">
        <v>3417</v>
      </c>
      <c r="B1709" t="s">
        <v>3418</v>
      </c>
      <c r="I1709" s="3" t="str">
        <f>+IFERROR(VLOOKUP(C1709,'Mov 2023 hasta ahora '!$C$2:$D$314,2,FALSE),"NO")</f>
        <v>NO</v>
      </c>
      <c r="K1709">
        <v>3</v>
      </c>
      <c r="L1709" t="s">
        <v>836</v>
      </c>
      <c r="M1709">
        <v>10</v>
      </c>
    </row>
    <row r="1710" spans="1:18" hidden="1">
      <c r="A1710" t="s">
        <v>3419</v>
      </c>
      <c r="B1710" t="s">
        <v>3420</v>
      </c>
      <c r="I1710" s="3" t="str">
        <f>+IFERROR(VLOOKUP(C1710,'Mov 2023 hasta ahora '!$C$2:$D$314,2,FALSE),"NO")</f>
        <v>NO</v>
      </c>
      <c r="K1710">
        <v>4</v>
      </c>
      <c r="L1710" t="s">
        <v>836</v>
      </c>
      <c r="M1710">
        <v>14</v>
      </c>
    </row>
    <row r="1711" spans="1:18" hidden="1">
      <c r="A1711" t="s">
        <v>3421</v>
      </c>
      <c r="B1711" t="s">
        <v>3422</v>
      </c>
      <c r="I1711" s="3" t="str">
        <f>+IFERROR(VLOOKUP(C1711,'Mov 2023 hasta ahora '!$C$2:$D$314,2,FALSE),"NO")</f>
        <v>NO</v>
      </c>
      <c r="K1711">
        <v>5</v>
      </c>
      <c r="L1711" t="s">
        <v>836</v>
      </c>
      <c r="M1711">
        <v>18</v>
      </c>
    </row>
    <row r="1712" spans="1:18" s="13" customFormat="1" hidden="1">
      <c r="A1712" s="23" t="s">
        <v>3423</v>
      </c>
      <c r="B1712" s="23" t="s">
        <v>3424</v>
      </c>
      <c r="C1712" s="23">
        <v>1456</v>
      </c>
      <c r="D1712" s="13" t="s">
        <v>436</v>
      </c>
      <c r="G1712"/>
      <c r="I1712" s="14" t="str">
        <f>+IFERROR(VLOOKUP(C1712,'Mov 2023 hasta ahora '!$C$2:$D$314,2,FALSE),"NO")</f>
        <v>NO</v>
      </c>
      <c r="K1712">
        <v>6</v>
      </c>
      <c r="L1712" t="s">
        <v>836</v>
      </c>
      <c r="M1712">
        <v>24</v>
      </c>
      <c r="O1712" s="29" t="s">
        <v>8794</v>
      </c>
      <c r="P1712" s="25" t="s">
        <v>8982</v>
      </c>
      <c r="Q1712" s="25">
        <v>1441</v>
      </c>
      <c r="R1712" t="s">
        <v>436</v>
      </c>
    </row>
    <row r="1713" spans="1:18" s="13" customFormat="1" hidden="1">
      <c r="A1713" s="23" t="s">
        <v>3425</v>
      </c>
      <c r="B1713" s="23" t="s">
        <v>3426</v>
      </c>
      <c r="C1713" s="23">
        <v>1454</v>
      </c>
      <c r="D1713" s="13" t="s">
        <v>436</v>
      </c>
      <c r="G1713"/>
      <c r="I1713" s="14" t="str">
        <f>+IFERROR(VLOOKUP(C1713,'Mov 2023 hasta ahora '!$C$2:$D$314,2,FALSE),"NO")</f>
        <v>NO</v>
      </c>
      <c r="K1713">
        <v>6</v>
      </c>
      <c r="L1713" t="s">
        <v>836</v>
      </c>
      <c r="M1713">
        <v>24</v>
      </c>
      <c r="O1713" s="29" t="s">
        <v>8809</v>
      </c>
      <c r="P1713" s="25" t="s">
        <v>8983</v>
      </c>
      <c r="Q1713" s="25">
        <v>1448</v>
      </c>
      <c r="R1713" t="s">
        <v>436</v>
      </c>
    </row>
    <row r="1714" spans="1:18" s="13" customFormat="1" hidden="1">
      <c r="A1714" s="23" t="s">
        <v>3427</v>
      </c>
      <c r="B1714" s="23" t="s">
        <v>3428</v>
      </c>
      <c r="C1714" s="23">
        <v>1832</v>
      </c>
      <c r="D1714" s="13" t="s">
        <v>436</v>
      </c>
      <c r="G1714"/>
      <c r="I1714" s="14" t="str">
        <f>+IFERROR(VLOOKUP(C1714,'Mov 2023 hasta ahora '!$C$2:$D$314,2,FALSE),"NO")</f>
        <v>NO</v>
      </c>
      <c r="K1714">
        <v>6</v>
      </c>
      <c r="L1714" t="s">
        <v>836</v>
      </c>
      <c r="M1714">
        <v>24</v>
      </c>
      <c r="O1714" s="29" t="s">
        <v>8827</v>
      </c>
      <c r="P1714" s="25" t="s">
        <v>8984</v>
      </c>
      <c r="Q1714" s="25">
        <v>1826</v>
      </c>
      <c r="R1714" t="s">
        <v>436</v>
      </c>
    </row>
    <row r="1715" spans="1:18" hidden="1">
      <c r="A1715" t="s">
        <v>3429</v>
      </c>
      <c r="B1715" t="s">
        <v>3430</v>
      </c>
      <c r="I1715" s="3" t="str">
        <f>+IFERROR(VLOOKUP(C1715,'Mov 2023 hasta ahora '!$C$2:$D$314,2,FALSE),"NO")</f>
        <v>NO</v>
      </c>
      <c r="K1715">
        <v>4</v>
      </c>
      <c r="L1715" t="s">
        <v>836</v>
      </c>
      <c r="M1715">
        <v>14</v>
      </c>
    </row>
    <row r="1716" spans="1:18" hidden="1">
      <c r="A1716" t="s">
        <v>3431</v>
      </c>
      <c r="B1716" t="s">
        <v>3432</v>
      </c>
      <c r="I1716" s="3" t="str">
        <f>+IFERROR(VLOOKUP(C1716,'Mov 2023 hasta ahora '!$C$2:$D$314,2,FALSE),"NO")</f>
        <v>NO</v>
      </c>
      <c r="K1716">
        <v>5</v>
      </c>
      <c r="L1716" t="s">
        <v>836</v>
      </c>
      <c r="M1716">
        <v>18</v>
      </c>
    </row>
    <row r="1717" spans="1:18" s="13" customFormat="1" hidden="1">
      <c r="A1717" s="23" t="s">
        <v>3433</v>
      </c>
      <c r="B1717" s="23" t="s">
        <v>3434</v>
      </c>
      <c r="C1717" s="23">
        <v>1463</v>
      </c>
      <c r="D1717" s="13" t="s">
        <v>436</v>
      </c>
      <c r="G1717"/>
      <c r="I1717" s="14" t="str">
        <f>+IFERROR(VLOOKUP(C1717,'Mov 2023 hasta ahora '!$C$2:$D$314,2,FALSE),"NO")</f>
        <v>NO</v>
      </c>
      <c r="K1717">
        <v>6</v>
      </c>
      <c r="L1717" t="s">
        <v>836</v>
      </c>
      <c r="M1717">
        <v>24</v>
      </c>
      <c r="O1717" s="29" t="s">
        <v>8800</v>
      </c>
      <c r="P1717" s="25" t="s">
        <v>8988</v>
      </c>
      <c r="Q1717" s="25">
        <v>1457</v>
      </c>
      <c r="R1717" t="s">
        <v>436</v>
      </c>
    </row>
    <row r="1718" spans="1:18" s="13" customFormat="1" hidden="1">
      <c r="A1718" s="23" t="s">
        <v>3435</v>
      </c>
      <c r="B1718" s="23" t="s">
        <v>3436</v>
      </c>
      <c r="C1718" s="23">
        <v>1471</v>
      </c>
      <c r="D1718" s="13" t="s">
        <v>436</v>
      </c>
      <c r="G1718"/>
      <c r="I1718" s="14" t="str">
        <f>+IFERROR(VLOOKUP(C1718,'Mov 2023 hasta ahora '!$C$2:$D$314,2,FALSE),"NO")</f>
        <v>NO</v>
      </c>
      <c r="K1718">
        <v>6</v>
      </c>
      <c r="L1718" t="s">
        <v>836</v>
      </c>
      <c r="M1718">
        <v>24</v>
      </c>
      <c r="O1718" s="29" t="s">
        <v>8810</v>
      </c>
      <c r="P1718" s="25" t="s">
        <v>8989</v>
      </c>
      <c r="Q1718" s="25">
        <v>1465</v>
      </c>
      <c r="R1718" t="s">
        <v>436</v>
      </c>
    </row>
    <row r="1719" spans="1:18" s="13" customFormat="1" hidden="1">
      <c r="A1719" s="23" t="s">
        <v>3437</v>
      </c>
      <c r="B1719" s="23" t="s">
        <v>3438</v>
      </c>
      <c r="C1719" s="23">
        <v>1840</v>
      </c>
      <c r="D1719" s="13" t="s">
        <v>436</v>
      </c>
      <c r="G1719"/>
      <c r="I1719" s="14" t="str">
        <f>+IFERROR(VLOOKUP(C1719,'Mov 2023 hasta ahora '!$C$2:$D$314,2,FALSE),"NO")</f>
        <v>NO</v>
      </c>
      <c r="K1719">
        <v>6</v>
      </c>
      <c r="L1719" t="s">
        <v>836</v>
      </c>
      <c r="M1719">
        <v>24</v>
      </c>
      <c r="O1719" s="29" t="s">
        <v>8831</v>
      </c>
      <c r="P1719" s="25" t="s">
        <v>8990</v>
      </c>
      <c r="Q1719" s="25">
        <v>1834</v>
      </c>
      <c r="R1719" t="s">
        <v>436</v>
      </c>
    </row>
    <row r="1720" spans="1:18" hidden="1">
      <c r="A1720" t="s">
        <v>3439</v>
      </c>
      <c r="B1720" t="s">
        <v>3440</v>
      </c>
      <c r="I1720" s="3" t="str">
        <f>+IFERROR(VLOOKUP(C1720,'Mov 2023 hasta ahora '!$C$2:$D$314,2,FALSE),"NO")</f>
        <v>NO</v>
      </c>
      <c r="K1720">
        <v>4</v>
      </c>
      <c r="L1720" t="s">
        <v>836</v>
      </c>
      <c r="M1720">
        <v>14</v>
      </c>
    </row>
    <row r="1721" spans="1:18" hidden="1">
      <c r="A1721" t="s">
        <v>3441</v>
      </c>
      <c r="B1721" t="s">
        <v>3442</v>
      </c>
      <c r="I1721" s="3" t="str">
        <f>+IFERROR(VLOOKUP(C1721,'Mov 2023 hasta ahora '!$C$2:$D$314,2,FALSE),"NO")</f>
        <v>NO</v>
      </c>
      <c r="K1721">
        <v>5</v>
      </c>
      <c r="L1721" t="s">
        <v>836</v>
      </c>
      <c r="M1721">
        <v>18</v>
      </c>
    </row>
    <row r="1722" spans="1:18" s="13" customFormat="1" hidden="1">
      <c r="A1722" s="23" t="s">
        <v>3443</v>
      </c>
      <c r="B1722" s="23" t="s">
        <v>3444</v>
      </c>
      <c r="C1722" s="23">
        <v>1585</v>
      </c>
      <c r="D1722" s="13" t="s">
        <v>436</v>
      </c>
      <c r="G1722"/>
      <c r="I1722" s="14" t="str">
        <f>+IFERROR(VLOOKUP(C1722,'Mov 2023 hasta ahora '!$C$2:$D$314,2,FALSE),"NO")</f>
        <v>NO</v>
      </c>
      <c r="K1722">
        <v>6</v>
      </c>
      <c r="L1722" t="s">
        <v>836</v>
      </c>
      <c r="M1722">
        <v>24</v>
      </c>
      <c r="O1722" s="29" t="s">
        <v>8815</v>
      </c>
      <c r="P1722" s="25" t="s">
        <v>8796</v>
      </c>
      <c r="Q1722" s="25">
        <v>1579</v>
      </c>
      <c r="R1722" t="s">
        <v>436</v>
      </c>
    </row>
    <row r="1723" spans="1:18" s="13" customFormat="1" hidden="1">
      <c r="A1723" s="23" t="s">
        <v>3445</v>
      </c>
      <c r="B1723" s="23" t="s">
        <v>3446</v>
      </c>
      <c r="C1723" s="23">
        <v>1594</v>
      </c>
      <c r="D1723" s="13" t="s">
        <v>436</v>
      </c>
      <c r="G1723"/>
      <c r="I1723" s="14" t="str">
        <f>+IFERROR(VLOOKUP(C1723,'Mov 2023 hasta ahora '!$C$2:$D$314,2,FALSE),"NO")</f>
        <v>NO</v>
      </c>
      <c r="K1723">
        <v>6</v>
      </c>
      <c r="L1723" t="s">
        <v>836</v>
      </c>
      <c r="M1723">
        <v>24</v>
      </c>
      <c r="O1723" s="29" t="s">
        <v>8816</v>
      </c>
      <c r="P1723" s="25" t="s">
        <v>8806</v>
      </c>
      <c r="Q1723" s="25">
        <v>1589</v>
      </c>
      <c r="R1723" t="s">
        <v>436</v>
      </c>
    </row>
    <row r="1724" spans="1:18" s="13" customFormat="1" hidden="1">
      <c r="A1724" s="23" t="s">
        <v>3447</v>
      </c>
      <c r="B1724" s="23" t="s">
        <v>3448</v>
      </c>
      <c r="C1724" s="23">
        <v>1848</v>
      </c>
      <c r="D1724" s="13" t="s">
        <v>436</v>
      </c>
      <c r="G1724"/>
      <c r="I1724" s="14" t="str">
        <f>+IFERROR(VLOOKUP(C1724,'Mov 2023 hasta ahora '!$C$2:$D$314,2,FALSE),"NO")</f>
        <v>NO</v>
      </c>
      <c r="K1724">
        <v>6</v>
      </c>
      <c r="L1724" t="s">
        <v>836</v>
      </c>
      <c r="M1724">
        <v>24</v>
      </c>
      <c r="O1724" s="29" t="s">
        <v>8823</v>
      </c>
      <c r="P1724" s="25" t="s">
        <v>8824</v>
      </c>
      <c r="Q1724" s="25">
        <v>1842</v>
      </c>
      <c r="R1724" t="s">
        <v>436</v>
      </c>
    </row>
    <row r="1725" spans="1:18" hidden="1">
      <c r="A1725" t="s">
        <v>3449</v>
      </c>
      <c r="B1725" t="s">
        <v>3450</v>
      </c>
      <c r="I1725" s="3" t="str">
        <f>+IFERROR(VLOOKUP(C1725,'Mov 2023 hasta ahora '!$C$2:$D$314,2,FALSE),"NO")</f>
        <v>NO</v>
      </c>
      <c r="K1725">
        <v>4</v>
      </c>
      <c r="L1725" t="s">
        <v>836</v>
      </c>
      <c r="M1725">
        <v>14</v>
      </c>
    </row>
    <row r="1726" spans="1:18" hidden="1">
      <c r="A1726" t="s">
        <v>3451</v>
      </c>
      <c r="B1726" t="s">
        <v>3452</v>
      </c>
      <c r="I1726" s="3" t="str">
        <f>+IFERROR(VLOOKUP(C1726,'Mov 2023 hasta ahora '!$C$2:$D$314,2,FALSE),"NO")</f>
        <v>NO</v>
      </c>
      <c r="K1726">
        <v>5</v>
      </c>
      <c r="L1726" t="s">
        <v>836</v>
      </c>
      <c r="M1726">
        <v>18</v>
      </c>
    </row>
    <row r="1727" spans="1:18" s="13" customFormat="1" hidden="1">
      <c r="A1727" s="23" t="s">
        <v>3453</v>
      </c>
      <c r="B1727" s="23" t="s">
        <v>3454</v>
      </c>
      <c r="C1727" s="23">
        <v>1487</v>
      </c>
      <c r="D1727" s="13" t="s">
        <v>436</v>
      </c>
      <c r="G1727"/>
      <c r="I1727" s="14" t="str">
        <f>+IFERROR(VLOOKUP(C1727,'Mov 2023 hasta ahora '!$C$2:$D$314,2,FALSE),"NO")</f>
        <v>NO</v>
      </c>
      <c r="K1727">
        <v>6</v>
      </c>
      <c r="L1727" t="s">
        <v>836</v>
      </c>
      <c r="M1727">
        <v>24</v>
      </c>
      <c r="O1727" s="29" t="s">
        <v>8752</v>
      </c>
      <c r="P1727" s="25" t="s">
        <v>8995</v>
      </c>
      <c r="Q1727" s="25">
        <v>1481</v>
      </c>
      <c r="R1727" t="s">
        <v>436</v>
      </c>
    </row>
    <row r="1728" spans="1:18" s="13" customFormat="1" hidden="1">
      <c r="A1728" s="23" t="s">
        <v>3455</v>
      </c>
      <c r="B1728" s="23" t="s">
        <v>3456</v>
      </c>
      <c r="C1728" s="23">
        <v>1479</v>
      </c>
      <c r="D1728" s="13" t="s">
        <v>436</v>
      </c>
      <c r="G1728"/>
      <c r="I1728" s="14" t="str">
        <f>+IFERROR(VLOOKUP(C1728,'Mov 2023 hasta ahora '!$C$2:$D$314,2,FALSE),"NO")</f>
        <v>NO</v>
      </c>
      <c r="K1728">
        <v>6</v>
      </c>
      <c r="L1728" t="s">
        <v>836</v>
      </c>
      <c r="M1728">
        <v>24</v>
      </c>
      <c r="O1728" s="29" t="s">
        <v>8766</v>
      </c>
      <c r="P1728" s="25" t="s">
        <v>8996</v>
      </c>
      <c r="Q1728" s="25">
        <v>1473</v>
      </c>
      <c r="R1728" t="s">
        <v>436</v>
      </c>
    </row>
    <row r="1729" spans="1:18" s="13" customFormat="1" hidden="1">
      <c r="A1729" s="23" t="s">
        <v>3457</v>
      </c>
      <c r="B1729" s="23" t="s">
        <v>3458</v>
      </c>
      <c r="C1729" s="23">
        <v>1856</v>
      </c>
      <c r="D1729" s="13" t="s">
        <v>436</v>
      </c>
      <c r="G1729"/>
      <c r="I1729" s="14" t="str">
        <f>+IFERROR(VLOOKUP(C1729,'Mov 2023 hasta ahora '!$C$2:$D$314,2,FALSE),"NO")</f>
        <v>NO</v>
      </c>
      <c r="K1729">
        <v>6</v>
      </c>
      <c r="L1729" t="s">
        <v>836</v>
      </c>
      <c r="M1729">
        <v>24</v>
      </c>
      <c r="O1729" s="29" t="s">
        <v>8764</v>
      </c>
      <c r="P1729" s="25" t="s">
        <v>8997</v>
      </c>
      <c r="Q1729" s="25">
        <v>1850</v>
      </c>
      <c r="R1729" t="s">
        <v>436</v>
      </c>
    </row>
    <row r="1730" spans="1:18" hidden="1">
      <c r="A1730" t="s">
        <v>3459</v>
      </c>
      <c r="B1730" t="s">
        <v>3460</v>
      </c>
      <c r="I1730" s="3" t="str">
        <f>+IFERROR(VLOOKUP(C1730,'Mov 2023 hasta ahora '!$C$2:$D$314,2,FALSE),"NO")</f>
        <v>NO</v>
      </c>
      <c r="K1730">
        <v>4</v>
      </c>
      <c r="L1730" t="s">
        <v>836</v>
      </c>
      <c r="M1730">
        <v>14</v>
      </c>
    </row>
    <row r="1731" spans="1:18" hidden="1">
      <c r="A1731" t="s">
        <v>3461</v>
      </c>
      <c r="B1731" t="s">
        <v>3462</v>
      </c>
      <c r="I1731" s="3" t="str">
        <f>+IFERROR(VLOOKUP(C1731,'Mov 2023 hasta ahora '!$C$2:$D$314,2,FALSE),"NO")</f>
        <v>NO</v>
      </c>
      <c r="K1731">
        <v>5</v>
      </c>
      <c r="L1731" t="s">
        <v>836</v>
      </c>
      <c r="M1731">
        <v>18</v>
      </c>
    </row>
    <row r="1732" spans="1:18" s="13" customFormat="1" hidden="1">
      <c r="A1732" s="23" t="s">
        <v>3463</v>
      </c>
      <c r="B1732" s="23" t="s">
        <v>3464</v>
      </c>
      <c r="C1732" s="23">
        <v>1495</v>
      </c>
      <c r="D1732" s="13" t="s">
        <v>436</v>
      </c>
      <c r="G1732"/>
      <c r="I1732" s="14" t="str">
        <f>+IFERROR(VLOOKUP(C1732,'Mov 2023 hasta ahora '!$C$2:$D$314,2,FALSE),"NO")</f>
        <v>NO</v>
      </c>
      <c r="K1732">
        <v>6</v>
      </c>
      <c r="L1732" t="s">
        <v>836</v>
      </c>
      <c r="M1732">
        <v>24</v>
      </c>
      <c r="O1732" s="29" t="s">
        <v>8795</v>
      </c>
      <c r="P1732" s="25" t="s">
        <v>8798</v>
      </c>
      <c r="Q1732" s="25">
        <v>1489</v>
      </c>
      <c r="R1732" t="s">
        <v>436</v>
      </c>
    </row>
    <row r="1733" spans="1:18" s="13" customFormat="1" hidden="1">
      <c r="A1733" s="23" t="s">
        <v>3465</v>
      </c>
      <c r="B1733" s="23" t="s">
        <v>3466</v>
      </c>
      <c r="C1733" s="23">
        <v>1503</v>
      </c>
      <c r="D1733" s="13" t="s">
        <v>436</v>
      </c>
      <c r="G1733"/>
      <c r="I1733" s="14" t="str">
        <f>+IFERROR(VLOOKUP(C1733,'Mov 2023 hasta ahora '!$C$2:$D$314,2,FALSE),"NO")</f>
        <v>NO</v>
      </c>
      <c r="K1733">
        <v>6</v>
      </c>
      <c r="L1733" t="s">
        <v>836</v>
      </c>
      <c r="M1733">
        <v>24</v>
      </c>
      <c r="O1733" s="29" t="s">
        <v>8804</v>
      </c>
      <c r="P1733" s="25" t="s">
        <v>8808</v>
      </c>
      <c r="Q1733" s="25">
        <v>1497</v>
      </c>
      <c r="R1733" s="13" t="s">
        <v>436</v>
      </c>
    </row>
    <row r="1734" spans="1:18" s="13" customFormat="1" hidden="1">
      <c r="A1734" s="23" t="s">
        <v>3467</v>
      </c>
      <c r="B1734" s="23" t="s">
        <v>3468</v>
      </c>
      <c r="C1734" s="23">
        <v>1864</v>
      </c>
      <c r="D1734" s="13" t="s">
        <v>436</v>
      </c>
      <c r="G1734"/>
      <c r="I1734" s="14" t="str">
        <f>+IFERROR(VLOOKUP(C1734,'Mov 2023 hasta ahora '!$C$2:$D$314,2,FALSE),"NO")</f>
        <v>NO</v>
      </c>
      <c r="K1734">
        <v>6</v>
      </c>
      <c r="L1734" t="s">
        <v>836</v>
      </c>
      <c r="M1734">
        <v>24</v>
      </c>
      <c r="O1734" s="29" t="s">
        <v>8820</v>
      </c>
      <c r="P1734" s="25" t="s">
        <v>8826</v>
      </c>
      <c r="Q1734" s="25">
        <v>1858</v>
      </c>
      <c r="R1734" t="s">
        <v>436</v>
      </c>
    </row>
    <row r="1735" spans="1:18" hidden="1">
      <c r="A1735" t="s">
        <v>3469</v>
      </c>
      <c r="B1735" t="s">
        <v>3470</v>
      </c>
      <c r="I1735" s="3" t="str">
        <f>+IFERROR(VLOOKUP(C1735,'Mov 2023 hasta ahora '!$C$2:$D$314,2,FALSE),"NO")</f>
        <v>NO</v>
      </c>
      <c r="K1735">
        <v>4</v>
      </c>
      <c r="L1735" t="s">
        <v>836</v>
      </c>
      <c r="M1735">
        <v>14</v>
      </c>
    </row>
    <row r="1736" spans="1:18" hidden="1">
      <c r="A1736" t="s">
        <v>3471</v>
      </c>
      <c r="B1736" t="s">
        <v>3472</v>
      </c>
      <c r="I1736" s="3" t="str">
        <f>+IFERROR(VLOOKUP(C1736,'Mov 2023 hasta ahora '!$C$2:$D$314,2,FALSE),"NO")</f>
        <v>NO</v>
      </c>
      <c r="K1736">
        <v>5</v>
      </c>
      <c r="L1736" t="s">
        <v>836</v>
      </c>
      <c r="M1736">
        <v>18</v>
      </c>
    </row>
    <row r="1737" spans="1:18" s="13" customFormat="1" hidden="1">
      <c r="A1737" s="23" t="s">
        <v>3473</v>
      </c>
      <c r="B1737" s="23" t="s">
        <v>3474</v>
      </c>
      <c r="C1737" s="23">
        <v>1519</v>
      </c>
      <c r="D1737" s="13" t="s">
        <v>436</v>
      </c>
      <c r="G1737"/>
      <c r="I1737" s="14" t="str">
        <f>+IFERROR(VLOOKUP(C1737,'Mov 2023 hasta ahora '!$C$2:$D$314,2,FALSE),"NO")</f>
        <v>NO</v>
      </c>
      <c r="K1737">
        <v>6</v>
      </c>
      <c r="L1737" t="s">
        <v>836</v>
      </c>
      <c r="M1737">
        <v>24</v>
      </c>
      <c r="O1737" s="29" t="s">
        <v>9002</v>
      </c>
      <c r="P1737" s="25" t="s">
        <v>8799</v>
      </c>
      <c r="Q1737" s="25">
        <v>1513</v>
      </c>
      <c r="R1737" t="s">
        <v>436</v>
      </c>
    </row>
    <row r="1738" spans="1:18" s="13" customFormat="1" hidden="1">
      <c r="A1738" s="23" t="s">
        <v>3475</v>
      </c>
      <c r="B1738" s="23" t="s">
        <v>3476</v>
      </c>
      <c r="C1738" s="23">
        <v>1511</v>
      </c>
      <c r="D1738" s="13" t="s">
        <v>436</v>
      </c>
      <c r="G1738"/>
      <c r="I1738" s="14" t="str">
        <f>+IFERROR(VLOOKUP(C1738,'Mov 2023 hasta ahora '!$C$2:$D$314,2,FALSE),"NO")</f>
        <v>NO</v>
      </c>
      <c r="K1738">
        <v>6</v>
      </c>
      <c r="L1738" t="s">
        <v>836</v>
      </c>
      <c r="M1738">
        <v>24</v>
      </c>
      <c r="O1738" s="29" t="s">
        <v>9003</v>
      </c>
      <c r="P1738" s="25" t="s">
        <v>8803</v>
      </c>
      <c r="Q1738" s="25">
        <v>1505</v>
      </c>
      <c r="R1738" t="s">
        <v>436</v>
      </c>
    </row>
    <row r="1739" spans="1:18" s="13" customFormat="1" hidden="1">
      <c r="A1739" s="23" t="s">
        <v>3477</v>
      </c>
      <c r="B1739" s="23" t="s">
        <v>3478</v>
      </c>
      <c r="C1739" s="23">
        <v>1872</v>
      </c>
      <c r="D1739" s="13" t="s">
        <v>436</v>
      </c>
      <c r="G1739"/>
      <c r="I1739" s="14" t="str">
        <f>+IFERROR(VLOOKUP(C1739,'Mov 2023 hasta ahora '!$C$2:$D$314,2,FALSE),"NO")</f>
        <v>NO</v>
      </c>
      <c r="K1739">
        <v>6</v>
      </c>
      <c r="L1739" t="s">
        <v>836</v>
      </c>
      <c r="M1739">
        <v>24</v>
      </c>
      <c r="O1739" s="29" t="s">
        <v>9004</v>
      </c>
      <c r="P1739" s="25" t="s">
        <v>8822</v>
      </c>
      <c r="Q1739" s="25">
        <v>1866</v>
      </c>
      <c r="R1739" t="s">
        <v>436</v>
      </c>
    </row>
    <row r="1740" spans="1:18" hidden="1">
      <c r="A1740" t="s">
        <v>3479</v>
      </c>
      <c r="B1740" t="s">
        <v>3480</v>
      </c>
      <c r="I1740" s="3" t="str">
        <f>+IFERROR(VLOOKUP(C1740,'Mov 2023 hasta ahora '!$C$2:$D$314,2,FALSE),"NO")</f>
        <v>NO</v>
      </c>
      <c r="K1740">
        <v>4</v>
      </c>
      <c r="L1740" t="s">
        <v>836</v>
      </c>
      <c r="M1740">
        <v>14</v>
      </c>
    </row>
    <row r="1741" spans="1:18" hidden="1">
      <c r="A1741" t="s">
        <v>3481</v>
      </c>
      <c r="B1741" t="s">
        <v>3482</v>
      </c>
      <c r="I1741" s="3" t="str">
        <f>+IFERROR(VLOOKUP(C1741,'Mov 2023 hasta ahora '!$C$2:$D$314,2,FALSE),"NO")</f>
        <v>NO</v>
      </c>
      <c r="K1741">
        <v>5</v>
      </c>
      <c r="L1741" t="s">
        <v>836</v>
      </c>
      <c r="M1741">
        <v>18</v>
      </c>
    </row>
    <row r="1742" spans="1:18" hidden="1">
      <c r="A1742" s="23" t="s">
        <v>3483</v>
      </c>
      <c r="B1742" s="23" t="s">
        <v>3484</v>
      </c>
      <c r="C1742" s="23">
        <v>1880</v>
      </c>
      <c r="D1742" t="s">
        <v>436</v>
      </c>
      <c r="I1742" s="3" t="str">
        <f>+IFERROR(VLOOKUP(C1742,'Mov 2023 hasta ahora '!$C$2:$D$314,2,FALSE),"NO")</f>
        <v>NO</v>
      </c>
      <c r="K1742">
        <v>6</v>
      </c>
      <c r="L1742" t="s">
        <v>836</v>
      </c>
      <c r="M1742">
        <v>24</v>
      </c>
      <c r="O1742" s="29" t="s">
        <v>8861</v>
      </c>
      <c r="P1742" s="25" t="s">
        <v>8868</v>
      </c>
      <c r="Q1742" s="25">
        <v>1419</v>
      </c>
      <c r="R1742" t="s">
        <v>436</v>
      </c>
    </row>
    <row r="1743" spans="1:18" hidden="1">
      <c r="A1743" t="s">
        <v>3485</v>
      </c>
      <c r="B1743" t="s">
        <v>3486</v>
      </c>
      <c r="I1743" s="3" t="str">
        <f>+IFERROR(VLOOKUP(C1743,'Mov 2023 hasta ahora '!$C$2:$D$314,2,FALSE),"NO")</f>
        <v>NO</v>
      </c>
      <c r="K1743">
        <v>5</v>
      </c>
      <c r="L1743" t="s">
        <v>836</v>
      </c>
      <c r="M1743">
        <v>18</v>
      </c>
    </row>
    <row r="1744" spans="1:18" hidden="1">
      <c r="A1744" s="23" t="s">
        <v>3487</v>
      </c>
      <c r="B1744" s="23" t="s">
        <v>3488</v>
      </c>
      <c r="C1744" s="23">
        <v>1754</v>
      </c>
      <c r="D1744" t="s">
        <v>436</v>
      </c>
      <c r="I1744" s="3" t="str">
        <f>+IFERROR(VLOOKUP(C1744,'Mov 2023 hasta ahora '!$C$2:$D$314,2,FALSE),"NO")</f>
        <v>NO</v>
      </c>
      <c r="K1744">
        <v>6</v>
      </c>
      <c r="L1744" t="s">
        <v>836</v>
      </c>
      <c r="M1744">
        <v>24</v>
      </c>
      <c r="O1744" s="29" t="s">
        <v>9049</v>
      </c>
      <c r="P1744" s="25" t="s">
        <v>9050</v>
      </c>
      <c r="Q1744" s="25">
        <v>1363</v>
      </c>
      <c r="R1744" t="s">
        <v>436</v>
      </c>
    </row>
    <row r="1745" spans="1:18" hidden="1">
      <c r="A1745" s="23" t="s">
        <v>3489</v>
      </c>
      <c r="B1745" s="23" t="s">
        <v>3490</v>
      </c>
      <c r="C1745" s="23">
        <v>1761</v>
      </c>
      <c r="D1745" t="s">
        <v>436</v>
      </c>
      <c r="I1745" s="3" t="str">
        <f>+IFERROR(VLOOKUP(C1745,'Mov 2023 hasta ahora '!$C$2:$D$314,2,FALSE),"NO")</f>
        <v>NO</v>
      </c>
      <c r="K1745">
        <v>6</v>
      </c>
      <c r="L1745" t="s">
        <v>836</v>
      </c>
      <c r="M1745">
        <v>24</v>
      </c>
      <c r="O1745" s="29" t="s">
        <v>9014</v>
      </c>
      <c r="P1745" s="25" t="s">
        <v>8890</v>
      </c>
      <c r="Q1745" s="25">
        <v>1244</v>
      </c>
      <c r="R1745" t="s">
        <v>436</v>
      </c>
    </row>
    <row r="1746" spans="1:18" hidden="1">
      <c r="A1746" s="23" t="s">
        <v>3491</v>
      </c>
      <c r="B1746" s="23" t="s">
        <v>3492</v>
      </c>
      <c r="C1746" s="23">
        <v>1762</v>
      </c>
      <c r="D1746" t="s">
        <v>436</v>
      </c>
      <c r="I1746" s="3" t="str">
        <f>+IFERROR(VLOOKUP(C1746,'Mov 2023 hasta ahora '!$C$2:$D$314,2,FALSE),"NO")</f>
        <v>NO</v>
      </c>
      <c r="K1746">
        <v>6</v>
      </c>
      <c r="L1746" t="s">
        <v>836</v>
      </c>
      <c r="M1746">
        <v>24</v>
      </c>
      <c r="O1746" s="29" t="s">
        <v>9030</v>
      </c>
      <c r="P1746" s="25" t="s">
        <v>9029</v>
      </c>
      <c r="Q1746" s="25">
        <v>3817</v>
      </c>
      <c r="R1746" t="s">
        <v>436</v>
      </c>
    </row>
    <row r="1747" spans="1:18" hidden="1">
      <c r="A1747" t="s">
        <v>3493</v>
      </c>
      <c r="B1747" t="s">
        <v>3494</v>
      </c>
      <c r="I1747" s="3" t="str">
        <f>+IFERROR(VLOOKUP(C1747,'Mov 2023 hasta ahora '!$C$2:$D$314,2,FALSE),"NO")</f>
        <v>NO</v>
      </c>
      <c r="K1747">
        <v>3</v>
      </c>
      <c r="L1747" t="s">
        <v>836</v>
      </c>
      <c r="M1747">
        <v>10</v>
      </c>
    </row>
    <row r="1748" spans="1:18" hidden="1">
      <c r="A1748" t="s">
        <v>3495</v>
      </c>
      <c r="B1748" t="s">
        <v>3496</v>
      </c>
      <c r="I1748" s="3" t="str">
        <f>+IFERROR(VLOOKUP(C1748,'Mov 2023 hasta ahora '!$C$2:$D$314,2,FALSE),"NO")</f>
        <v>NO</v>
      </c>
      <c r="K1748">
        <v>4</v>
      </c>
      <c r="L1748" t="s">
        <v>836</v>
      </c>
      <c r="M1748">
        <v>14</v>
      </c>
    </row>
    <row r="1749" spans="1:18" hidden="1">
      <c r="A1749" t="s">
        <v>3497</v>
      </c>
      <c r="B1749" t="s">
        <v>3498</v>
      </c>
      <c r="I1749" s="3" t="str">
        <f>+IFERROR(VLOOKUP(C1749,'Mov 2023 hasta ahora '!$C$2:$D$314,2,FALSE),"NO")</f>
        <v>NO</v>
      </c>
      <c r="K1749">
        <v>5</v>
      </c>
      <c r="L1749" t="s">
        <v>836</v>
      </c>
      <c r="M1749">
        <v>18</v>
      </c>
    </row>
    <row r="1750" spans="1:18" s="13" customFormat="1" hidden="1">
      <c r="A1750" s="23" t="s">
        <v>3499</v>
      </c>
      <c r="B1750" s="23" t="s">
        <v>3500</v>
      </c>
      <c r="C1750" s="23">
        <v>1447</v>
      </c>
      <c r="D1750" s="13" t="s">
        <v>436</v>
      </c>
      <c r="G1750"/>
      <c r="I1750" s="14" t="str">
        <f>+IFERROR(VLOOKUP(C1750,'Mov 2023 hasta ahora '!$C$2:$D$314,2,FALSE),"NO")</f>
        <v>NO</v>
      </c>
      <c r="K1750">
        <v>6</v>
      </c>
      <c r="L1750" t="s">
        <v>836</v>
      </c>
      <c r="M1750">
        <v>24</v>
      </c>
      <c r="O1750" s="29" t="s">
        <v>8794</v>
      </c>
      <c r="P1750" s="25" t="s">
        <v>8982</v>
      </c>
      <c r="Q1750" s="25">
        <v>1441</v>
      </c>
      <c r="R1750" t="s">
        <v>436</v>
      </c>
    </row>
    <row r="1751" spans="1:18" s="13" customFormat="1" hidden="1">
      <c r="A1751" s="23" t="s">
        <v>3501</v>
      </c>
      <c r="B1751" s="23" t="s">
        <v>3502</v>
      </c>
      <c r="C1751" s="23">
        <v>1455</v>
      </c>
      <c r="D1751" s="13" t="s">
        <v>436</v>
      </c>
      <c r="G1751"/>
      <c r="I1751" s="14" t="str">
        <f>+IFERROR(VLOOKUP(C1751,'Mov 2023 hasta ahora '!$C$2:$D$314,2,FALSE),"NO")</f>
        <v>NO</v>
      </c>
      <c r="K1751">
        <v>6</v>
      </c>
      <c r="L1751" t="s">
        <v>836</v>
      </c>
      <c r="M1751">
        <v>24</v>
      </c>
      <c r="O1751" s="29" t="s">
        <v>8809</v>
      </c>
      <c r="P1751" s="25" t="s">
        <v>8983</v>
      </c>
      <c r="Q1751" s="25">
        <v>1448</v>
      </c>
      <c r="R1751" t="s">
        <v>436</v>
      </c>
    </row>
    <row r="1752" spans="1:18" s="13" customFormat="1" hidden="1">
      <c r="A1752" s="23" t="s">
        <v>3503</v>
      </c>
      <c r="B1752" s="23" t="s">
        <v>3504</v>
      </c>
      <c r="C1752" s="23">
        <v>1833</v>
      </c>
      <c r="D1752" s="13" t="s">
        <v>436</v>
      </c>
      <c r="G1752"/>
      <c r="I1752" s="14" t="str">
        <f>+IFERROR(VLOOKUP(C1752,'Mov 2023 hasta ahora '!$C$2:$D$314,2,FALSE),"NO")</f>
        <v>NO</v>
      </c>
      <c r="K1752">
        <v>6</v>
      </c>
      <c r="L1752" t="s">
        <v>836</v>
      </c>
      <c r="M1752">
        <v>24</v>
      </c>
      <c r="O1752" s="29" t="s">
        <v>8827</v>
      </c>
      <c r="P1752" s="25" t="s">
        <v>8984</v>
      </c>
      <c r="Q1752" s="25">
        <v>1826</v>
      </c>
      <c r="R1752" t="s">
        <v>436</v>
      </c>
    </row>
    <row r="1753" spans="1:18" hidden="1">
      <c r="A1753" t="s">
        <v>3505</v>
      </c>
      <c r="B1753" t="s">
        <v>3506</v>
      </c>
      <c r="I1753" s="3" t="str">
        <f>+IFERROR(VLOOKUP(C1753,'Mov 2023 hasta ahora '!$C$2:$D$314,2,FALSE),"NO")</f>
        <v>NO</v>
      </c>
      <c r="K1753">
        <v>4</v>
      </c>
      <c r="L1753" t="s">
        <v>836</v>
      </c>
      <c r="M1753">
        <v>14</v>
      </c>
    </row>
    <row r="1754" spans="1:18" hidden="1">
      <c r="A1754" t="s">
        <v>3507</v>
      </c>
      <c r="B1754" t="s">
        <v>3508</v>
      </c>
      <c r="I1754" s="3" t="str">
        <f>+IFERROR(VLOOKUP(C1754,'Mov 2023 hasta ahora '!$C$2:$D$314,2,FALSE),"NO")</f>
        <v>NO</v>
      </c>
      <c r="K1754">
        <v>5</v>
      </c>
      <c r="L1754" t="s">
        <v>836</v>
      </c>
      <c r="M1754">
        <v>18</v>
      </c>
    </row>
    <row r="1755" spans="1:18" s="13" customFormat="1" hidden="1">
      <c r="A1755" s="23" t="s">
        <v>3509</v>
      </c>
      <c r="B1755" s="23" t="s">
        <v>3510</v>
      </c>
      <c r="C1755" s="23">
        <v>1464</v>
      </c>
      <c r="D1755" s="13" t="s">
        <v>436</v>
      </c>
      <c r="G1755"/>
      <c r="I1755" s="14" t="str">
        <f>+IFERROR(VLOOKUP(C1755,'Mov 2023 hasta ahora '!$C$2:$D$314,2,FALSE),"NO")</f>
        <v>NO</v>
      </c>
      <c r="K1755">
        <v>6</v>
      </c>
      <c r="L1755" t="s">
        <v>836</v>
      </c>
      <c r="M1755">
        <v>24</v>
      </c>
      <c r="O1755" s="29" t="s">
        <v>8800</v>
      </c>
      <c r="P1755" s="25" t="s">
        <v>8988</v>
      </c>
      <c r="Q1755" s="25">
        <v>1457</v>
      </c>
      <c r="R1755" t="s">
        <v>436</v>
      </c>
    </row>
    <row r="1756" spans="1:18" s="13" customFormat="1" hidden="1">
      <c r="A1756" s="23" t="s">
        <v>3511</v>
      </c>
      <c r="B1756" s="23" t="s">
        <v>3512</v>
      </c>
      <c r="C1756" s="23">
        <v>1472</v>
      </c>
      <c r="D1756" s="13" t="s">
        <v>436</v>
      </c>
      <c r="G1756"/>
      <c r="I1756" s="14" t="str">
        <f>+IFERROR(VLOOKUP(C1756,'Mov 2023 hasta ahora '!$C$2:$D$314,2,FALSE),"NO")</f>
        <v>NO</v>
      </c>
      <c r="K1756">
        <v>6</v>
      </c>
      <c r="L1756" t="s">
        <v>836</v>
      </c>
      <c r="M1756">
        <v>24</v>
      </c>
      <c r="O1756" s="29" t="s">
        <v>8810</v>
      </c>
      <c r="P1756" s="25" t="s">
        <v>8989</v>
      </c>
      <c r="Q1756" s="25">
        <v>1465</v>
      </c>
      <c r="R1756" t="s">
        <v>436</v>
      </c>
    </row>
    <row r="1757" spans="1:18" s="13" customFormat="1" hidden="1">
      <c r="A1757" s="23" t="s">
        <v>3513</v>
      </c>
      <c r="B1757" s="23" t="s">
        <v>3514</v>
      </c>
      <c r="C1757" s="23">
        <v>1841</v>
      </c>
      <c r="D1757" s="13" t="s">
        <v>436</v>
      </c>
      <c r="G1757"/>
      <c r="I1757" s="14" t="str">
        <f>+IFERROR(VLOOKUP(C1757,'Mov 2023 hasta ahora '!$C$2:$D$314,2,FALSE),"NO")</f>
        <v>NO</v>
      </c>
      <c r="K1757">
        <v>6</v>
      </c>
      <c r="L1757" t="s">
        <v>836</v>
      </c>
      <c r="M1757">
        <v>24</v>
      </c>
      <c r="O1757" s="29" t="s">
        <v>8831</v>
      </c>
      <c r="P1757" s="25" t="s">
        <v>8990</v>
      </c>
      <c r="Q1757" s="25">
        <v>1834</v>
      </c>
      <c r="R1757" t="s">
        <v>436</v>
      </c>
    </row>
    <row r="1758" spans="1:18" hidden="1">
      <c r="A1758" t="s">
        <v>3515</v>
      </c>
      <c r="B1758" t="s">
        <v>3516</v>
      </c>
      <c r="I1758" s="3" t="str">
        <f>+IFERROR(VLOOKUP(C1758,'Mov 2023 hasta ahora '!$C$2:$D$314,2,FALSE),"NO")</f>
        <v>NO</v>
      </c>
      <c r="K1758">
        <v>4</v>
      </c>
      <c r="L1758" t="s">
        <v>836</v>
      </c>
      <c r="M1758">
        <v>14</v>
      </c>
    </row>
    <row r="1759" spans="1:18" hidden="1">
      <c r="A1759" t="s">
        <v>3517</v>
      </c>
      <c r="B1759" t="s">
        <v>3518</v>
      </c>
      <c r="I1759" s="3" t="str">
        <f>+IFERROR(VLOOKUP(C1759,'Mov 2023 hasta ahora '!$C$2:$D$314,2,FALSE),"NO")</f>
        <v>NO</v>
      </c>
      <c r="K1759">
        <v>5</v>
      </c>
      <c r="L1759" t="s">
        <v>836</v>
      </c>
      <c r="M1759">
        <v>18</v>
      </c>
    </row>
    <row r="1760" spans="1:18" s="13" customFormat="1" hidden="1">
      <c r="A1760" s="23" t="s">
        <v>3519</v>
      </c>
      <c r="B1760" s="23" t="s">
        <v>3520</v>
      </c>
      <c r="C1760" s="23">
        <v>1586</v>
      </c>
      <c r="D1760" s="13" t="s">
        <v>436</v>
      </c>
      <c r="G1760"/>
      <c r="I1760" s="14" t="str">
        <f>+IFERROR(VLOOKUP(C1760,'Mov 2023 hasta ahora '!$C$2:$D$314,2,FALSE),"NO")</f>
        <v>NO</v>
      </c>
      <c r="K1760">
        <v>6</v>
      </c>
      <c r="L1760" t="s">
        <v>836</v>
      </c>
      <c r="M1760">
        <v>24</v>
      </c>
      <c r="O1760" s="29" t="s">
        <v>8815</v>
      </c>
      <c r="P1760" s="25" t="s">
        <v>8796</v>
      </c>
      <c r="Q1760" s="25">
        <v>1579</v>
      </c>
      <c r="R1760" t="s">
        <v>436</v>
      </c>
    </row>
    <row r="1761" spans="1:18" s="13" customFormat="1" hidden="1">
      <c r="A1761" s="23" t="s">
        <v>3521</v>
      </c>
      <c r="B1761" s="23" t="s">
        <v>3522</v>
      </c>
      <c r="C1761" s="23">
        <v>1587</v>
      </c>
      <c r="D1761" s="13" t="s">
        <v>436</v>
      </c>
      <c r="G1761"/>
      <c r="I1761" s="14" t="str">
        <f>+IFERROR(VLOOKUP(C1761,'Mov 2023 hasta ahora '!$C$2:$D$314,2,FALSE),"NO")</f>
        <v>NO</v>
      </c>
      <c r="K1761">
        <v>6</v>
      </c>
      <c r="L1761" t="s">
        <v>836</v>
      </c>
      <c r="M1761">
        <v>24</v>
      </c>
      <c r="O1761" s="29" t="s">
        <v>8816</v>
      </c>
      <c r="P1761" s="25" t="s">
        <v>8806</v>
      </c>
      <c r="Q1761" s="25">
        <v>1589</v>
      </c>
      <c r="R1761" t="s">
        <v>436</v>
      </c>
    </row>
    <row r="1762" spans="1:18" s="13" customFormat="1" hidden="1">
      <c r="A1762" s="23" t="s">
        <v>3523</v>
      </c>
      <c r="B1762" s="23" t="s">
        <v>3524</v>
      </c>
      <c r="C1762" s="23">
        <v>1849</v>
      </c>
      <c r="D1762" s="13" t="s">
        <v>436</v>
      </c>
      <c r="G1762"/>
      <c r="I1762" s="14" t="str">
        <f>+IFERROR(VLOOKUP(C1762,'Mov 2023 hasta ahora '!$C$2:$D$314,2,FALSE),"NO")</f>
        <v>NO</v>
      </c>
      <c r="K1762">
        <v>6</v>
      </c>
      <c r="L1762" t="s">
        <v>836</v>
      </c>
      <c r="M1762">
        <v>24</v>
      </c>
      <c r="O1762" s="29" t="s">
        <v>8823</v>
      </c>
      <c r="P1762" s="25" t="s">
        <v>8824</v>
      </c>
      <c r="Q1762" s="25">
        <v>1842</v>
      </c>
      <c r="R1762" t="s">
        <v>436</v>
      </c>
    </row>
    <row r="1763" spans="1:18" hidden="1">
      <c r="A1763" t="s">
        <v>3525</v>
      </c>
      <c r="B1763" t="s">
        <v>3526</v>
      </c>
      <c r="I1763" s="3" t="str">
        <f>+IFERROR(VLOOKUP(C1763,'Mov 2023 hasta ahora '!$C$2:$D$314,2,FALSE),"NO")</f>
        <v>NO</v>
      </c>
      <c r="K1763">
        <v>4</v>
      </c>
      <c r="L1763" t="s">
        <v>836</v>
      </c>
      <c r="M1763">
        <v>14</v>
      </c>
    </row>
    <row r="1764" spans="1:18" hidden="1">
      <c r="A1764" t="s">
        <v>3527</v>
      </c>
      <c r="B1764" t="s">
        <v>3528</v>
      </c>
      <c r="I1764" s="3" t="str">
        <f>+IFERROR(VLOOKUP(C1764,'Mov 2023 hasta ahora '!$C$2:$D$314,2,FALSE),"NO")</f>
        <v>NO</v>
      </c>
      <c r="K1764">
        <v>5</v>
      </c>
      <c r="L1764" t="s">
        <v>836</v>
      </c>
      <c r="M1764">
        <v>18</v>
      </c>
    </row>
    <row r="1765" spans="1:18" s="13" customFormat="1" hidden="1">
      <c r="A1765" s="23" t="s">
        <v>3529</v>
      </c>
      <c r="B1765" s="23" t="s">
        <v>3530</v>
      </c>
      <c r="C1765" s="23">
        <v>1488</v>
      </c>
      <c r="D1765" s="13" t="s">
        <v>436</v>
      </c>
      <c r="G1765"/>
      <c r="I1765" s="14" t="str">
        <f>+IFERROR(VLOOKUP(C1765,'Mov 2023 hasta ahora '!$C$2:$D$314,2,FALSE),"NO")</f>
        <v>NO</v>
      </c>
      <c r="K1765">
        <v>6</v>
      </c>
      <c r="L1765" t="s">
        <v>836</v>
      </c>
      <c r="M1765">
        <v>24</v>
      </c>
      <c r="O1765" s="29" t="s">
        <v>8752</v>
      </c>
      <c r="P1765" s="25" t="s">
        <v>8995</v>
      </c>
      <c r="Q1765" s="25">
        <v>1481</v>
      </c>
      <c r="R1765" t="s">
        <v>436</v>
      </c>
    </row>
    <row r="1766" spans="1:18" s="13" customFormat="1" hidden="1">
      <c r="A1766" s="23" t="s">
        <v>3531</v>
      </c>
      <c r="B1766" s="23" t="s">
        <v>3532</v>
      </c>
      <c r="C1766" s="23">
        <v>1480</v>
      </c>
      <c r="D1766" s="13" t="s">
        <v>436</v>
      </c>
      <c r="G1766"/>
      <c r="I1766" s="14" t="str">
        <f>+IFERROR(VLOOKUP(C1766,'Mov 2023 hasta ahora '!$C$2:$D$314,2,FALSE),"NO")</f>
        <v>NO</v>
      </c>
      <c r="K1766">
        <v>6</v>
      </c>
      <c r="L1766" t="s">
        <v>836</v>
      </c>
      <c r="M1766">
        <v>24</v>
      </c>
      <c r="O1766" s="29" t="s">
        <v>8766</v>
      </c>
      <c r="P1766" s="25" t="s">
        <v>8996</v>
      </c>
      <c r="Q1766" s="25">
        <v>1473</v>
      </c>
      <c r="R1766" t="s">
        <v>436</v>
      </c>
    </row>
    <row r="1767" spans="1:18" s="13" customFormat="1" hidden="1">
      <c r="A1767" s="23" t="s">
        <v>3533</v>
      </c>
      <c r="B1767" s="23" t="s">
        <v>3534</v>
      </c>
      <c r="C1767" s="23">
        <v>1857</v>
      </c>
      <c r="D1767" s="13" t="s">
        <v>436</v>
      </c>
      <c r="G1767"/>
      <c r="I1767" s="14" t="str">
        <f>+IFERROR(VLOOKUP(C1767,'Mov 2023 hasta ahora '!$C$2:$D$314,2,FALSE),"NO")</f>
        <v>NO</v>
      </c>
      <c r="K1767">
        <v>6</v>
      </c>
      <c r="L1767" t="s">
        <v>836</v>
      </c>
      <c r="M1767">
        <v>24</v>
      </c>
      <c r="O1767" s="29" t="s">
        <v>8764</v>
      </c>
      <c r="P1767" s="25" t="s">
        <v>8997</v>
      </c>
      <c r="Q1767" s="25">
        <v>1850</v>
      </c>
      <c r="R1767" t="s">
        <v>436</v>
      </c>
    </row>
    <row r="1768" spans="1:18" hidden="1">
      <c r="A1768" t="s">
        <v>3535</v>
      </c>
      <c r="B1768" t="s">
        <v>3536</v>
      </c>
      <c r="I1768" s="3" t="str">
        <f>+IFERROR(VLOOKUP(C1768,'Mov 2023 hasta ahora '!$C$2:$D$314,2,FALSE),"NO")</f>
        <v>NO</v>
      </c>
      <c r="K1768">
        <v>4</v>
      </c>
      <c r="L1768" t="s">
        <v>836</v>
      </c>
      <c r="M1768">
        <v>14</v>
      </c>
    </row>
    <row r="1769" spans="1:18" hidden="1">
      <c r="A1769" t="s">
        <v>3537</v>
      </c>
      <c r="B1769" t="s">
        <v>3538</v>
      </c>
      <c r="I1769" s="3" t="str">
        <f>+IFERROR(VLOOKUP(C1769,'Mov 2023 hasta ahora '!$C$2:$D$314,2,FALSE),"NO")</f>
        <v>NO</v>
      </c>
      <c r="K1769">
        <v>5</v>
      </c>
      <c r="L1769" t="s">
        <v>836</v>
      </c>
      <c r="M1769">
        <v>18</v>
      </c>
    </row>
    <row r="1770" spans="1:18" s="13" customFormat="1" hidden="1">
      <c r="A1770" s="23" t="s">
        <v>3539</v>
      </c>
      <c r="B1770" s="23" t="s">
        <v>3540</v>
      </c>
      <c r="C1770" s="23">
        <v>1496</v>
      </c>
      <c r="D1770" s="13" t="s">
        <v>436</v>
      </c>
      <c r="G1770"/>
      <c r="I1770" s="14" t="str">
        <f>+IFERROR(VLOOKUP(C1770,'Mov 2023 hasta ahora '!$C$2:$D$314,2,FALSE),"NO")</f>
        <v>NO</v>
      </c>
      <c r="K1770">
        <v>6</v>
      </c>
      <c r="L1770" t="s">
        <v>836</v>
      </c>
      <c r="M1770">
        <v>24</v>
      </c>
      <c r="O1770" s="29" t="s">
        <v>8795</v>
      </c>
      <c r="P1770" s="25" t="s">
        <v>8798</v>
      </c>
      <c r="Q1770" s="25">
        <v>1489</v>
      </c>
      <c r="R1770" t="s">
        <v>436</v>
      </c>
    </row>
    <row r="1771" spans="1:18" s="13" customFormat="1" hidden="1">
      <c r="A1771" s="23" t="s">
        <v>3541</v>
      </c>
      <c r="B1771" s="23" t="s">
        <v>3542</v>
      </c>
      <c r="C1771" s="23">
        <v>1504</v>
      </c>
      <c r="D1771" s="13" t="s">
        <v>436</v>
      </c>
      <c r="G1771"/>
      <c r="I1771" s="14" t="str">
        <f>+IFERROR(VLOOKUP(C1771,'Mov 2023 hasta ahora '!$C$2:$D$314,2,FALSE),"NO")</f>
        <v>NO</v>
      </c>
      <c r="K1771">
        <v>6</v>
      </c>
      <c r="L1771" t="s">
        <v>836</v>
      </c>
      <c r="M1771">
        <v>24</v>
      </c>
      <c r="O1771" s="29" t="s">
        <v>8804</v>
      </c>
      <c r="P1771" s="25" t="s">
        <v>8808</v>
      </c>
      <c r="Q1771" s="25">
        <v>1497</v>
      </c>
      <c r="R1771" s="13" t="s">
        <v>436</v>
      </c>
    </row>
    <row r="1772" spans="1:18" s="13" customFormat="1" hidden="1">
      <c r="A1772" s="23" t="s">
        <v>3543</v>
      </c>
      <c r="B1772" s="23" t="s">
        <v>3544</v>
      </c>
      <c r="C1772" s="23">
        <v>1865</v>
      </c>
      <c r="D1772" s="13" t="s">
        <v>436</v>
      </c>
      <c r="G1772"/>
      <c r="I1772" s="14" t="str">
        <f>+IFERROR(VLOOKUP(C1772,'Mov 2023 hasta ahora '!$C$2:$D$314,2,FALSE),"NO")</f>
        <v>NO</v>
      </c>
      <c r="K1772">
        <v>6</v>
      </c>
      <c r="L1772" t="s">
        <v>836</v>
      </c>
      <c r="M1772">
        <v>24</v>
      </c>
      <c r="O1772" s="29" t="s">
        <v>8820</v>
      </c>
      <c r="P1772" s="25" t="s">
        <v>8826</v>
      </c>
      <c r="Q1772" s="25">
        <v>1858</v>
      </c>
      <c r="R1772" t="s">
        <v>436</v>
      </c>
    </row>
    <row r="1773" spans="1:18" hidden="1">
      <c r="A1773" t="s">
        <v>3545</v>
      </c>
      <c r="B1773" t="s">
        <v>3546</v>
      </c>
      <c r="I1773" s="3" t="str">
        <f>+IFERROR(VLOOKUP(C1773,'Mov 2023 hasta ahora '!$C$2:$D$314,2,FALSE),"NO")</f>
        <v>NO</v>
      </c>
      <c r="K1773">
        <v>4</v>
      </c>
      <c r="L1773" t="s">
        <v>836</v>
      </c>
      <c r="M1773">
        <v>14</v>
      </c>
    </row>
    <row r="1774" spans="1:18" hidden="1">
      <c r="A1774" t="s">
        <v>3547</v>
      </c>
      <c r="B1774" t="s">
        <v>3548</v>
      </c>
      <c r="I1774" s="3" t="str">
        <f>+IFERROR(VLOOKUP(C1774,'Mov 2023 hasta ahora '!$C$2:$D$314,2,FALSE),"NO")</f>
        <v>NO</v>
      </c>
      <c r="K1774">
        <v>5</v>
      </c>
      <c r="L1774" t="s">
        <v>836</v>
      </c>
      <c r="M1774">
        <v>18</v>
      </c>
    </row>
    <row r="1775" spans="1:18" s="13" customFormat="1" hidden="1">
      <c r="A1775" s="23" t="s">
        <v>3549</v>
      </c>
      <c r="B1775" s="23" t="s">
        <v>3550</v>
      </c>
      <c r="C1775" s="23">
        <v>1520</v>
      </c>
      <c r="D1775" s="13" t="s">
        <v>436</v>
      </c>
      <c r="G1775"/>
      <c r="I1775" s="14" t="str">
        <f>+IFERROR(VLOOKUP(C1775,'Mov 2023 hasta ahora '!$C$2:$D$314,2,FALSE),"NO")</f>
        <v>NO</v>
      </c>
      <c r="K1775">
        <v>6</v>
      </c>
      <c r="L1775" t="s">
        <v>836</v>
      </c>
      <c r="M1775">
        <v>24</v>
      </c>
      <c r="O1775" s="29" t="s">
        <v>9002</v>
      </c>
      <c r="P1775" s="25" t="s">
        <v>8799</v>
      </c>
      <c r="Q1775" s="25">
        <v>1513</v>
      </c>
      <c r="R1775" t="s">
        <v>436</v>
      </c>
    </row>
    <row r="1776" spans="1:18" s="13" customFormat="1" hidden="1">
      <c r="A1776" s="23" t="s">
        <v>3551</v>
      </c>
      <c r="B1776" s="23" t="s">
        <v>3552</v>
      </c>
      <c r="C1776" s="23">
        <v>1512</v>
      </c>
      <c r="D1776" s="13" t="s">
        <v>436</v>
      </c>
      <c r="G1776"/>
      <c r="I1776" s="14" t="str">
        <f>+IFERROR(VLOOKUP(C1776,'Mov 2023 hasta ahora '!$C$2:$D$314,2,FALSE),"NO")</f>
        <v>NO</v>
      </c>
      <c r="K1776">
        <v>6</v>
      </c>
      <c r="L1776" t="s">
        <v>836</v>
      </c>
      <c r="M1776">
        <v>24</v>
      </c>
      <c r="O1776" s="29" t="s">
        <v>9003</v>
      </c>
      <c r="P1776" s="25" t="s">
        <v>8803</v>
      </c>
      <c r="Q1776" s="25">
        <v>1505</v>
      </c>
      <c r="R1776" t="s">
        <v>436</v>
      </c>
    </row>
    <row r="1777" spans="1:18" s="13" customFormat="1" hidden="1">
      <c r="A1777" s="23" t="s">
        <v>3553</v>
      </c>
      <c r="B1777" s="23" t="s">
        <v>3554</v>
      </c>
      <c r="C1777" s="23">
        <v>1873</v>
      </c>
      <c r="D1777" s="13" t="s">
        <v>436</v>
      </c>
      <c r="G1777"/>
      <c r="I1777" s="14" t="str">
        <f>+IFERROR(VLOOKUP(C1777,'Mov 2023 hasta ahora '!$C$2:$D$314,2,FALSE),"NO")</f>
        <v>NO</v>
      </c>
      <c r="K1777">
        <v>6</v>
      </c>
      <c r="L1777" t="s">
        <v>836</v>
      </c>
      <c r="M1777">
        <v>24</v>
      </c>
      <c r="O1777" s="29" t="s">
        <v>9004</v>
      </c>
      <c r="P1777" s="25" t="s">
        <v>8822</v>
      </c>
      <c r="Q1777" s="25">
        <v>1866</v>
      </c>
      <c r="R1777" t="s">
        <v>436</v>
      </c>
    </row>
    <row r="1778" spans="1:18" hidden="1">
      <c r="A1778" t="s">
        <v>3555</v>
      </c>
      <c r="B1778" t="s">
        <v>3556</v>
      </c>
      <c r="I1778" s="3" t="str">
        <f>+IFERROR(VLOOKUP(C1778,'Mov 2023 hasta ahora '!$C$2:$D$314,2,FALSE),"NO")</f>
        <v>NO</v>
      </c>
      <c r="K1778">
        <v>4</v>
      </c>
      <c r="L1778" t="s">
        <v>836</v>
      </c>
      <c r="M1778">
        <v>14</v>
      </c>
    </row>
    <row r="1779" spans="1:18" hidden="1">
      <c r="A1779" t="s">
        <v>3557</v>
      </c>
      <c r="B1779" t="s">
        <v>3558</v>
      </c>
      <c r="I1779" s="3" t="str">
        <f>+IFERROR(VLOOKUP(C1779,'Mov 2023 hasta ahora '!$C$2:$D$314,2,FALSE),"NO")</f>
        <v>NO</v>
      </c>
      <c r="K1779">
        <v>5</v>
      </c>
      <c r="L1779" t="s">
        <v>836</v>
      </c>
      <c r="M1779">
        <v>18</v>
      </c>
    </row>
    <row r="1780" spans="1:18" hidden="1">
      <c r="A1780" s="23" t="s">
        <v>3559</v>
      </c>
      <c r="B1780" s="23" t="s">
        <v>3560</v>
      </c>
      <c r="C1780" s="23">
        <v>1881</v>
      </c>
      <c r="D1780" t="s">
        <v>436</v>
      </c>
      <c r="I1780" s="3" t="str">
        <f>+IFERROR(VLOOKUP(C1780,'Mov 2023 hasta ahora '!$C$2:$D$314,2,FALSE),"NO")</f>
        <v>NO</v>
      </c>
      <c r="K1780">
        <v>6</v>
      </c>
      <c r="L1780" t="s">
        <v>836</v>
      </c>
      <c r="M1780">
        <v>24</v>
      </c>
      <c r="O1780" s="29" t="s">
        <v>8861</v>
      </c>
      <c r="P1780" s="25" t="s">
        <v>8868</v>
      </c>
      <c r="Q1780" s="25">
        <v>1419</v>
      </c>
      <c r="R1780" t="s">
        <v>436</v>
      </c>
    </row>
    <row r="1781" spans="1:18" hidden="1">
      <c r="A1781" t="s">
        <v>3561</v>
      </c>
      <c r="B1781" t="s">
        <v>3562</v>
      </c>
      <c r="I1781" s="3" t="str">
        <f>+IFERROR(VLOOKUP(C1781,'Mov 2023 hasta ahora '!$C$2:$D$314,2,FALSE),"NO")</f>
        <v>NO</v>
      </c>
      <c r="K1781">
        <v>5</v>
      </c>
      <c r="L1781" t="s">
        <v>836</v>
      </c>
      <c r="M1781">
        <v>18</v>
      </c>
    </row>
    <row r="1782" spans="1:18" hidden="1">
      <c r="A1782" s="23" t="s">
        <v>3563</v>
      </c>
      <c r="B1782" s="23" t="s">
        <v>3564</v>
      </c>
      <c r="C1782" s="23">
        <v>1763</v>
      </c>
      <c r="D1782" t="s">
        <v>436</v>
      </c>
      <c r="I1782" s="3" t="str">
        <f>+IFERROR(VLOOKUP(C1782,'Mov 2023 hasta ahora '!$C$2:$D$314,2,FALSE),"NO")</f>
        <v>NO</v>
      </c>
      <c r="K1782">
        <v>6</v>
      </c>
      <c r="L1782" t="s">
        <v>836</v>
      </c>
      <c r="M1782">
        <v>24</v>
      </c>
      <c r="O1782" s="29" t="s">
        <v>9049</v>
      </c>
      <c r="P1782" s="25" t="s">
        <v>9050</v>
      </c>
      <c r="Q1782" s="25">
        <v>1363</v>
      </c>
      <c r="R1782" t="s">
        <v>436</v>
      </c>
    </row>
    <row r="1783" spans="1:18" hidden="1">
      <c r="A1783" s="23" t="s">
        <v>3565</v>
      </c>
      <c r="B1783" s="23" t="s">
        <v>3566</v>
      </c>
      <c r="C1783" s="23">
        <v>1764</v>
      </c>
      <c r="D1783" t="s">
        <v>436</v>
      </c>
      <c r="I1783" s="3" t="str">
        <f>+IFERROR(VLOOKUP(C1783,'Mov 2023 hasta ahora '!$C$2:$D$314,2,FALSE),"NO")</f>
        <v>NO</v>
      </c>
      <c r="K1783">
        <v>6</v>
      </c>
      <c r="L1783" t="s">
        <v>836</v>
      </c>
      <c r="M1783">
        <v>24</v>
      </c>
      <c r="O1783" s="29" t="s">
        <v>9014</v>
      </c>
      <c r="P1783" s="25" t="s">
        <v>8890</v>
      </c>
      <c r="Q1783" s="25">
        <v>1244</v>
      </c>
      <c r="R1783" t="s">
        <v>436</v>
      </c>
    </row>
    <row r="1784" spans="1:18" hidden="1">
      <c r="A1784" s="23" t="s">
        <v>3567</v>
      </c>
      <c r="B1784" s="23" t="s">
        <v>3568</v>
      </c>
      <c r="C1784" s="23">
        <v>1765</v>
      </c>
      <c r="D1784" t="s">
        <v>436</v>
      </c>
      <c r="I1784" s="3" t="str">
        <f>+IFERROR(VLOOKUP(C1784,'Mov 2023 hasta ahora '!$C$2:$D$314,2,FALSE),"NO")</f>
        <v>NO</v>
      </c>
      <c r="K1784">
        <v>6</v>
      </c>
      <c r="L1784" t="s">
        <v>836</v>
      </c>
      <c r="M1784">
        <v>24</v>
      </c>
      <c r="O1784" s="29" t="s">
        <v>9030</v>
      </c>
      <c r="P1784" s="25" t="s">
        <v>9029</v>
      </c>
      <c r="Q1784" s="25">
        <v>3817</v>
      </c>
      <c r="R1784" t="s">
        <v>436</v>
      </c>
    </row>
    <row r="1785" spans="1:18" s="13" customFormat="1" hidden="1">
      <c r="A1785" s="23" t="s">
        <v>3569</v>
      </c>
      <c r="B1785" s="23" t="s">
        <v>3570</v>
      </c>
      <c r="C1785" s="23">
        <v>1987</v>
      </c>
      <c r="G1785"/>
      <c r="I1785" s="14" t="str">
        <f>+IFERROR(VLOOKUP(C1785,'Mov 2023 hasta ahora '!$C$2:$D$314,2,FALSE),"NO")</f>
        <v>NO</v>
      </c>
      <c r="K1785">
        <v>6</v>
      </c>
      <c r="L1785" t="s">
        <v>836</v>
      </c>
      <c r="M1785">
        <v>24</v>
      </c>
      <c r="O1785" s="29" t="s">
        <v>8825</v>
      </c>
      <c r="P1785" s="25" t="s">
        <v>8832</v>
      </c>
      <c r="Q1785" s="25">
        <v>3601</v>
      </c>
      <c r="R1785" t="s">
        <v>436</v>
      </c>
    </row>
    <row r="1786" spans="1:18" s="13" customFormat="1" hidden="1">
      <c r="A1786" s="23" t="s">
        <v>3571</v>
      </c>
      <c r="B1786" s="23" t="s">
        <v>3572</v>
      </c>
      <c r="C1786" s="23">
        <v>2015</v>
      </c>
      <c r="G1786"/>
      <c r="I1786" s="14" t="str">
        <f>+IFERROR(VLOOKUP(C1786,'Mov 2023 hasta ahora '!$C$2:$D$314,2,FALSE),"NO")</f>
        <v>NO</v>
      </c>
      <c r="K1786">
        <v>6</v>
      </c>
      <c r="L1786" t="s">
        <v>836</v>
      </c>
      <c r="M1786">
        <v>24</v>
      </c>
      <c r="O1786" s="29" t="s">
        <v>8992</v>
      </c>
      <c r="P1786" s="25" t="s">
        <v>8836</v>
      </c>
      <c r="Q1786" s="25">
        <v>3603</v>
      </c>
      <c r="R1786" t="s">
        <v>436</v>
      </c>
    </row>
    <row r="1787" spans="1:18" hidden="1">
      <c r="A1787" t="s">
        <v>3573</v>
      </c>
      <c r="B1787" t="s">
        <v>3574</v>
      </c>
      <c r="I1787" s="3" t="str">
        <f>+IFERROR(VLOOKUP(C1787,'Mov 2023 hasta ahora '!$C$2:$D$314,2,FALSE),"NO")</f>
        <v>NO</v>
      </c>
      <c r="K1787">
        <v>3</v>
      </c>
      <c r="L1787" t="s">
        <v>836</v>
      </c>
      <c r="M1787">
        <v>10</v>
      </c>
    </row>
    <row r="1788" spans="1:18" hidden="1">
      <c r="A1788" t="s">
        <v>3575</v>
      </c>
      <c r="B1788" t="s">
        <v>3576</v>
      </c>
      <c r="I1788" s="3" t="str">
        <f>+IFERROR(VLOOKUP(C1788,'Mov 2023 hasta ahora '!$C$2:$D$314,2,FALSE),"NO")</f>
        <v>NO</v>
      </c>
      <c r="K1788">
        <v>4</v>
      </c>
      <c r="L1788" t="s">
        <v>836</v>
      </c>
      <c r="M1788">
        <v>14</v>
      </c>
    </row>
    <row r="1789" spans="1:18" hidden="1">
      <c r="A1789" t="s">
        <v>3577</v>
      </c>
      <c r="B1789" t="s">
        <v>3578</v>
      </c>
      <c r="I1789" s="3" t="str">
        <f>+IFERROR(VLOOKUP(C1789,'Mov 2023 hasta ahora '!$C$2:$D$314,2,FALSE),"NO")</f>
        <v>NO</v>
      </c>
      <c r="K1789">
        <v>5</v>
      </c>
      <c r="L1789" t="s">
        <v>836</v>
      </c>
      <c r="M1789">
        <v>18</v>
      </c>
    </row>
    <row r="1790" spans="1:18" s="13" customFormat="1" hidden="1">
      <c r="A1790" s="23" t="s">
        <v>3579</v>
      </c>
      <c r="B1790" s="23" t="s">
        <v>3580</v>
      </c>
      <c r="C1790" s="23">
        <v>1437</v>
      </c>
      <c r="D1790" s="13" t="s">
        <v>436</v>
      </c>
      <c r="G1790"/>
      <c r="I1790" s="14" t="str">
        <f>+IFERROR(VLOOKUP(C1790,'Mov 2023 hasta ahora '!$C$2:$D$314,2,FALSE),"NO")</f>
        <v>NO</v>
      </c>
      <c r="K1790">
        <v>6</v>
      </c>
      <c r="L1790" t="s">
        <v>836</v>
      </c>
      <c r="M1790">
        <v>24</v>
      </c>
      <c r="O1790" s="29" t="s">
        <v>8797</v>
      </c>
      <c r="P1790" s="25" t="s">
        <v>8801</v>
      </c>
      <c r="Q1790" s="25">
        <v>1421</v>
      </c>
      <c r="R1790" t="s">
        <v>436</v>
      </c>
    </row>
    <row r="1791" spans="1:18" s="13" customFormat="1" hidden="1">
      <c r="A1791" s="23" t="s">
        <v>3581</v>
      </c>
      <c r="B1791" s="23" t="s">
        <v>3582</v>
      </c>
      <c r="C1791" s="23">
        <v>1438</v>
      </c>
      <c r="D1791" s="13" t="s">
        <v>436</v>
      </c>
      <c r="G1791"/>
      <c r="I1791" s="14" t="str">
        <f>+IFERROR(VLOOKUP(C1791,'Mov 2023 hasta ahora '!$C$2:$D$314,2,FALSE),"NO")</f>
        <v>NO</v>
      </c>
      <c r="K1791">
        <v>6</v>
      </c>
      <c r="L1791" t="s">
        <v>836</v>
      </c>
      <c r="M1791">
        <v>24</v>
      </c>
      <c r="O1791" s="29" t="s">
        <v>8807</v>
      </c>
      <c r="P1791" s="25" t="s">
        <v>8811</v>
      </c>
      <c r="Q1791" s="25">
        <v>1422</v>
      </c>
      <c r="R1791" t="s">
        <v>436</v>
      </c>
    </row>
    <row r="1792" spans="1:18" hidden="1">
      <c r="A1792" t="s">
        <v>3583</v>
      </c>
      <c r="B1792" t="s">
        <v>3584</v>
      </c>
      <c r="I1792" s="3" t="str">
        <f>+IFERROR(VLOOKUP(C1792,'Mov 2023 hasta ahora '!$C$2:$D$314,2,FALSE),"NO")</f>
        <v>NO</v>
      </c>
      <c r="K1792">
        <v>3</v>
      </c>
      <c r="L1792" t="s">
        <v>836</v>
      </c>
      <c r="M1792">
        <v>10</v>
      </c>
    </row>
    <row r="1793" spans="1:18" hidden="1">
      <c r="A1793" t="s">
        <v>3585</v>
      </c>
      <c r="B1793" t="s">
        <v>3586</v>
      </c>
      <c r="I1793" s="3" t="str">
        <f>+IFERROR(VLOOKUP(C1793,'Mov 2023 hasta ahora '!$C$2:$D$314,2,FALSE),"NO")</f>
        <v>NO</v>
      </c>
      <c r="K1793">
        <v>4</v>
      </c>
      <c r="L1793" t="s">
        <v>836</v>
      </c>
      <c r="M1793">
        <v>14</v>
      </c>
    </row>
    <row r="1794" spans="1:18" hidden="1">
      <c r="A1794" t="s">
        <v>3587</v>
      </c>
      <c r="B1794" t="s">
        <v>3588</v>
      </c>
      <c r="I1794" s="3" t="str">
        <f>+IFERROR(VLOOKUP(C1794,'Mov 2023 hasta ahora '!$C$2:$D$314,2,FALSE),"NO")</f>
        <v>NO</v>
      </c>
      <c r="K1794">
        <v>5</v>
      </c>
      <c r="L1794" t="s">
        <v>836</v>
      </c>
      <c r="M1794">
        <v>18</v>
      </c>
    </row>
    <row r="1795" spans="1:18" s="13" customFormat="1" hidden="1">
      <c r="A1795" s="23" t="s">
        <v>3589</v>
      </c>
      <c r="B1795" s="23" t="s">
        <v>3590</v>
      </c>
      <c r="C1795" s="23">
        <v>1440</v>
      </c>
      <c r="D1795" s="13" t="s">
        <v>436</v>
      </c>
      <c r="G1795"/>
      <c r="I1795" s="14">
        <f>+IFERROR(VLOOKUP(C1795,'Mov 2023 hasta ahora '!$C$2:$D$314,2,FALSE),"NO")</f>
        <v>7</v>
      </c>
      <c r="K1795">
        <v>6</v>
      </c>
      <c r="L1795" t="s">
        <v>836</v>
      </c>
      <c r="M1795">
        <v>24</v>
      </c>
      <c r="O1795" s="29" t="s">
        <v>8797</v>
      </c>
      <c r="P1795" s="25" t="s">
        <v>8801</v>
      </c>
      <c r="Q1795" s="25">
        <v>1421</v>
      </c>
      <c r="R1795" t="s">
        <v>436</v>
      </c>
    </row>
    <row r="1796" spans="1:18" s="13" customFormat="1" hidden="1">
      <c r="A1796" s="23" t="s">
        <v>3591</v>
      </c>
      <c r="B1796" s="23" t="s">
        <v>3592</v>
      </c>
      <c r="C1796" s="23">
        <v>1439</v>
      </c>
      <c r="D1796" s="13" t="s">
        <v>436</v>
      </c>
      <c r="G1796"/>
      <c r="I1796" s="14">
        <f>+IFERROR(VLOOKUP(C1796,'Mov 2023 hasta ahora '!$C$2:$D$314,2,FALSE),"NO")</f>
        <v>6</v>
      </c>
      <c r="K1796">
        <v>6</v>
      </c>
      <c r="L1796" t="s">
        <v>836</v>
      </c>
      <c r="M1796">
        <v>24</v>
      </c>
      <c r="O1796" s="29" t="s">
        <v>8807</v>
      </c>
      <c r="P1796" s="25" t="s">
        <v>8811</v>
      </c>
      <c r="Q1796" s="25">
        <v>1422</v>
      </c>
      <c r="R1796" t="s">
        <v>436</v>
      </c>
    </row>
    <row r="1797" spans="1:18" hidden="1">
      <c r="A1797" t="s">
        <v>3593</v>
      </c>
      <c r="B1797" t="s">
        <v>3594</v>
      </c>
      <c r="I1797" s="3" t="str">
        <f>+IFERROR(VLOOKUP(C1797,'Mov 2023 hasta ahora '!$C$2:$D$314,2,FALSE),"NO")</f>
        <v>NO</v>
      </c>
      <c r="K1797">
        <v>3</v>
      </c>
      <c r="L1797" t="s">
        <v>836</v>
      </c>
      <c r="M1797">
        <v>10</v>
      </c>
    </row>
    <row r="1798" spans="1:18" hidden="1">
      <c r="A1798" t="s">
        <v>3595</v>
      </c>
      <c r="B1798" t="s">
        <v>3596</v>
      </c>
      <c r="I1798" s="3" t="str">
        <f>+IFERROR(VLOOKUP(C1798,'Mov 2023 hasta ahora '!$C$2:$D$314,2,FALSE),"NO")</f>
        <v>NO</v>
      </c>
      <c r="K1798">
        <v>4</v>
      </c>
      <c r="L1798" t="s">
        <v>836</v>
      </c>
      <c r="M1798">
        <v>14</v>
      </c>
    </row>
    <row r="1799" spans="1:18" hidden="1">
      <c r="A1799" t="s">
        <v>3597</v>
      </c>
      <c r="B1799" t="s">
        <v>3598</v>
      </c>
      <c r="I1799" s="3" t="str">
        <f>+IFERROR(VLOOKUP(C1799,'Mov 2023 hasta ahora '!$C$2:$D$314,2,FALSE),"NO")</f>
        <v>NO</v>
      </c>
      <c r="K1799">
        <v>5</v>
      </c>
      <c r="L1799" t="s">
        <v>836</v>
      </c>
      <c r="M1799">
        <v>18</v>
      </c>
    </row>
    <row r="1800" spans="1:18" hidden="1">
      <c r="A1800" s="23" t="s">
        <v>3599</v>
      </c>
      <c r="B1800" s="23" t="s">
        <v>3600</v>
      </c>
      <c r="C1800" s="23">
        <v>1609</v>
      </c>
      <c r="D1800" t="s">
        <v>436</v>
      </c>
      <c r="I1800" s="3" t="str">
        <f>+IFERROR(VLOOKUP(C1800,'Mov 2023 hasta ahora '!$C$2:$D$314,2,FALSE),"NO")</f>
        <v>NO</v>
      </c>
      <c r="K1800">
        <v>6</v>
      </c>
      <c r="L1800" t="s">
        <v>836</v>
      </c>
      <c r="M1800">
        <v>24</v>
      </c>
      <c r="O1800" s="29" t="s">
        <v>8691</v>
      </c>
      <c r="P1800" s="25" t="s">
        <v>8687</v>
      </c>
      <c r="Q1800" s="25">
        <v>1228</v>
      </c>
      <c r="R1800" t="s">
        <v>436</v>
      </c>
    </row>
    <row r="1801" spans="1:18" hidden="1">
      <c r="A1801" t="s">
        <v>3601</v>
      </c>
      <c r="B1801" t="s">
        <v>3602</v>
      </c>
      <c r="I1801" s="3" t="str">
        <f>+IFERROR(VLOOKUP(C1801,'Mov 2023 hasta ahora '!$C$2:$D$314,2,FALSE),"NO")</f>
        <v>NO</v>
      </c>
      <c r="K1801">
        <v>4</v>
      </c>
      <c r="L1801" t="s">
        <v>836</v>
      </c>
      <c r="M1801">
        <v>14</v>
      </c>
    </row>
    <row r="1802" spans="1:18" hidden="1">
      <c r="A1802" t="s">
        <v>3603</v>
      </c>
      <c r="B1802" t="s">
        <v>3604</v>
      </c>
      <c r="I1802" s="3" t="str">
        <f>+IFERROR(VLOOKUP(C1802,'Mov 2023 hasta ahora '!$C$2:$D$314,2,FALSE),"NO")</f>
        <v>NO</v>
      </c>
      <c r="K1802">
        <v>5</v>
      </c>
      <c r="L1802" t="s">
        <v>836</v>
      </c>
      <c r="M1802">
        <v>18</v>
      </c>
    </row>
    <row r="1803" spans="1:18" hidden="1">
      <c r="A1803" s="23" t="s">
        <v>3605</v>
      </c>
      <c r="B1803" s="23" t="s">
        <v>3606</v>
      </c>
      <c r="C1803" s="23">
        <v>1610</v>
      </c>
      <c r="D1803" t="s">
        <v>436</v>
      </c>
      <c r="I1803" s="3" t="str">
        <f>+IFERROR(VLOOKUP(C1803,'Mov 2023 hasta ahora '!$C$2:$D$314,2,FALSE),"NO")</f>
        <v>NO</v>
      </c>
      <c r="K1803">
        <v>6</v>
      </c>
      <c r="L1803" t="s">
        <v>836</v>
      </c>
      <c r="M1803">
        <v>24</v>
      </c>
      <c r="O1803" s="29" t="s">
        <v>8691</v>
      </c>
      <c r="P1803" s="25" t="s">
        <v>8687</v>
      </c>
      <c r="Q1803" s="25">
        <v>1228</v>
      </c>
      <c r="R1803" t="s">
        <v>436</v>
      </c>
    </row>
    <row r="1804" spans="1:18" hidden="1">
      <c r="A1804" s="23" t="s">
        <v>3607</v>
      </c>
      <c r="B1804" s="23" t="s">
        <v>3608</v>
      </c>
      <c r="C1804" s="23">
        <v>1611</v>
      </c>
      <c r="D1804" t="s">
        <v>436</v>
      </c>
      <c r="I1804" s="3" t="str">
        <f>+IFERROR(VLOOKUP(C1804,'Mov 2023 hasta ahora '!$C$2:$D$314,2,FALSE),"NO")</f>
        <v>NO</v>
      </c>
      <c r="K1804">
        <v>6</v>
      </c>
      <c r="L1804" t="s">
        <v>836</v>
      </c>
      <c r="M1804">
        <v>24</v>
      </c>
      <c r="O1804" s="29" t="s">
        <v>8691</v>
      </c>
      <c r="P1804" s="25" t="s">
        <v>8687</v>
      </c>
      <c r="Q1804" s="25">
        <v>1228</v>
      </c>
      <c r="R1804" t="s">
        <v>436</v>
      </c>
    </row>
    <row r="1805" spans="1:18" hidden="1">
      <c r="A1805" s="23" t="s">
        <v>3609</v>
      </c>
      <c r="B1805" s="23" t="s">
        <v>3610</v>
      </c>
      <c r="C1805" s="23">
        <v>1612</v>
      </c>
      <c r="D1805" t="s">
        <v>436</v>
      </c>
      <c r="I1805" s="3" t="str">
        <f>+IFERROR(VLOOKUP(C1805,'Mov 2023 hasta ahora '!$C$2:$D$314,2,FALSE),"NO")</f>
        <v>NO</v>
      </c>
      <c r="K1805">
        <v>6</v>
      </c>
      <c r="L1805" t="s">
        <v>836</v>
      </c>
      <c r="M1805">
        <v>24</v>
      </c>
      <c r="O1805" s="29" t="s">
        <v>8691</v>
      </c>
      <c r="P1805" s="25" t="s">
        <v>8687</v>
      </c>
      <c r="Q1805" s="25">
        <v>1228</v>
      </c>
      <c r="R1805" t="s">
        <v>436</v>
      </c>
    </row>
    <row r="1806" spans="1:18" hidden="1">
      <c r="A1806" s="23" t="s">
        <v>3611</v>
      </c>
      <c r="B1806" s="23" t="s">
        <v>3612</v>
      </c>
      <c r="C1806" s="23">
        <v>1613</v>
      </c>
      <c r="D1806" t="s">
        <v>436</v>
      </c>
      <c r="I1806" s="3" t="str">
        <f>+IFERROR(VLOOKUP(C1806,'Mov 2023 hasta ahora '!$C$2:$D$314,2,FALSE),"NO")</f>
        <v>NO</v>
      </c>
      <c r="K1806">
        <v>6</v>
      </c>
      <c r="L1806" t="s">
        <v>836</v>
      </c>
      <c r="M1806">
        <v>24</v>
      </c>
      <c r="O1806" s="29" t="s">
        <v>8691</v>
      </c>
      <c r="P1806" s="25" t="s">
        <v>8687</v>
      </c>
      <c r="Q1806" s="25">
        <v>1228</v>
      </c>
      <c r="R1806" t="s">
        <v>436</v>
      </c>
    </row>
    <row r="1807" spans="1:18" hidden="1">
      <c r="A1807" t="s">
        <v>3613</v>
      </c>
      <c r="B1807" t="s">
        <v>3614</v>
      </c>
      <c r="I1807" s="3" t="str">
        <f>+IFERROR(VLOOKUP(C1807,'Mov 2023 hasta ahora '!$C$2:$D$314,2,FALSE),"NO")</f>
        <v>NO</v>
      </c>
      <c r="K1807">
        <v>4</v>
      </c>
      <c r="L1807" t="s">
        <v>836</v>
      </c>
      <c r="M1807">
        <v>14</v>
      </c>
    </row>
    <row r="1808" spans="1:18" hidden="1">
      <c r="A1808" t="s">
        <v>3615</v>
      </c>
      <c r="B1808" t="s">
        <v>3616</v>
      </c>
      <c r="I1808" s="3" t="str">
        <f>+IFERROR(VLOOKUP(C1808,'Mov 2023 hasta ahora '!$C$2:$D$314,2,FALSE),"NO")</f>
        <v>NO</v>
      </c>
      <c r="K1808">
        <v>5</v>
      </c>
      <c r="L1808" t="s">
        <v>836</v>
      </c>
      <c r="M1808">
        <v>18</v>
      </c>
    </row>
    <row r="1809" spans="1:18" hidden="1">
      <c r="A1809" s="23" t="s">
        <v>3617</v>
      </c>
      <c r="B1809" s="23" t="s">
        <v>3618</v>
      </c>
      <c r="C1809" s="23">
        <v>1614</v>
      </c>
      <c r="D1809" t="s">
        <v>436</v>
      </c>
      <c r="I1809" s="3" t="str">
        <f>+IFERROR(VLOOKUP(C1809,'Mov 2023 hasta ahora '!$C$2:$D$314,2,FALSE),"NO")</f>
        <v>NO</v>
      </c>
      <c r="K1809">
        <v>6</v>
      </c>
      <c r="L1809" t="s">
        <v>836</v>
      </c>
      <c r="M1809">
        <v>24</v>
      </c>
      <c r="O1809" s="29" t="s">
        <v>8691</v>
      </c>
      <c r="P1809" s="25" t="s">
        <v>8687</v>
      </c>
      <c r="Q1809" s="25">
        <v>1228</v>
      </c>
      <c r="R1809" t="s">
        <v>436</v>
      </c>
    </row>
    <row r="1810" spans="1:18" hidden="1">
      <c r="A1810" t="s">
        <v>3619</v>
      </c>
      <c r="B1810" t="s">
        <v>3620</v>
      </c>
      <c r="I1810" s="3" t="str">
        <f>+IFERROR(VLOOKUP(C1810,'Mov 2023 hasta ahora '!$C$2:$D$314,2,FALSE),"NO")</f>
        <v>NO</v>
      </c>
      <c r="K1810">
        <v>4</v>
      </c>
      <c r="L1810" t="s">
        <v>836</v>
      </c>
      <c r="M1810">
        <v>14</v>
      </c>
    </row>
    <row r="1811" spans="1:18" hidden="1">
      <c r="A1811" t="s">
        <v>3621</v>
      </c>
      <c r="B1811" t="s">
        <v>3622</v>
      </c>
      <c r="I1811" s="3" t="str">
        <f>+IFERROR(VLOOKUP(C1811,'Mov 2023 hasta ahora '!$C$2:$D$314,2,FALSE),"NO")</f>
        <v>NO</v>
      </c>
      <c r="K1811">
        <v>5</v>
      </c>
      <c r="L1811" t="s">
        <v>836</v>
      </c>
      <c r="M1811">
        <v>18</v>
      </c>
    </row>
    <row r="1812" spans="1:18" s="15" customFormat="1" hidden="1">
      <c r="A1812" s="23" t="s">
        <v>3623</v>
      </c>
      <c r="B1812" s="23" t="s">
        <v>3624</v>
      </c>
      <c r="C1812" s="23">
        <v>1615</v>
      </c>
      <c r="D1812" s="15" t="s">
        <v>436</v>
      </c>
      <c r="G1812"/>
      <c r="I1812" s="16" t="str">
        <f>+IFERROR(VLOOKUP(C1812,'Mov 2023 hasta ahora '!$C$2:$D$314,2,FALSE),"NO")</f>
        <v>NO</v>
      </c>
      <c r="K1812">
        <v>6</v>
      </c>
      <c r="L1812" t="s">
        <v>836</v>
      </c>
      <c r="M1812">
        <v>24</v>
      </c>
      <c r="O1812" s="29" t="s">
        <v>8793</v>
      </c>
      <c r="P1812" s="25" t="s">
        <v>8975</v>
      </c>
      <c r="Q1812" s="25">
        <v>1616</v>
      </c>
      <c r="R1812" t="s">
        <v>436</v>
      </c>
    </row>
    <row r="1813" spans="1:18" s="15" customFormat="1" hidden="1">
      <c r="A1813" s="23" t="s">
        <v>3625</v>
      </c>
      <c r="B1813" s="23" t="s">
        <v>3626</v>
      </c>
      <c r="C1813" s="23">
        <v>1616</v>
      </c>
      <c r="D1813" s="15" t="s">
        <v>436</v>
      </c>
      <c r="G1813"/>
      <c r="I1813" s="16" t="str">
        <f>+IFERROR(VLOOKUP(C1813,'Mov 2023 hasta ahora '!$C$2:$D$314,2,FALSE),"NO")</f>
        <v>NO</v>
      </c>
      <c r="K1813">
        <v>6</v>
      </c>
      <c r="L1813" t="s">
        <v>836</v>
      </c>
      <c r="M1813">
        <v>24</v>
      </c>
      <c r="O1813" s="29" t="s">
        <v>8793</v>
      </c>
      <c r="P1813" s="25" t="s">
        <v>8975</v>
      </c>
      <c r="Q1813" s="25">
        <v>1616</v>
      </c>
      <c r="R1813" t="s">
        <v>436</v>
      </c>
    </row>
    <row r="1814" spans="1:18" hidden="1">
      <c r="A1814" t="s">
        <v>3627</v>
      </c>
      <c r="B1814" t="s">
        <v>3628</v>
      </c>
      <c r="I1814" s="3" t="str">
        <f>+IFERROR(VLOOKUP(C1814,'Mov 2023 hasta ahora '!$C$2:$D$314,2,FALSE),"NO")</f>
        <v>NO</v>
      </c>
      <c r="K1814">
        <v>4</v>
      </c>
      <c r="L1814" t="s">
        <v>836</v>
      </c>
      <c r="M1814">
        <v>14</v>
      </c>
    </row>
    <row r="1815" spans="1:18" hidden="1">
      <c r="A1815" t="s">
        <v>3629</v>
      </c>
      <c r="B1815" t="s">
        <v>3630</v>
      </c>
      <c r="I1815" s="3" t="str">
        <f>+IFERROR(VLOOKUP(C1815,'Mov 2023 hasta ahora '!$C$2:$D$314,2,FALSE),"NO")</f>
        <v>NO</v>
      </c>
      <c r="K1815">
        <v>5</v>
      </c>
      <c r="L1815" t="s">
        <v>836</v>
      </c>
      <c r="M1815">
        <v>18</v>
      </c>
    </row>
    <row r="1816" spans="1:18" hidden="1">
      <c r="A1816" s="23" t="s">
        <v>3631</v>
      </c>
      <c r="B1816" s="23" t="s">
        <v>3632</v>
      </c>
      <c r="C1816" s="23">
        <v>1617</v>
      </c>
      <c r="D1816" t="s">
        <v>436</v>
      </c>
      <c r="I1816" s="3" t="str">
        <f>+IFERROR(VLOOKUP(C1816,'Mov 2023 hasta ahora '!$C$2:$D$314,2,FALSE),"NO")</f>
        <v>NO</v>
      </c>
      <c r="K1816">
        <v>6</v>
      </c>
      <c r="L1816" t="s">
        <v>836</v>
      </c>
      <c r="M1816">
        <v>24</v>
      </c>
      <c r="O1816" s="29" t="s">
        <v>8691</v>
      </c>
      <c r="P1816" s="25" t="s">
        <v>8687</v>
      </c>
      <c r="Q1816" s="25">
        <v>1228</v>
      </c>
      <c r="R1816" t="s">
        <v>436</v>
      </c>
    </row>
    <row r="1817" spans="1:18" hidden="1">
      <c r="A1817" s="23" t="s">
        <v>3633</v>
      </c>
      <c r="B1817" s="23" t="s">
        <v>3634</v>
      </c>
      <c r="C1817" s="23">
        <v>1618</v>
      </c>
      <c r="D1817" t="s">
        <v>436</v>
      </c>
      <c r="I1817" s="3" t="str">
        <f>+IFERROR(VLOOKUP(C1817,'Mov 2023 hasta ahora '!$C$2:$D$314,2,FALSE),"NO")</f>
        <v>NO</v>
      </c>
      <c r="K1817">
        <v>6</v>
      </c>
      <c r="L1817" t="s">
        <v>836</v>
      </c>
      <c r="M1817">
        <v>24</v>
      </c>
      <c r="O1817" s="29" t="s">
        <v>8691</v>
      </c>
      <c r="P1817" s="25" t="s">
        <v>8687</v>
      </c>
      <c r="Q1817" s="25">
        <v>1228</v>
      </c>
      <c r="R1817" t="s">
        <v>436</v>
      </c>
    </row>
    <row r="1818" spans="1:18" hidden="1">
      <c r="A1818" s="23" t="s">
        <v>3635</v>
      </c>
      <c r="B1818" s="23" t="s">
        <v>3636</v>
      </c>
      <c r="C1818" s="23">
        <v>1619</v>
      </c>
      <c r="D1818" t="s">
        <v>436</v>
      </c>
      <c r="I1818" s="3" t="str">
        <f>+IFERROR(VLOOKUP(C1818,'Mov 2023 hasta ahora '!$C$2:$D$314,2,FALSE),"NO")</f>
        <v>NO</v>
      </c>
      <c r="K1818">
        <v>6</v>
      </c>
      <c r="L1818" t="s">
        <v>836</v>
      </c>
      <c r="M1818">
        <v>24</v>
      </c>
      <c r="O1818" s="29" t="s">
        <v>8691</v>
      </c>
      <c r="P1818" s="25" t="s">
        <v>8687</v>
      </c>
      <c r="Q1818" s="25">
        <v>1228</v>
      </c>
      <c r="R1818" t="s">
        <v>436</v>
      </c>
    </row>
    <row r="1819" spans="1:18" s="13" customFormat="1" hidden="1">
      <c r="A1819" s="23" t="s">
        <v>3637</v>
      </c>
      <c r="B1819" s="23" t="s">
        <v>3638</v>
      </c>
      <c r="C1819" s="23">
        <v>1604</v>
      </c>
      <c r="D1819" s="13" t="s">
        <v>436</v>
      </c>
      <c r="G1819"/>
      <c r="I1819" s="14" t="str">
        <f>+IFERROR(VLOOKUP(C1819,'Mov 2023 hasta ahora '!$C$2:$D$314,2,FALSE),"NO")</f>
        <v>NO</v>
      </c>
      <c r="K1819">
        <v>6</v>
      </c>
      <c r="L1819" t="s">
        <v>836</v>
      </c>
      <c r="M1819">
        <v>24</v>
      </c>
      <c r="O1819" s="29" t="s">
        <v>8794</v>
      </c>
      <c r="P1819" s="25" t="s">
        <v>8982</v>
      </c>
      <c r="Q1819" s="25">
        <v>1441</v>
      </c>
      <c r="R1819" t="s">
        <v>436</v>
      </c>
    </row>
    <row r="1820" spans="1:18" s="13" customFormat="1" hidden="1">
      <c r="A1820" s="23" t="s">
        <v>3639</v>
      </c>
      <c r="B1820" s="23" t="s">
        <v>3640</v>
      </c>
      <c r="C1820" s="23">
        <v>1605</v>
      </c>
      <c r="D1820" s="13" t="s">
        <v>436</v>
      </c>
      <c r="G1820"/>
      <c r="I1820" s="14" t="str">
        <f>+IFERROR(VLOOKUP(C1820,'Mov 2023 hasta ahora '!$C$2:$D$314,2,FALSE),"NO")</f>
        <v>NO</v>
      </c>
      <c r="K1820">
        <v>6</v>
      </c>
      <c r="L1820" t="s">
        <v>836</v>
      </c>
      <c r="M1820">
        <v>24</v>
      </c>
      <c r="O1820" s="29" t="s">
        <v>8809</v>
      </c>
      <c r="P1820" s="25" t="s">
        <v>8983</v>
      </c>
      <c r="Q1820" s="25">
        <v>1448</v>
      </c>
      <c r="R1820" t="s">
        <v>436</v>
      </c>
    </row>
    <row r="1821" spans="1:18" hidden="1">
      <c r="A1821" t="s">
        <v>3641</v>
      </c>
      <c r="B1821" t="s">
        <v>3642</v>
      </c>
      <c r="I1821" s="3" t="str">
        <f>+IFERROR(VLOOKUP(C1821,'Mov 2023 hasta ahora '!$C$2:$D$314,2,FALSE),"NO")</f>
        <v>NO</v>
      </c>
      <c r="K1821">
        <v>4</v>
      </c>
      <c r="L1821" t="s">
        <v>836</v>
      </c>
      <c r="M1821">
        <v>14</v>
      </c>
    </row>
    <row r="1822" spans="1:18" hidden="1">
      <c r="A1822" t="s">
        <v>3643</v>
      </c>
      <c r="B1822" t="s">
        <v>3644</v>
      </c>
      <c r="I1822" s="3" t="str">
        <f>+IFERROR(VLOOKUP(C1822,'Mov 2023 hasta ahora '!$C$2:$D$314,2,FALSE),"NO")</f>
        <v>NO</v>
      </c>
      <c r="K1822">
        <v>5</v>
      </c>
      <c r="L1822" t="s">
        <v>836</v>
      </c>
      <c r="M1822">
        <v>18</v>
      </c>
    </row>
    <row r="1823" spans="1:18" hidden="1">
      <c r="A1823" s="23" t="s">
        <v>3645</v>
      </c>
      <c r="B1823" s="23" t="s">
        <v>3646</v>
      </c>
      <c r="C1823" s="23">
        <v>1620</v>
      </c>
      <c r="D1823" t="s">
        <v>436</v>
      </c>
      <c r="I1823" s="3" t="str">
        <f>+IFERROR(VLOOKUP(C1823,'Mov 2023 hasta ahora '!$C$2:$D$314,2,FALSE),"NO")</f>
        <v>NO</v>
      </c>
      <c r="K1823">
        <v>6</v>
      </c>
      <c r="L1823" t="s">
        <v>836</v>
      </c>
      <c r="M1823">
        <v>24</v>
      </c>
      <c r="O1823" s="29" t="s">
        <v>8691</v>
      </c>
      <c r="P1823" s="25" t="s">
        <v>8687</v>
      </c>
      <c r="Q1823" s="25">
        <v>1228</v>
      </c>
      <c r="R1823" t="s">
        <v>436</v>
      </c>
    </row>
    <row r="1824" spans="1:18" hidden="1">
      <c r="A1824" t="s">
        <v>3647</v>
      </c>
      <c r="B1824" t="s">
        <v>3648</v>
      </c>
      <c r="I1824" s="3" t="str">
        <f>+IFERROR(VLOOKUP(C1824,'Mov 2023 hasta ahora '!$C$2:$D$314,2,FALSE),"NO")</f>
        <v>NO</v>
      </c>
      <c r="K1824">
        <v>5</v>
      </c>
      <c r="L1824" t="s">
        <v>836</v>
      </c>
      <c r="M1824">
        <v>18</v>
      </c>
    </row>
    <row r="1825" spans="1:18" hidden="1">
      <c r="A1825" s="23" t="s">
        <v>3649</v>
      </c>
      <c r="B1825" s="23" t="s">
        <v>3650</v>
      </c>
      <c r="C1825" s="23">
        <v>1621</v>
      </c>
      <c r="D1825" t="s">
        <v>436</v>
      </c>
      <c r="I1825" s="3" t="str">
        <f>+IFERROR(VLOOKUP(C1825,'Mov 2023 hasta ahora '!$C$2:$D$314,2,FALSE),"NO")</f>
        <v>NO</v>
      </c>
      <c r="K1825">
        <v>6</v>
      </c>
      <c r="L1825" t="s">
        <v>836</v>
      </c>
      <c r="M1825">
        <v>24</v>
      </c>
      <c r="O1825" s="29" t="s">
        <v>8691</v>
      </c>
      <c r="P1825" s="25" t="s">
        <v>8687</v>
      </c>
      <c r="Q1825" s="25">
        <v>1228</v>
      </c>
      <c r="R1825" t="s">
        <v>436</v>
      </c>
    </row>
    <row r="1826" spans="1:18" hidden="1">
      <c r="A1826" t="s">
        <v>3651</v>
      </c>
      <c r="B1826" t="s">
        <v>3652</v>
      </c>
      <c r="I1826" s="3" t="str">
        <f>+IFERROR(VLOOKUP(C1826,'Mov 2023 hasta ahora '!$C$2:$D$314,2,FALSE),"NO")</f>
        <v>NO</v>
      </c>
      <c r="K1826">
        <v>5</v>
      </c>
      <c r="L1826" t="s">
        <v>836</v>
      </c>
      <c r="M1826">
        <v>18</v>
      </c>
    </row>
    <row r="1827" spans="1:18" hidden="1">
      <c r="A1827" s="23" t="s">
        <v>3653</v>
      </c>
      <c r="B1827" s="23" t="s">
        <v>3654</v>
      </c>
      <c r="C1827" s="23">
        <v>1622</v>
      </c>
      <c r="D1827" t="s">
        <v>436</v>
      </c>
      <c r="I1827" s="3" t="str">
        <f>+IFERROR(VLOOKUP(C1827,'Mov 2023 hasta ahora '!$C$2:$D$314,2,FALSE),"NO")</f>
        <v>NO</v>
      </c>
      <c r="K1827">
        <v>6</v>
      </c>
      <c r="L1827" t="s">
        <v>836</v>
      </c>
      <c r="M1827">
        <v>24</v>
      </c>
      <c r="O1827" s="29" t="s">
        <v>8691</v>
      </c>
      <c r="P1827" s="25" t="s">
        <v>8687</v>
      </c>
      <c r="Q1827" s="25">
        <v>1228</v>
      </c>
      <c r="R1827" t="s">
        <v>436</v>
      </c>
    </row>
    <row r="1828" spans="1:18" hidden="1">
      <c r="A1828" t="s">
        <v>3655</v>
      </c>
      <c r="B1828" t="s">
        <v>3656</v>
      </c>
      <c r="I1828" s="3" t="str">
        <f>+IFERROR(VLOOKUP(C1828,'Mov 2023 hasta ahora '!$C$2:$D$314,2,FALSE),"NO")</f>
        <v>NO</v>
      </c>
      <c r="K1828">
        <v>5</v>
      </c>
      <c r="L1828" t="s">
        <v>836</v>
      </c>
      <c r="M1828">
        <v>18</v>
      </c>
    </row>
    <row r="1829" spans="1:18" hidden="1">
      <c r="A1829" s="23" t="s">
        <v>3657</v>
      </c>
      <c r="B1829" s="23" t="s">
        <v>3658</v>
      </c>
      <c r="C1829" s="23">
        <v>1623</v>
      </c>
      <c r="D1829" t="s">
        <v>436</v>
      </c>
      <c r="I1829" s="3" t="str">
        <f>+IFERROR(VLOOKUP(C1829,'Mov 2023 hasta ahora '!$C$2:$D$314,2,FALSE),"NO")</f>
        <v>NO</v>
      </c>
      <c r="K1829">
        <v>6</v>
      </c>
      <c r="L1829" t="s">
        <v>836</v>
      </c>
      <c r="M1829">
        <v>24</v>
      </c>
      <c r="O1829" s="29" t="s">
        <v>8691</v>
      </c>
      <c r="P1829" s="25" t="s">
        <v>8687</v>
      </c>
      <c r="Q1829" s="25">
        <v>1228</v>
      </c>
      <c r="R1829" t="s">
        <v>436</v>
      </c>
    </row>
    <row r="1830" spans="1:18" hidden="1">
      <c r="A1830" t="s">
        <v>3659</v>
      </c>
      <c r="B1830" t="s">
        <v>3660</v>
      </c>
      <c r="I1830" s="3" t="str">
        <f>+IFERROR(VLOOKUP(C1830,'Mov 2023 hasta ahora '!$C$2:$D$314,2,FALSE),"NO")</f>
        <v>NO</v>
      </c>
      <c r="K1830">
        <v>5</v>
      </c>
      <c r="L1830" t="s">
        <v>836</v>
      </c>
      <c r="M1830">
        <v>18</v>
      </c>
    </row>
    <row r="1831" spans="1:18" hidden="1">
      <c r="A1831" s="23" t="s">
        <v>3661</v>
      </c>
      <c r="B1831" s="23" t="s">
        <v>3662</v>
      </c>
      <c r="C1831" s="23">
        <v>1624</v>
      </c>
      <c r="D1831" t="s">
        <v>436</v>
      </c>
      <c r="I1831" s="3" t="str">
        <f>+IFERROR(VLOOKUP(C1831,'Mov 2023 hasta ahora '!$C$2:$D$314,2,FALSE),"NO")</f>
        <v>NO</v>
      </c>
      <c r="K1831">
        <v>6</v>
      </c>
      <c r="L1831" t="s">
        <v>836</v>
      </c>
      <c r="M1831">
        <v>24</v>
      </c>
      <c r="O1831" s="29" t="s">
        <v>8691</v>
      </c>
      <c r="P1831" s="25" t="s">
        <v>8687</v>
      </c>
      <c r="Q1831" s="25">
        <v>1228</v>
      </c>
      <c r="R1831" t="s">
        <v>436</v>
      </c>
    </row>
    <row r="1832" spans="1:18" hidden="1">
      <c r="A1832" s="23" t="s">
        <v>3663</v>
      </c>
      <c r="B1832" s="23" t="s">
        <v>3664</v>
      </c>
      <c r="C1832" s="23">
        <v>1625</v>
      </c>
      <c r="D1832" t="s">
        <v>436</v>
      </c>
      <c r="I1832" s="3" t="str">
        <f>+IFERROR(VLOOKUP(C1832,'Mov 2023 hasta ahora '!$C$2:$D$314,2,FALSE),"NO")</f>
        <v>NO</v>
      </c>
      <c r="K1832">
        <v>6</v>
      </c>
      <c r="L1832" t="s">
        <v>836</v>
      </c>
      <c r="M1832">
        <v>24</v>
      </c>
      <c r="O1832" s="29" t="s">
        <v>8691</v>
      </c>
      <c r="P1832" s="25" t="s">
        <v>8687</v>
      </c>
      <c r="Q1832" s="25">
        <v>1228</v>
      </c>
      <c r="R1832" t="s">
        <v>436</v>
      </c>
    </row>
    <row r="1833" spans="1:18" hidden="1">
      <c r="A1833" s="23" t="s">
        <v>3665</v>
      </c>
      <c r="B1833" s="23" t="s">
        <v>3666</v>
      </c>
      <c r="C1833" s="23">
        <v>1626</v>
      </c>
      <c r="D1833" t="s">
        <v>436</v>
      </c>
      <c r="I1833" s="3" t="str">
        <f>+IFERROR(VLOOKUP(C1833,'Mov 2023 hasta ahora '!$C$2:$D$314,2,FALSE),"NO")</f>
        <v>NO</v>
      </c>
      <c r="K1833">
        <v>6</v>
      </c>
      <c r="L1833" t="s">
        <v>836</v>
      </c>
      <c r="M1833">
        <v>24</v>
      </c>
      <c r="O1833" s="29" t="s">
        <v>8691</v>
      </c>
      <c r="P1833" s="25" t="s">
        <v>8687</v>
      </c>
      <c r="Q1833" s="25">
        <v>1228</v>
      </c>
      <c r="R1833" t="s">
        <v>436</v>
      </c>
    </row>
    <row r="1834" spans="1:18" hidden="1">
      <c r="A1834" t="s">
        <v>3667</v>
      </c>
      <c r="B1834" t="s">
        <v>3668</v>
      </c>
      <c r="I1834" s="3" t="str">
        <f>+IFERROR(VLOOKUP(C1834,'Mov 2023 hasta ahora '!$C$2:$D$314,2,FALSE),"NO")</f>
        <v>NO</v>
      </c>
      <c r="K1834">
        <v>5</v>
      </c>
      <c r="L1834" t="s">
        <v>836</v>
      </c>
      <c r="M1834">
        <v>18</v>
      </c>
    </row>
    <row r="1835" spans="1:18" s="13" customFormat="1" hidden="1">
      <c r="A1835" s="23" t="s">
        <v>3669</v>
      </c>
      <c r="B1835" s="23" t="s">
        <v>3670</v>
      </c>
      <c r="C1835" s="23">
        <v>1596</v>
      </c>
      <c r="D1835" s="13" t="s">
        <v>436</v>
      </c>
      <c r="G1835"/>
      <c r="I1835" s="14" t="str">
        <f>+IFERROR(VLOOKUP(C1835,'Mov 2023 hasta ahora '!$C$2:$D$314,2,FALSE),"NO")</f>
        <v>NO</v>
      </c>
      <c r="K1835">
        <v>6</v>
      </c>
      <c r="L1835" t="s">
        <v>836</v>
      </c>
      <c r="M1835">
        <v>24</v>
      </c>
      <c r="O1835" s="29" t="s">
        <v>8800</v>
      </c>
      <c r="P1835" s="25" t="s">
        <v>8988</v>
      </c>
      <c r="Q1835" s="25">
        <v>1457</v>
      </c>
      <c r="R1835" t="s">
        <v>436</v>
      </c>
    </row>
    <row r="1836" spans="1:18" s="13" customFormat="1" hidden="1">
      <c r="A1836" s="23" t="s">
        <v>3671</v>
      </c>
      <c r="B1836" s="23" t="s">
        <v>3672</v>
      </c>
      <c r="C1836" s="23">
        <v>1597</v>
      </c>
      <c r="D1836" s="13" t="s">
        <v>436</v>
      </c>
      <c r="G1836"/>
      <c r="I1836" s="14" t="str">
        <f>+IFERROR(VLOOKUP(C1836,'Mov 2023 hasta ahora '!$C$2:$D$314,2,FALSE),"NO")</f>
        <v>NO</v>
      </c>
      <c r="K1836">
        <v>6</v>
      </c>
      <c r="L1836" t="s">
        <v>836</v>
      </c>
      <c r="M1836">
        <v>24</v>
      </c>
      <c r="O1836" s="29" t="s">
        <v>8810</v>
      </c>
      <c r="P1836" s="25" t="s">
        <v>8989</v>
      </c>
      <c r="Q1836" s="25">
        <v>1465</v>
      </c>
      <c r="R1836" t="s">
        <v>436</v>
      </c>
    </row>
    <row r="1837" spans="1:18" hidden="1">
      <c r="A1837" t="s">
        <v>3673</v>
      </c>
      <c r="B1837" t="s">
        <v>3674</v>
      </c>
      <c r="I1837" s="3" t="str">
        <f>+IFERROR(VLOOKUP(C1837,'Mov 2023 hasta ahora '!$C$2:$D$314,2,FALSE),"NO")</f>
        <v>NO</v>
      </c>
      <c r="K1837">
        <v>4</v>
      </c>
      <c r="L1837" t="s">
        <v>836</v>
      </c>
      <c r="M1837">
        <v>14</v>
      </c>
    </row>
    <row r="1838" spans="1:18" hidden="1">
      <c r="A1838" t="s">
        <v>3675</v>
      </c>
      <c r="B1838" t="s">
        <v>3676</v>
      </c>
      <c r="I1838" s="3" t="str">
        <f>+IFERROR(VLOOKUP(C1838,'Mov 2023 hasta ahora '!$C$2:$D$314,2,FALSE),"NO")</f>
        <v>NO</v>
      </c>
      <c r="K1838">
        <v>5</v>
      </c>
      <c r="L1838" t="s">
        <v>836</v>
      </c>
      <c r="M1838">
        <v>18</v>
      </c>
    </row>
    <row r="1839" spans="1:18" hidden="1">
      <c r="A1839" s="23" t="s">
        <v>3677</v>
      </c>
      <c r="B1839" s="23" t="s">
        <v>3678</v>
      </c>
      <c r="C1839" s="23">
        <v>1627</v>
      </c>
      <c r="D1839" t="s">
        <v>436</v>
      </c>
      <c r="I1839" s="3" t="str">
        <f>+IFERROR(VLOOKUP(C1839,'Mov 2023 hasta ahora '!$C$2:$D$314,2,FALSE),"NO")</f>
        <v>NO</v>
      </c>
      <c r="K1839">
        <v>6</v>
      </c>
      <c r="L1839" t="s">
        <v>836</v>
      </c>
      <c r="M1839">
        <v>24</v>
      </c>
      <c r="O1839" s="29" t="s">
        <v>8691</v>
      </c>
      <c r="P1839" s="25" t="s">
        <v>8687</v>
      </c>
      <c r="Q1839" s="25">
        <v>1228</v>
      </c>
      <c r="R1839" t="s">
        <v>436</v>
      </c>
    </row>
    <row r="1840" spans="1:18" hidden="1">
      <c r="A1840" s="23" t="s">
        <v>3679</v>
      </c>
      <c r="B1840" s="23" t="s">
        <v>3680</v>
      </c>
      <c r="C1840" s="23">
        <v>1628</v>
      </c>
      <c r="D1840" t="s">
        <v>436</v>
      </c>
      <c r="I1840" s="3" t="str">
        <f>+IFERROR(VLOOKUP(C1840,'Mov 2023 hasta ahora '!$C$2:$D$314,2,FALSE),"NO")</f>
        <v>NO</v>
      </c>
      <c r="K1840">
        <v>6</v>
      </c>
      <c r="L1840" t="s">
        <v>836</v>
      </c>
      <c r="M1840">
        <v>24</v>
      </c>
      <c r="O1840" s="29" t="s">
        <v>8691</v>
      </c>
      <c r="P1840" s="25" t="s">
        <v>8687</v>
      </c>
      <c r="Q1840" s="25">
        <v>1228</v>
      </c>
      <c r="R1840" t="s">
        <v>436</v>
      </c>
    </row>
    <row r="1841" spans="1:18" hidden="1">
      <c r="A1841" t="s">
        <v>3681</v>
      </c>
      <c r="B1841" t="s">
        <v>3682</v>
      </c>
      <c r="I1841" s="3" t="str">
        <f>+IFERROR(VLOOKUP(C1841,'Mov 2023 hasta ahora '!$C$2:$D$314,2,FALSE),"NO")</f>
        <v>NO</v>
      </c>
      <c r="K1841">
        <v>5</v>
      </c>
      <c r="L1841" t="s">
        <v>836</v>
      </c>
      <c r="M1841">
        <v>18</v>
      </c>
    </row>
    <row r="1842" spans="1:18" hidden="1">
      <c r="A1842" s="23" t="s">
        <v>3683</v>
      </c>
      <c r="B1842" s="23" t="s">
        <v>3684</v>
      </c>
      <c r="C1842" s="23">
        <v>1629</v>
      </c>
      <c r="D1842" t="s">
        <v>436</v>
      </c>
      <c r="I1842" s="3" t="str">
        <f>+IFERROR(VLOOKUP(C1842,'Mov 2023 hasta ahora '!$C$2:$D$314,2,FALSE),"NO")</f>
        <v>NO</v>
      </c>
      <c r="K1842">
        <v>6</v>
      </c>
      <c r="L1842" t="s">
        <v>836</v>
      </c>
      <c r="M1842">
        <v>24</v>
      </c>
      <c r="O1842" s="29" t="s">
        <v>8691</v>
      </c>
      <c r="P1842" s="25" t="s">
        <v>8687</v>
      </c>
      <c r="Q1842" s="25">
        <v>1228</v>
      </c>
      <c r="R1842" t="s">
        <v>436</v>
      </c>
    </row>
    <row r="1843" spans="1:18" hidden="1">
      <c r="A1843" s="23" t="s">
        <v>3685</v>
      </c>
      <c r="B1843" s="23" t="s">
        <v>3686</v>
      </c>
      <c r="C1843" s="23">
        <v>1630</v>
      </c>
      <c r="D1843" t="s">
        <v>436</v>
      </c>
      <c r="I1843" s="3" t="str">
        <f>+IFERROR(VLOOKUP(C1843,'Mov 2023 hasta ahora '!$C$2:$D$314,2,FALSE),"NO")</f>
        <v>NO</v>
      </c>
      <c r="K1843">
        <v>6</v>
      </c>
      <c r="L1843" t="s">
        <v>836</v>
      </c>
      <c r="M1843">
        <v>24</v>
      </c>
      <c r="O1843" s="29" t="s">
        <v>8691</v>
      </c>
      <c r="P1843" s="25" t="s">
        <v>8687</v>
      </c>
      <c r="Q1843" s="25">
        <v>1228</v>
      </c>
      <c r="R1843" t="s">
        <v>436</v>
      </c>
    </row>
    <row r="1844" spans="1:18" hidden="1">
      <c r="A1844" t="s">
        <v>3687</v>
      </c>
      <c r="B1844" t="s">
        <v>3688</v>
      </c>
      <c r="I1844" s="3" t="str">
        <f>+IFERROR(VLOOKUP(C1844,'Mov 2023 hasta ahora '!$C$2:$D$314,2,FALSE),"NO")</f>
        <v>NO</v>
      </c>
      <c r="K1844">
        <v>5</v>
      </c>
      <c r="L1844" t="s">
        <v>836</v>
      </c>
      <c r="M1844">
        <v>18</v>
      </c>
    </row>
    <row r="1845" spans="1:18" hidden="1">
      <c r="A1845" s="23" t="s">
        <v>3689</v>
      </c>
      <c r="B1845" s="23" t="s">
        <v>3690</v>
      </c>
      <c r="C1845" s="23">
        <v>1631</v>
      </c>
      <c r="D1845" t="s">
        <v>436</v>
      </c>
      <c r="I1845" s="3" t="str">
        <f>+IFERROR(VLOOKUP(C1845,'Mov 2023 hasta ahora '!$C$2:$D$314,2,FALSE),"NO")</f>
        <v>NO</v>
      </c>
      <c r="K1845">
        <v>6</v>
      </c>
      <c r="L1845" t="s">
        <v>836</v>
      </c>
      <c r="M1845">
        <v>24</v>
      </c>
      <c r="O1845" s="29" t="s">
        <v>8691</v>
      </c>
      <c r="P1845" s="25" t="s">
        <v>8687</v>
      </c>
      <c r="Q1845" s="25">
        <v>1228</v>
      </c>
      <c r="R1845" t="s">
        <v>436</v>
      </c>
    </row>
    <row r="1846" spans="1:18" hidden="1">
      <c r="A1846" s="23" t="s">
        <v>3691</v>
      </c>
      <c r="B1846" s="23" t="s">
        <v>3692</v>
      </c>
      <c r="C1846" s="23">
        <v>1632</v>
      </c>
      <c r="D1846" t="s">
        <v>436</v>
      </c>
      <c r="I1846" s="3" t="str">
        <f>+IFERROR(VLOOKUP(C1846,'Mov 2023 hasta ahora '!$C$2:$D$314,2,FALSE),"NO")</f>
        <v>NO</v>
      </c>
      <c r="K1846">
        <v>6</v>
      </c>
      <c r="L1846" t="s">
        <v>836</v>
      </c>
      <c r="M1846">
        <v>24</v>
      </c>
      <c r="O1846" s="29" t="s">
        <v>8691</v>
      </c>
      <c r="P1846" s="25" t="s">
        <v>8687</v>
      </c>
      <c r="Q1846" s="25">
        <v>1228</v>
      </c>
      <c r="R1846" t="s">
        <v>436</v>
      </c>
    </row>
    <row r="1847" spans="1:18" hidden="1">
      <c r="A1847" s="23" t="s">
        <v>3693</v>
      </c>
      <c r="B1847" s="23" t="s">
        <v>3694</v>
      </c>
      <c r="C1847" s="23">
        <v>1633</v>
      </c>
      <c r="D1847" t="s">
        <v>436</v>
      </c>
      <c r="I1847" s="3" t="str">
        <f>+IFERROR(VLOOKUP(C1847,'Mov 2023 hasta ahora '!$C$2:$D$314,2,FALSE),"NO")</f>
        <v>NO</v>
      </c>
      <c r="K1847">
        <v>6</v>
      </c>
      <c r="L1847" t="s">
        <v>836</v>
      </c>
      <c r="M1847">
        <v>24</v>
      </c>
      <c r="O1847" s="29" t="s">
        <v>8691</v>
      </c>
      <c r="P1847" s="25" t="s">
        <v>8687</v>
      </c>
      <c r="Q1847" s="25">
        <v>1228</v>
      </c>
      <c r="R1847" t="s">
        <v>436</v>
      </c>
    </row>
    <row r="1848" spans="1:18" hidden="1">
      <c r="A1848" t="s">
        <v>3695</v>
      </c>
      <c r="B1848" t="s">
        <v>3696</v>
      </c>
      <c r="I1848" s="3" t="str">
        <f>+IFERROR(VLOOKUP(C1848,'Mov 2023 hasta ahora '!$C$2:$D$314,2,FALSE),"NO")</f>
        <v>NO</v>
      </c>
      <c r="K1848">
        <v>5</v>
      </c>
      <c r="L1848" t="s">
        <v>836</v>
      </c>
      <c r="M1848">
        <v>18</v>
      </c>
    </row>
    <row r="1849" spans="1:18" hidden="1">
      <c r="A1849" s="23" t="s">
        <v>3697</v>
      </c>
      <c r="B1849" s="23" t="s">
        <v>3698</v>
      </c>
      <c r="C1849" s="23">
        <v>1634</v>
      </c>
      <c r="D1849" t="s">
        <v>436</v>
      </c>
      <c r="I1849" s="3" t="str">
        <f>+IFERROR(VLOOKUP(C1849,'Mov 2023 hasta ahora '!$C$2:$D$314,2,FALSE),"NO")</f>
        <v>NO</v>
      </c>
      <c r="K1849">
        <v>6</v>
      </c>
      <c r="L1849" t="s">
        <v>836</v>
      </c>
      <c r="M1849">
        <v>24</v>
      </c>
      <c r="O1849" s="29" t="s">
        <v>8691</v>
      </c>
      <c r="P1849" s="25" t="s">
        <v>8687</v>
      </c>
      <c r="Q1849" s="25">
        <v>1228</v>
      </c>
      <c r="R1849" t="s">
        <v>436</v>
      </c>
    </row>
    <row r="1850" spans="1:18" hidden="1">
      <c r="A1850" s="23" t="s">
        <v>3699</v>
      </c>
      <c r="B1850" s="23" t="s">
        <v>3700</v>
      </c>
      <c r="C1850" s="23">
        <v>1635</v>
      </c>
      <c r="D1850" t="s">
        <v>436</v>
      </c>
      <c r="I1850" s="3" t="str">
        <f>+IFERROR(VLOOKUP(C1850,'Mov 2023 hasta ahora '!$C$2:$D$314,2,FALSE),"NO")</f>
        <v>NO</v>
      </c>
      <c r="K1850">
        <v>6</v>
      </c>
      <c r="L1850" t="s">
        <v>836</v>
      </c>
      <c r="M1850">
        <v>24</v>
      </c>
      <c r="O1850" s="29" t="s">
        <v>8691</v>
      </c>
      <c r="P1850" s="25" t="s">
        <v>8687</v>
      </c>
      <c r="Q1850" s="25">
        <v>1228</v>
      </c>
      <c r="R1850" t="s">
        <v>436</v>
      </c>
    </row>
    <row r="1851" spans="1:18" hidden="1">
      <c r="A1851" t="s">
        <v>3701</v>
      </c>
      <c r="B1851" t="s">
        <v>3702</v>
      </c>
      <c r="I1851" s="3" t="str">
        <f>+IFERROR(VLOOKUP(C1851,'Mov 2023 hasta ahora '!$C$2:$D$314,2,FALSE),"NO")</f>
        <v>NO</v>
      </c>
      <c r="K1851">
        <v>4</v>
      </c>
      <c r="L1851" t="s">
        <v>836</v>
      </c>
      <c r="M1851">
        <v>14</v>
      </c>
    </row>
    <row r="1852" spans="1:18" hidden="1">
      <c r="A1852" t="s">
        <v>3703</v>
      </c>
      <c r="B1852" t="s">
        <v>3704</v>
      </c>
      <c r="I1852" s="3" t="str">
        <f>+IFERROR(VLOOKUP(C1852,'Mov 2023 hasta ahora '!$C$2:$D$314,2,FALSE),"NO")</f>
        <v>NO</v>
      </c>
      <c r="K1852">
        <v>5</v>
      </c>
      <c r="L1852" t="s">
        <v>836</v>
      </c>
      <c r="M1852">
        <v>18</v>
      </c>
    </row>
    <row r="1853" spans="1:18" hidden="1">
      <c r="A1853" s="23" t="s">
        <v>3705</v>
      </c>
      <c r="B1853" s="23" t="s">
        <v>3706</v>
      </c>
      <c r="C1853" s="23">
        <v>1636</v>
      </c>
      <c r="D1853" t="s">
        <v>436</v>
      </c>
      <c r="I1853" s="3" t="str">
        <f>+IFERROR(VLOOKUP(C1853,'Mov 2023 hasta ahora '!$C$2:$D$314,2,FALSE),"NO")</f>
        <v>NO</v>
      </c>
      <c r="K1853">
        <v>6</v>
      </c>
      <c r="L1853" t="s">
        <v>836</v>
      </c>
      <c r="M1853">
        <v>24</v>
      </c>
      <c r="O1853" s="29" t="s">
        <v>8691</v>
      </c>
      <c r="P1853" s="25" t="s">
        <v>8687</v>
      </c>
      <c r="Q1853" s="25">
        <v>1228</v>
      </c>
      <c r="R1853" t="s">
        <v>436</v>
      </c>
    </row>
    <row r="1854" spans="1:18" hidden="1">
      <c r="A1854" s="23" t="s">
        <v>3707</v>
      </c>
      <c r="B1854" s="23" t="s">
        <v>3708</v>
      </c>
      <c r="C1854" s="23">
        <v>1637</v>
      </c>
      <c r="D1854" t="s">
        <v>436</v>
      </c>
      <c r="I1854" s="3" t="str">
        <f>+IFERROR(VLOOKUP(C1854,'Mov 2023 hasta ahora '!$C$2:$D$314,2,FALSE),"NO")</f>
        <v>NO</v>
      </c>
      <c r="K1854">
        <v>6</v>
      </c>
      <c r="L1854" t="s">
        <v>836</v>
      </c>
      <c r="M1854">
        <v>24</v>
      </c>
      <c r="O1854" s="29" t="s">
        <v>8691</v>
      </c>
      <c r="P1854" s="25" t="s">
        <v>8687</v>
      </c>
      <c r="Q1854" s="25">
        <v>1228</v>
      </c>
      <c r="R1854" t="s">
        <v>436</v>
      </c>
    </row>
    <row r="1855" spans="1:18" hidden="1">
      <c r="A1855" t="s">
        <v>3709</v>
      </c>
      <c r="B1855" t="s">
        <v>3710</v>
      </c>
      <c r="I1855" s="3" t="str">
        <f>+IFERROR(VLOOKUP(C1855,'Mov 2023 hasta ahora '!$C$2:$D$314,2,FALSE),"NO")</f>
        <v>NO</v>
      </c>
      <c r="K1855">
        <v>5</v>
      </c>
      <c r="L1855" t="s">
        <v>836</v>
      </c>
      <c r="M1855">
        <v>18</v>
      </c>
    </row>
    <row r="1856" spans="1:18" hidden="1">
      <c r="A1856" s="23" t="s">
        <v>3711</v>
      </c>
      <c r="B1856" s="23" t="s">
        <v>3712</v>
      </c>
      <c r="C1856" s="23">
        <v>1638</v>
      </c>
      <c r="D1856" t="s">
        <v>436</v>
      </c>
      <c r="I1856" s="3" t="str">
        <f>+IFERROR(VLOOKUP(C1856,'Mov 2023 hasta ahora '!$C$2:$D$314,2,FALSE),"NO")</f>
        <v>NO</v>
      </c>
      <c r="K1856">
        <v>6</v>
      </c>
      <c r="L1856" t="s">
        <v>836</v>
      </c>
      <c r="M1856">
        <v>24</v>
      </c>
      <c r="O1856" s="29" t="s">
        <v>8691</v>
      </c>
      <c r="P1856" s="25" t="s">
        <v>8687</v>
      </c>
      <c r="Q1856" s="25">
        <v>1228</v>
      </c>
      <c r="R1856" t="s">
        <v>436</v>
      </c>
    </row>
    <row r="1857" spans="1:18" hidden="1">
      <c r="A1857" s="23" t="s">
        <v>3713</v>
      </c>
      <c r="B1857" s="23" t="s">
        <v>3714</v>
      </c>
      <c r="C1857" s="23">
        <v>1639</v>
      </c>
      <c r="D1857" t="s">
        <v>436</v>
      </c>
      <c r="I1857" s="3" t="str">
        <f>+IFERROR(VLOOKUP(C1857,'Mov 2023 hasta ahora '!$C$2:$D$314,2,FALSE),"NO")</f>
        <v>NO</v>
      </c>
      <c r="K1857">
        <v>6</v>
      </c>
      <c r="L1857" t="s">
        <v>836</v>
      </c>
      <c r="M1857">
        <v>24</v>
      </c>
      <c r="O1857" s="29" t="s">
        <v>8691</v>
      </c>
      <c r="P1857" s="25" t="s">
        <v>8687</v>
      </c>
      <c r="Q1857" s="25">
        <v>1228</v>
      </c>
      <c r="R1857" t="s">
        <v>436</v>
      </c>
    </row>
    <row r="1858" spans="1:18" hidden="1">
      <c r="A1858" s="23" t="s">
        <v>3715</v>
      </c>
      <c r="B1858" s="23" t="s">
        <v>3716</v>
      </c>
      <c r="C1858" s="23">
        <v>1640</v>
      </c>
      <c r="D1858" t="s">
        <v>436</v>
      </c>
      <c r="I1858" s="3" t="str">
        <f>+IFERROR(VLOOKUP(C1858,'Mov 2023 hasta ahora '!$C$2:$D$314,2,FALSE),"NO")</f>
        <v>NO</v>
      </c>
      <c r="K1858">
        <v>6</v>
      </c>
      <c r="L1858" t="s">
        <v>836</v>
      </c>
      <c r="M1858">
        <v>24</v>
      </c>
      <c r="O1858" s="29" t="s">
        <v>8691</v>
      </c>
      <c r="P1858" s="25" t="s">
        <v>8687</v>
      </c>
      <c r="Q1858" s="25">
        <v>1228</v>
      </c>
      <c r="R1858" t="s">
        <v>436</v>
      </c>
    </row>
    <row r="1859" spans="1:18" hidden="1">
      <c r="A1859" t="s">
        <v>3717</v>
      </c>
      <c r="B1859" t="s">
        <v>3718</v>
      </c>
      <c r="I1859" s="3" t="str">
        <f>+IFERROR(VLOOKUP(C1859,'Mov 2023 hasta ahora '!$C$2:$D$314,2,FALSE),"NO")</f>
        <v>NO</v>
      </c>
      <c r="K1859">
        <v>5</v>
      </c>
      <c r="L1859" t="s">
        <v>836</v>
      </c>
      <c r="M1859">
        <v>18</v>
      </c>
    </row>
    <row r="1860" spans="1:18" s="13" customFormat="1" hidden="1">
      <c r="A1860" s="23" t="s">
        <v>3719</v>
      </c>
      <c r="B1860" s="23" t="s">
        <v>3720</v>
      </c>
      <c r="C1860" s="23">
        <v>1607</v>
      </c>
      <c r="D1860" s="13" t="s">
        <v>436</v>
      </c>
      <c r="G1860"/>
      <c r="I1860" s="14" t="str">
        <f>+IFERROR(VLOOKUP(C1860,'Mov 2023 hasta ahora '!$C$2:$D$314,2,FALSE),"NO")</f>
        <v>NO</v>
      </c>
      <c r="K1860">
        <v>6</v>
      </c>
      <c r="L1860" t="s">
        <v>836</v>
      </c>
      <c r="M1860">
        <v>24</v>
      </c>
      <c r="O1860" s="29" t="s">
        <v>8815</v>
      </c>
      <c r="P1860" s="25" t="s">
        <v>8796</v>
      </c>
      <c r="Q1860" s="25">
        <v>1579</v>
      </c>
      <c r="R1860" t="s">
        <v>436</v>
      </c>
    </row>
    <row r="1861" spans="1:18" s="13" customFormat="1" hidden="1">
      <c r="A1861" s="23" t="s">
        <v>3721</v>
      </c>
      <c r="B1861" s="23" t="s">
        <v>3722</v>
      </c>
      <c r="C1861" s="23">
        <v>1606</v>
      </c>
      <c r="D1861" s="13" t="s">
        <v>436</v>
      </c>
      <c r="G1861"/>
      <c r="I1861" s="14" t="str">
        <f>+IFERROR(VLOOKUP(C1861,'Mov 2023 hasta ahora '!$C$2:$D$314,2,FALSE),"NO")</f>
        <v>NO</v>
      </c>
      <c r="K1861">
        <v>6</v>
      </c>
      <c r="L1861" t="s">
        <v>836</v>
      </c>
      <c r="M1861">
        <v>24</v>
      </c>
      <c r="O1861" s="29" t="s">
        <v>8816</v>
      </c>
      <c r="P1861" s="25" t="s">
        <v>8806</v>
      </c>
      <c r="Q1861" s="25">
        <v>1589</v>
      </c>
      <c r="R1861" t="s">
        <v>436</v>
      </c>
    </row>
    <row r="1862" spans="1:18" hidden="1">
      <c r="A1862" t="s">
        <v>3723</v>
      </c>
      <c r="B1862" t="s">
        <v>3724</v>
      </c>
      <c r="I1862" s="3" t="str">
        <f>+IFERROR(VLOOKUP(C1862,'Mov 2023 hasta ahora '!$C$2:$D$314,2,FALSE),"NO")</f>
        <v>NO</v>
      </c>
      <c r="K1862">
        <v>4</v>
      </c>
      <c r="L1862" t="s">
        <v>836</v>
      </c>
      <c r="M1862">
        <v>14</v>
      </c>
    </row>
    <row r="1863" spans="1:18" hidden="1">
      <c r="A1863" t="s">
        <v>3725</v>
      </c>
      <c r="B1863" t="s">
        <v>3726</v>
      </c>
      <c r="I1863" s="3" t="str">
        <f>+IFERROR(VLOOKUP(C1863,'Mov 2023 hasta ahora '!$C$2:$D$314,2,FALSE),"NO")</f>
        <v>NO</v>
      </c>
      <c r="K1863">
        <v>5</v>
      </c>
      <c r="L1863" t="s">
        <v>836</v>
      </c>
      <c r="M1863">
        <v>18</v>
      </c>
    </row>
    <row r="1864" spans="1:18" hidden="1">
      <c r="A1864" s="23" t="s">
        <v>3727</v>
      </c>
      <c r="B1864" s="23" t="s">
        <v>3728</v>
      </c>
      <c r="C1864" s="23">
        <v>1641</v>
      </c>
      <c r="D1864" t="s">
        <v>436</v>
      </c>
      <c r="I1864" s="3" t="str">
        <f>+IFERROR(VLOOKUP(C1864,'Mov 2023 hasta ahora '!$C$2:$D$314,2,FALSE),"NO")</f>
        <v>NO</v>
      </c>
      <c r="K1864">
        <v>6</v>
      </c>
      <c r="L1864" t="s">
        <v>836</v>
      </c>
      <c r="M1864">
        <v>24</v>
      </c>
      <c r="O1864" s="29" t="s">
        <v>8691</v>
      </c>
      <c r="P1864" s="25" t="s">
        <v>8687</v>
      </c>
      <c r="Q1864" s="25">
        <v>1228</v>
      </c>
      <c r="R1864" t="s">
        <v>436</v>
      </c>
    </row>
    <row r="1865" spans="1:18" hidden="1">
      <c r="A1865" s="23" t="s">
        <v>3729</v>
      </c>
      <c r="B1865" s="23" t="s">
        <v>3730</v>
      </c>
      <c r="C1865" s="23">
        <v>1642</v>
      </c>
      <c r="D1865" t="s">
        <v>436</v>
      </c>
      <c r="I1865" s="3" t="str">
        <f>+IFERROR(VLOOKUP(C1865,'Mov 2023 hasta ahora '!$C$2:$D$314,2,FALSE),"NO")</f>
        <v>NO</v>
      </c>
      <c r="K1865">
        <v>6</v>
      </c>
      <c r="L1865" t="s">
        <v>836</v>
      </c>
      <c r="M1865">
        <v>24</v>
      </c>
      <c r="O1865" s="29" t="s">
        <v>8691</v>
      </c>
      <c r="P1865" s="25" t="s">
        <v>8687</v>
      </c>
      <c r="Q1865" s="25">
        <v>1228</v>
      </c>
      <c r="R1865" t="s">
        <v>436</v>
      </c>
    </row>
    <row r="1866" spans="1:18" hidden="1">
      <c r="A1866" t="s">
        <v>3731</v>
      </c>
      <c r="B1866" t="s">
        <v>3732</v>
      </c>
      <c r="I1866" s="3" t="str">
        <f>+IFERROR(VLOOKUP(C1866,'Mov 2023 hasta ahora '!$C$2:$D$314,2,FALSE),"NO")</f>
        <v>NO</v>
      </c>
      <c r="K1866">
        <v>5</v>
      </c>
      <c r="L1866" t="s">
        <v>836</v>
      </c>
      <c r="M1866">
        <v>18</v>
      </c>
    </row>
    <row r="1867" spans="1:18" hidden="1">
      <c r="A1867" s="23" t="s">
        <v>3733</v>
      </c>
      <c r="B1867" s="23" t="s">
        <v>3734</v>
      </c>
      <c r="C1867" s="23">
        <v>1643</v>
      </c>
      <c r="D1867" t="s">
        <v>436</v>
      </c>
      <c r="I1867" s="3" t="str">
        <f>+IFERROR(VLOOKUP(C1867,'Mov 2023 hasta ahora '!$C$2:$D$314,2,FALSE),"NO")</f>
        <v>NO</v>
      </c>
      <c r="K1867">
        <v>6</v>
      </c>
      <c r="L1867" t="s">
        <v>836</v>
      </c>
      <c r="M1867">
        <v>24</v>
      </c>
      <c r="O1867" s="29" t="s">
        <v>8691</v>
      </c>
      <c r="P1867" s="25" t="s">
        <v>8687</v>
      </c>
      <c r="Q1867" s="25">
        <v>1228</v>
      </c>
      <c r="R1867" t="s">
        <v>436</v>
      </c>
    </row>
    <row r="1868" spans="1:18" hidden="1">
      <c r="A1868" s="23" t="s">
        <v>3735</v>
      </c>
      <c r="B1868" s="23" t="s">
        <v>3736</v>
      </c>
      <c r="C1868" s="23">
        <v>1644</v>
      </c>
      <c r="D1868" t="s">
        <v>436</v>
      </c>
      <c r="I1868" s="3" t="str">
        <f>+IFERROR(VLOOKUP(C1868,'Mov 2023 hasta ahora '!$C$2:$D$314,2,FALSE),"NO")</f>
        <v>NO</v>
      </c>
      <c r="K1868">
        <v>6</v>
      </c>
      <c r="L1868" t="s">
        <v>836</v>
      </c>
      <c r="M1868">
        <v>24</v>
      </c>
      <c r="O1868" s="29" t="s">
        <v>8691</v>
      </c>
      <c r="P1868" s="25" t="s">
        <v>8687</v>
      </c>
      <c r="Q1868" s="25">
        <v>1228</v>
      </c>
      <c r="R1868" t="s">
        <v>436</v>
      </c>
    </row>
    <row r="1869" spans="1:18" hidden="1">
      <c r="A1869" t="s">
        <v>3737</v>
      </c>
      <c r="B1869" t="s">
        <v>3738</v>
      </c>
      <c r="I1869" s="3" t="str">
        <f>+IFERROR(VLOOKUP(C1869,'Mov 2023 hasta ahora '!$C$2:$D$314,2,FALSE),"NO")</f>
        <v>NO</v>
      </c>
      <c r="K1869">
        <v>5</v>
      </c>
      <c r="L1869" t="s">
        <v>836</v>
      </c>
      <c r="M1869">
        <v>18</v>
      </c>
    </row>
    <row r="1870" spans="1:18" hidden="1">
      <c r="A1870" s="23" t="s">
        <v>3739</v>
      </c>
      <c r="B1870" s="23" t="s">
        <v>3740</v>
      </c>
      <c r="C1870" s="23">
        <v>1645</v>
      </c>
      <c r="D1870" t="s">
        <v>436</v>
      </c>
      <c r="I1870" s="3" t="str">
        <f>+IFERROR(VLOOKUP(C1870,'Mov 2023 hasta ahora '!$C$2:$D$314,2,FALSE),"NO")</f>
        <v>NO</v>
      </c>
      <c r="K1870">
        <v>6</v>
      </c>
      <c r="L1870" t="s">
        <v>836</v>
      </c>
      <c r="M1870">
        <v>24</v>
      </c>
      <c r="O1870" s="29" t="s">
        <v>8691</v>
      </c>
      <c r="P1870" s="25" t="s">
        <v>8687</v>
      </c>
      <c r="Q1870" s="25">
        <v>1228</v>
      </c>
      <c r="R1870" t="s">
        <v>436</v>
      </c>
    </row>
    <row r="1871" spans="1:18" hidden="1">
      <c r="A1871" s="23" t="s">
        <v>3741</v>
      </c>
      <c r="B1871" s="23" t="s">
        <v>3742</v>
      </c>
      <c r="C1871" s="23">
        <v>1646</v>
      </c>
      <c r="D1871" t="s">
        <v>436</v>
      </c>
      <c r="I1871" s="3" t="str">
        <f>+IFERROR(VLOOKUP(C1871,'Mov 2023 hasta ahora '!$C$2:$D$314,2,FALSE),"NO")</f>
        <v>NO</v>
      </c>
      <c r="K1871">
        <v>6</v>
      </c>
      <c r="L1871" t="s">
        <v>836</v>
      </c>
      <c r="M1871">
        <v>24</v>
      </c>
      <c r="O1871" s="29" t="s">
        <v>8691</v>
      </c>
      <c r="P1871" s="25" t="s">
        <v>8687</v>
      </c>
      <c r="Q1871" s="25">
        <v>1228</v>
      </c>
      <c r="R1871" t="s">
        <v>436</v>
      </c>
    </row>
    <row r="1872" spans="1:18" hidden="1">
      <c r="A1872" t="s">
        <v>3743</v>
      </c>
      <c r="B1872" t="s">
        <v>3744</v>
      </c>
      <c r="I1872" s="3" t="str">
        <f>+IFERROR(VLOOKUP(C1872,'Mov 2023 hasta ahora '!$C$2:$D$314,2,FALSE),"NO")</f>
        <v>NO</v>
      </c>
      <c r="K1872">
        <v>5</v>
      </c>
      <c r="L1872" t="s">
        <v>836</v>
      </c>
      <c r="M1872">
        <v>18</v>
      </c>
    </row>
    <row r="1873" spans="1:18" hidden="1">
      <c r="A1873" s="23" t="s">
        <v>3745</v>
      </c>
      <c r="B1873" s="23" t="s">
        <v>3746</v>
      </c>
      <c r="C1873" s="23">
        <v>1647</v>
      </c>
      <c r="D1873" t="s">
        <v>436</v>
      </c>
      <c r="I1873" s="3" t="str">
        <f>+IFERROR(VLOOKUP(C1873,'Mov 2023 hasta ahora '!$C$2:$D$314,2,FALSE),"NO")</f>
        <v>NO</v>
      </c>
      <c r="K1873">
        <v>6</v>
      </c>
      <c r="L1873" t="s">
        <v>836</v>
      </c>
      <c r="M1873">
        <v>24</v>
      </c>
      <c r="O1873" s="29" t="s">
        <v>8691</v>
      </c>
      <c r="P1873" s="25" t="s">
        <v>8687</v>
      </c>
      <c r="Q1873" s="25">
        <v>1228</v>
      </c>
      <c r="R1873" t="s">
        <v>436</v>
      </c>
    </row>
    <row r="1874" spans="1:18" hidden="1">
      <c r="A1874" s="23" t="s">
        <v>3747</v>
      </c>
      <c r="B1874" s="23" t="s">
        <v>3748</v>
      </c>
      <c r="C1874" s="23">
        <v>1648</v>
      </c>
      <c r="D1874" t="s">
        <v>436</v>
      </c>
      <c r="I1874" s="3" t="str">
        <f>+IFERROR(VLOOKUP(C1874,'Mov 2023 hasta ahora '!$C$2:$D$314,2,FALSE),"NO")</f>
        <v>NO</v>
      </c>
      <c r="K1874">
        <v>6</v>
      </c>
      <c r="L1874" t="s">
        <v>836</v>
      </c>
      <c r="M1874">
        <v>24</v>
      </c>
      <c r="O1874" s="29" t="s">
        <v>8691</v>
      </c>
      <c r="P1874" s="25" t="s">
        <v>8687</v>
      </c>
      <c r="Q1874" s="25">
        <v>1228</v>
      </c>
      <c r="R1874" t="s">
        <v>436</v>
      </c>
    </row>
    <row r="1875" spans="1:18" hidden="1">
      <c r="A1875" t="s">
        <v>3749</v>
      </c>
      <c r="B1875" t="s">
        <v>3750</v>
      </c>
      <c r="I1875" s="3" t="str">
        <f>+IFERROR(VLOOKUP(C1875,'Mov 2023 hasta ahora '!$C$2:$D$314,2,FALSE),"NO")</f>
        <v>NO</v>
      </c>
      <c r="K1875">
        <v>5</v>
      </c>
      <c r="L1875" t="s">
        <v>836</v>
      </c>
      <c r="M1875">
        <v>18</v>
      </c>
    </row>
    <row r="1876" spans="1:18" hidden="1">
      <c r="A1876" s="23" t="s">
        <v>3751</v>
      </c>
      <c r="B1876" s="23" t="s">
        <v>3752</v>
      </c>
      <c r="C1876" s="23">
        <v>1649</v>
      </c>
      <c r="D1876" t="s">
        <v>436</v>
      </c>
      <c r="I1876" s="3" t="str">
        <f>+IFERROR(VLOOKUP(C1876,'Mov 2023 hasta ahora '!$C$2:$D$314,2,FALSE),"NO")</f>
        <v>NO</v>
      </c>
      <c r="K1876">
        <v>6</v>
      </c>
      <c r="L1876" t="s">
        <v>836</v>
      </c>
      <c r="M1876">
        <v>24</v>
      </c>
      <c r="O1876" s="29" t="s">
        <v>8691</v>
      </c>
      <c r="P1876" s="25" t="s">
        <v>8687</v>
      </c>
      <c r="Q1876" s="25">
        <v>1228</v>
      </c>
      <c r="R1876" t="s">
        <v>436</v>
      </c>
    </row>
    <row r="1877" spans="1:18" hidden="1">
      <c r="A1877" s="23" t="s">
        <v>3753</v>
      </c>
      <c r="B1877" s="23" t="s">
        <v>3754</v>
      </c>
      <c r="C1877" s="23">
        <v>1650</v>
      </c>
      <c r="D1877" t="s">
        <v>436</v>
      </c>
      <c r="I1877" s="3" t="str">
        <f>+IFERROR(VLOOKUP(C1877,'Mov 2023 hasta ahora '!$C$2:$D$314,2,FALSE),"NO")</f>
        <v>NO</v>
      </c>
      <c r="K1877">
        <v>6</v>
      </c>
      <c r="L1877" t="s">
        <v>836</v>
      </c>
      <c r="M1877">
        <v>24</v>
      </c>
      <c r="O1877" s="29" t="s">
        <v>8691</v>
      </c>
      <c r="P1877" s="25" t="s">
        <v>8687</v>
      </c>
      <c r="Q1877" s="25">
        <v>1228</v>
      </c>
      <c r="R1877" t="s">
        <v>436</v>
      </c>
    </row>
    <row r="1878" spans="1:18" hidden="1">
      <c r="A1878" t="s">
        <v>3755</v>
      </c>
      <c r="B1878" t="s">
        <v>3756</v>
      </c>
      <c r="I1878" s="3" t="str">
        <f>+IFERROR(VLOOKUP(C1878,'Mov 2023 hasta ahora '!$C$2:$D$314,2,FALSE),"NO")</f>
        <v>NO</v>
      </c>
      <c r="K1878">
        <v>5</v>
      </c>
      <c r="L1878" t="s">
        <v>836</v>
      </c>
      <c r="M1878">
        <v>18</v>
      </c>
    </row>
    <row r="1879" spans="1:18" hidden="1">
      <c r="A1879" s="23" t="s">
        <v>3757</v>
      </c>
      <c r="B1879" s="23" t="s">
        <v>3758</v>
      </c>
      <c r="C1879" s="23">
        <v>1651</v>
      </c>
      <c r="D1879" t="s">
        <v>436</v>
      </c>
      <c r="I1879" s="3" t="str">
        <f>+IFERROR(VLOOKUP(C1879,'Mov 2023 hasta ahora '!$C$2:$D$314,2,FALSE),"NO")</f>
        <v>NO</v>
      </c>
      <c r="K1879">
        <v>6</v>
      </c>
      <c r="L1879" t="s">
        <v>836</v>
      </c>
      <c r="M1879">
        <v>24</v>
      </c>
      <c r="O1879" s="29" t="s">
        <v>8691</v>
      </c>
      <c r="P1879" s="25" t="s">
        <v>8687</v>
      </c>
      <c r="Q1879" s="25">
        <v>1228</v>
      </c>
      <c r="R1879" t="s">
        <v>436</v>
      </c>
    </row>
    <row r="1880" spans="1:18" hidden="1">
      <c r="A1880" s="23" t="s">
        <v>3759</v>
      </c>
      <c r="B1880" s="23" t="s">
        <v>3760</v>
      </c>
      <c r="C1880" s="23">
        <v>1652</v>
      </c>
      <c r="D1880" t="s">
        <v>436</v>
      </c>
      <c r="I1880" s="3" t="str">
        <f>+IFERROR(VLOOKUP(C1880,'Mov 2023 hasta ahora '!$C$2:$D$314,2,FALSE),"NO")</f>
        <v>NO</v>
      </c>
      <c r="K1880">
        <v>6</v>
      </c>
      <c r="L1880" t="s">
        <v>836</v>
      </c>
      <c r="M1880">
        <v>24</v>
      </c>
      <c r="O1880" s="29" t="s">
        <v>8691</v>
      </c>
      <c r="P1880" s="25" t="s">
        <v>8687</v>
      </c>
      <c r="Q1880" s="25">
        <v>1228</v>
      </c>
      <c r="R1880" t="s">
        <v>436</v>
      </c>
    </row>
    <row r="1881" spans="1:18" hidden="1">
      <c r="A1881" t="s">
        <v>3761</v>
      </c>
      <c r="B1881" t="s">
        <v>3762</v>
      </c>
      <c r="I1881" s="3" t="str">
        <f>+IFERROR(VLOOKUP(C1881,'Mov 2023 hasta ahora '!$C$2:$D$314,2,FALSE),"NO")</f>
        <v>NO</v>
      </c>
      <c r="K1881">
        <v>5</v>
      </c>
      <c r="L1881" t="s">
        <v>836</v>
      </c>
      <c r="M1881">
        <v>18</v>
      </c>
    </row>
    <row r="1882" spans="1:18" hidden="1">
      <c r="A1882" s="23" t="s">
        <v>3763</v>
      </c>
      <c r="B1882" s="23" t="s">
        <v>3764</v>
      </c>
      <c r="C1882" s="23">
        <v>1653</v>
      </c>
      <c r="D1882" t="s">
        <v>436</v>
      </c>
      <c r="I1882" s="3" t="str">
        <f>+IFERROR(VLOOKUP(C1882,'Mov 2023 hasta ahora '!$C$2:$D$314,2,FALSE),"NO")</f>
        <v>NO</v>
      </c>
      <c r="K1882">
        <v>6</v>
      </c>
      <c r="L1882" t="s">
        <v>836</v>
      </c>
      <c r="M1882">
        <v>24</v>
      </c>
      <c r="O1882" s="29" t="s">
        <v>8691</v>
      </c>
      <c r="P1882" s="25" t="s">
        <v>8687</v>
      </c>
      <c r="Q1882" s="25">
        <v>1228</v>
      </c>
      <c r="R1882" t="s">
        <v>436</v>
      </c>
    </row>
    <row r="1883" spans="1:18" hidden="1">
      <c r="A1883" s="23" t="s">
        <v>3765</v>
      </c>
      <c r="B1883" s="23" t="s">
        <v>3766</v>
      </c>
      <c r="C1883" s="23">
        <v>1654</v>
      </c>
      <c r="D1883" t="s">
        <v>436</v>
      </c>
      <c r="I1883" s="3" t="str">
        <f>+IFERROR(VLOOKUP(C1883,'Mov 2023 hasta ahora '!$C$2:$D$314,2,FALSE),"NO")</f>
        <v>NO</v>
      </c>
      <c r="K1883">
        <v>6</v>
      </c>
      <c r="L1883" t="s">
        <v>836</v>
      </c>
      <c r="M1883">
        <v>24</v>
      </c>
      <c r="O1883" s="29" t="s">
        <v>8691</v>
      </c>
      <c r="P1883" s="25" t="s">
        <v>8687</v>
      </c>
      <c r="Q1883" s="25">
        <v>1228</v>
      </c>
      <c r="R1883" t="s">
        <v>436</v>
      </c>
    </row>
    <row r="1884" spans="1:18" hidden="1">
      <c r="A1884" s="23" t="s">
        <v>3767</v>
      </c>
      <c r="B1884" s="23" t="s">
        <v>3768</v>
      </c>
      <c r="C1884" s="23">
        <v>1655</v>
      </c>
      <c r="D1884" t="s">
        <v>436</v>
      </c>
      <c r="I1884" s="3" t="str">
        <f>+IFERROR(VLOOKUP(C1884,'Mov 2023 hasta ahora '!$C$2:$D$314,2,FALSE),"NO")</f>
        <v>NO</v>
      </c>
      <c r="K1884">
        <v>6</v>
      </c>
      <c r="L1884" t="s">
        <v>836</v>
      </c>
      <c r="M1884">
        <v>24</v>
      </c>
      <c r="O1884" s="29" t="s">
        <v>8691</v>
      </c>
      <c r="P1884" s="25" t="s">
        <v>8687</v>
      </c>
      <c r="Q1884" s="25">
        <v>1228</v>
      </c>
      <c r="R1884" t="s">
        <v>436</v>
      </c>
    </row>
    <row r="1885" spans="1:18" hidden="1">
      <c r="A1885" t="s">
        <v>3769</v>
      </c>
      <c r="B1885" t="s">
        <v>3770</v>
      </c>
      <c r="I1885" s="3" t="str">
        <f>+IFERROR(VLOOKUP(C1885,'Mov 2023 hasta ahora '!$C$2:$D$314,2,FALSE),"NO")</f>
        <v>NO</v>
      </c>
      <c r="K1885">
        <v>5</v>
      </c>
      <c r="L1885" t="s">
        <v>836</v>
      </c>
      <c r="M1885">
        <v>18</v>
      </c>
    </row>
    <row r="1886" spans="1:18" s="13" customFormat="1" hidden="1">
      <c r="A1886" s="23" t="s">
        <v>3771</v>
      </c>
      <c r="B1886" s="23" t="s">
        <v>3772</v>
      </c>
      <c r="C1886" s="23">
        <v>1603</v>
      </c>
      <c r="D1886" s="13" t="s">
        <v>436</v>
      </c>
      <c r="G1886"/>
      <c r="I1886" s="14" t="str">
        <f>+IFERROR(VLOOKUP(C1886,'Mov 2023 hasta ahora '!$C$2:$D$314,2,FALSE),"NO")</f>
        <v>NO</v>
      </c>
      <c r="K1886">
        <v>6</v>
      </c>
      <c r="L1886" t="s">
        <v>836</v>
      </c>
      <c r="M1886">
        <v>24</v>
      </c>
      <c r="O1886" s="29" t="s">
        <v>8752</v>
      </c>
      <c r="P1886" s="25" t="s">
        <v>8995</v>
      </c>
      <c r="Q1886" s="25">
        <v>1481</v>
      </c>
      <c r="R1886" t="s">
        <v>436</v>
      </c>
    </row>
    <row r="1887" spans="1:18" s="13" customFormat="1" hidden="1">
      <c r="A1887" s="23" t="s">
        <v>3773</v>
      </c>
      <c r="B1887" s="23" t="s">
        <v>3774</v>
      </c>
      <c r="C1887" s="23">
        <v>1602</v>
      </c>
      <c r="D1887" s="13" t="s">
        <v>436</v>
      </c>
      <c r="G1887"/>
      <c r="I1887" s="14" t="str">
        <f>+IFERROR(VLOOKUP(C1887,'Mov 2023 hasta ahora '!$C$2:$D$314,2,FALSE),"NO")</f>
        <v>NO</v>
      </c>
      <c r="K1887">
        <v>6</v>
      </c>
      <c r="L1887" t="s">
        <v>836</v>
      </c>
      <c r="M1887">
        <v>24</v>
      </c>
      <c r="O1887" s="29" t="s">
        <v>8766</v>
      </c>
      <c r="P1887" s="25" t="s">
        <v>8996</v>
      </c>
      <c r="Q1887" s="25">
        <v>1473</v>
      </c>
      <c r="R1887" t="s">
        <v>436</v>
      </c>
    </row>
    <row r="1888" spans="1:18" hidden="1">
      <c r="A1888" t="s">
        <v>3775</v>
      </c>
      <c r="B1888" t="s">
        <v>3776</v>
      </c>
      <c r="I1888" s="3" t="str">
        <f>+IFERROR(VLOOKUP(C1888,'Mov 2023 hasta ahora '!$C$2:$D$314,2,FALSE),"NO")</f>
        <v>NO</v>
      </c>
      <c r="K1888">
        <v>4</v>
      </c>
      <c r="L1888" t="s">
        <v>836</v>
      </c>
      <c r="M1888">
        <v>14</v>
      </c>
    </row>
    <row r="1889" spans="1:18" hidden="1">
      <c r="A1889" t="s">
        <v>3777</v>
      </c>
      <c r="B1889" t="s">
        <v>3778</v>
      </c>
      <c r="I1889" s="3" t="str">
        <f>+IFERROR(VLOOKUP(C1889,'Mov 2023 hasta ahora '!$C$2:$D$314,2,FALSE),"NO")</f>
        <v>NO</v>
      </c>
      <c r="K1889">
        <v>5</v>
      </c>
      <c r="L1889" t="s">
        <v>836</v>
      </c>
      <c r="M1889">
        <v>18</v>
      </c>
    </row>
    <row r="1890" spans="1:18" hidden="1">
      <c r="A1890" s="23" t="s">
        <v>3779</v>
      </c>
      <c r="B1890" s="23" t="s">
        <v>3780</v>
      </c>
      <c r="C1890" s="23">
        <v>1656</v>
      </c>
      <c r="D1890" t="s">
        <v>436</v>
      </c>
      <c r="I1890" s="3" t="str">
        <f>+IFERROR(VLOOKUP(C1890,'Mov 2023 hasta ahora '!$C$2:$D$314,2,FALSE),"NO")</f>
        <v>NO</v>
      </c>
      <c r="K1890">
        <v>6</v>
      </c>
      <c r="L1890" t="s">
        <v>836</v>
      </c>
      <c r="M1890">
        <v>24</v>
      </c>
      <c r="O1890" s="29" t="s">
        <v>8691</v>
      </c>
      <c r="P1890" s="25" t="s">
        <v>8687</v>
      </c>
      <c r="Q1890" s="25">
        <v>1228</v>
      </c>
      <c r="R1890" t="s">
        <v>436</v>
      </c>
    </row>
    <row r="1891" spans="1:18" hidden="1">
      <c r="A1891" s="23" t="s">
        <v>3781</v>
      </c>
      <c r="B1891" s="23" t="s">
        <v>3782</v>
      </c>
      <c r="C1891" s="23">
        <v>1657</v>
      </c>
      <c r="D1891" t="s">
        <v>436</v>
      </c>
      <c r="I1891" s="3" t="str">
        <f>+IFERROR(VLOOKUP(C1891,'Mov 2023 hasta ahora '!$C$2:$D$314,2,FALSE),"NO")</f>
        <v>NO</v>
      </c>
      <c r="K1891">
        <v>6</v>
      </c>
      <c r="L1891" t="s">
        <v>836</v>
      </c>
      <c r="M1891">
        <v>24</v>
      </c>
      <c r="O1891" s="29" t="s">
        <v>8691</v>
      </c>
      <c r="P1891" s="25" t="s">
        <v>8687</v>
      </c>
      <c r="Q1891" s="25">
        <v>1228</v>
      </c>
      <c r="R1891" t="s">
        <v>436</v>
      </c>
    </row>
    <row r="1892" spans="1:18" hidden="1">
      <c r="A1892" t="s">
        <v>3783</v>
      </c>
      <c r="B1892" t="s">
        <v>3784</v>
      </c>
      <c r="I1892" s="3" t="str">
        <f>+IFERROR(VLOOKUP(C1892,'Mov 2023 hasta ahora '!$C$2:$D$314,2,FALSE),"NO")</f>
        <v>NO</v>
      </c>
      <c r="K1892">
        <v>5</v>
      </c>
      <c r="L1892" t="s">
        <v>836</v>
      </c>
      <c r="M1892">
        <v>18</v>
      </c>
    </row>
    <row r="1893" spans="1:18" hidden="1">
      <c r="A1893" s="23" t="s">
        <v>3785</v>
      </c>
      <c r="B1893" s="23" t="s">
        <v>3786</v>
      </c>
      <c r="C1893" s="23">
        <v>1658</v>
      </c>
      <c r="D1893" t="s">
        <v>436</v>
      </c>
      <c r="I1893" s="3" t="str">
        <f>+IFERROR(VLOOKUP(C1893,'Mov 2023 hasta ahora '!$C$2:$D$314,2,FALSE),"NO")</f>
        <v>NO</v>
      </c>
      <c r="K1893">
        <v>6</v>
      </c>
      <c r="L1893" t="s">
        <v>836</v>
      </c>
      <c r="M1893">
        <v>24</v>
      </c>
      <c r="O1893" s="29" t="s">
        <v>8691</v>
      </c>
      <c r="P1893" s="25" t="s">
        <v>8687</v>
      </c>
      <c r="Q1893" s="25">
        <v>1228</v>
      </c>
      <c r="R1893" t="s">
        <v>436</v>
      </c>
    </row>
    <row r="1894" spans="1:18" hidden="1">
      <c r="A1894" s="23" t="s">
        <v>3787</v>
      </c>
      <c r="B1894" s="23" t="s">
        <v>3788</v>
      </c>
      <c r="C1894" s="23">
        <v>1659</v>
      </c>
      <c r="D1894" t="s">
        <v>436</v>
      </c>
      <c r="I1894" s="3" t="str">
        <f>+IFERROR(VLOOKUP(C1894,'Mov 2023 hasta ahora '!$C$2:$D$314,2,FALSE),"NO")</f>
        <v>NO</v>
      </c>
      <c r="K1894">
        <v>6</v>
      </c>
      <c r="L1894" t="s">
        <v>836</v>
      </c>
      <c r="M1894">
        <v>24</v>
      </c>
      <c r="O1894" s="29" t="s">
        <v>8691</v>
      </c>
      <c r="P1894" s="25" t="s">
        <v>8687</v>
      </c>
      <c r="Q1894" s="25">
        <v>1228</v>
      </c>
      <c r="R1894" t="s">
        <v>436</v>
      </c>
    </row>
    <row r="1895" spans="1:18" hidden="1">
      <c r="A1895" s="23" t="s">
        <v>3789</v>
      </c>
      <c r="B1895" s="23" t="s">
        <v>3790</v>
      </c>
      <c r="C1895" s="23">
        <v>1660</v>
      </c>
      <c r="D1895" t="s">
        <v>436</v>
      </c>
      <c r="I1895" s="3" t="str">
        <f>+IFERROR(VLOOKUP(C1895,'Mov 2023 hasta ahora '!$C$2:$D$314,2,FALSE),"NO")</f>
        <v>NO</v>
      </c>
      <c r="K1895">
        <v>6</v>
      </c>
      <c r="L1895" t="s">
        <v>836</v>
      </c>
      <c r="M1895">
        <v>24</v>
      </c>
      <c r="O1895" s="29" t="s">
        <v>8691</v>
      </c>
      <c r="P1895" s="25" t="s">
        <v>8687</v>
      </c>
      <c r="Q1895" s="25">
        <v>1228</v>
      </c>
      <c r="R1895" t="s">
        <v>436</v>
      </c>
    </row>
    <row r="1896" spans="1:18" hidden="1">
      <c r="A1896" t="s">
        <v>3791</v>
      </c>
      <c r="B1896" t="s">
        <v>3792</v>
      </c>
      <c r="I1896" s="3" t="str">
        <f>+IFERROR(VLOOKUP(C1896,'Mov 2023 hasta ahora '!$C$2:$D$314,2,FALSE),"NO")</f>
        <v>NO</v>
      </c>
      <c r="K1896">
        <v>5</v>
      </c>
      <c r="L1896" t="s">
        <v>836</v>
      </c>
      <c r="M1896">
        <v>18</v>
      </c>
    </row>
    <row r="1897" spans="1:18" hidden="1">
      <c r="A1897" s="23" t="s">
        <v>3793</v>
      </c>
      <c r="B1897" s="23" t="s">
        <v>3794</v>
      </c>
      <c r="C1897" s="23">
        <v>1661</v>
      </c>
      <c r="D1897" t="s">
        <v>436</v>
      </c>
      <c r="I1897" s="3" t="str">
        <f>+IFERROR(VLOOKUP(C1897,'Mov 2023 hasta ahora '!$C$2:$D$314,2,FALSE),"NO")</f>
        <v>NO</v>
      </c>
      <c r="K1897">
        <v>6</v>
      </c>
      <c r="L1897" t="s">
        <v>836</v>
      </c>
      <c r="M1897">
        <v>24</v>
      </c>
      <c r="O1897" s="29" t="s">
        <v>8691</v>
      </c>
      <c r="P1897" s="25" t="s">
        <v>8687</v>
      </c>
      <c r="Q1897" s="25">
        <v>1228</v>
      </c>
      <c r="R1897" t="s">
        <v>436</v>
      </c>
    </row>
    <row r="1898" spans="1:18" hidden="1">
      <c r="A1898" s="23" t="s">
        <v>3795</v>
      </c>
      <c r="B1898" s="23" t="s">
        <v>3796</v>
      </c>
      <c r="C1898" s="23">
        <v>1662</v>
      </c>
      <c r="D1898" t="s">
        <v>436</v>
      </c>
      <c r="I1898" s="3" t="str">
        <f>+IFERROR(VLOOKUP(C1898,'Mov 2023 hasta ahora '!$C$2:$D$314,2,FALSE),"NO")</f>
        <v>NO</v>
      </c>
      <c r="K1898">
        <v>6</v>
      </c>
      <c r="L1898" t="s">
        <v>836</v>
      </c>
      <c r="M1898">
        <v>24</v>
      </c>
      <c r="O1898" s="29" t="s">
        <v>8691</v>
      </c>
      <c r="P1898" s="25" t="s">
        <v>8687</v>
      </c>
      <c r="Q1898" s="25">
        <v>1228</v>
      </c>
      <c r="R1898" t="s">
        <v>436</v>
      </c>
    </row>
    <row r="1899" spans="1:18" hidden="1">
      <c r="A1899" t="s">
        <v>3797</v>
      </c>
      <c r="B1899" t="s">
        <v>3798</v>
      </c>
      <c r="I1899" s="3" t="str">
        <f>+IFERROR(VLOOKUP(C1899,'Mov 2023 hasta ahora '!$C$2:$D$314,2,FALSE),"NO")</f>
        <v>NO</v>
      </c>
      <c r="K1899">
        <v>5</v>
      </c>
      <c r="L1899" t="s">
        <v>836</v>
      </c>
      <c r="M1899">
        <v>18</v>
      </c>
    </row>
    <row r="1900" spans="1:18" hidden="1">
      <c r="A1900" s="23" t="s">
        <v>3799</v>
      </c>
      <c r="B1900" s="23" t="s">
        <v>3800</v>
      </c>
      <c r="C1900" s="23">
        <v>1663</v>
      </c>
      <c r="D1900" t="s">
        <v>436</v>
      </c>
      <c r="I1900" s="3" t="str">
        <f>+IFERROR(VLOOKUP(C1900,'Mov 2023 hasta ahora '!$C$2:$D$314,2,FALSE),"NO")</f>
        <v>NO</v>
      </c>
      <c r="K1900">
        <v>6</v>
      </c>
      <c r="L1900" t="s">
        <v>836</v>
      </c>
      <c r="M1900">
        <v>24</v>
      </c>
      <c r="O1900" s="29" t="s">
        <v>8691</v>
      </c>
      <c r="P1900" s="25" t="s">
        <v>8687</v>
      </c>
      <c r="Q1900" s="25">
        <v>1228</v>
      </c>
      <c r="R1900" t="s">
        <v>436</v>
      </c>
    </row>
    <row r="1901" spans="1:18" hidden="1">
      <c r="A1901" s="23" t="s">
        <v>3801</v>
      </c>
      <c r="B1901" s="23" t="s">
        <v>3802</v>
      </c>
      <c r="C1901" s="23">
        <v>1664</v>
      </c>
      <c r="D1901" t="s">
        <v>436</v>
      </c>
      <c r="I1901" s="3" t="str">
        <f>+IFERROR(VLOOKUP(C1901,'Mov 2023 hasta ahora '!$C$2:$D$314,2,FALSE),"NO")</f>
        <v>NO</v>
      </c>
      <c r="K1901">
        <v>6</v>
      </c>
      <c r="L1901" t="s">
        <v>836</v>
      </c>
      <c r="M1901">
        <v>24</v>
      </c>
      <c r="O1901" s="29" t="s">
        <v>8691</v>
      </c>
      <c r="P1901" s="25" t="s">
        <v>8687</v>
      </c>
      <c r="Q1901" s="25">
        <v>1228</v>
      </c>
      <c r="R1901" t="s">
        <v>436</v>
      </c>
    </row>
    <row r="1902" spans="1:18" hidden="1">
      <c r="A1902" t="s">
        <v>3803</v>
      </c>
      <c r="B1902" t="s">
        <v>3804</v>
      </c>
      <c r="I1902" s="3" t="str">
        <f>+IFERROR(VLOOKUP(C1902,'Mov 2023 hasta ahora '!$C$2:$D$314,2,FALSE),"NO")</f>
        <v>NO</v>
      </c>
      <c r="K1902">
        <v>5</v>
      </c>
      <c r="L1902" t="s">
        <v>836</v>
      </c>
      <c r="M1902">
        <v>18</v>
      </c>
    </row>
    <row r="1903" spans="1:18" hidden="1">
      <c r="A1903" s="23" t="s">
        <v>3805</v>
      </c>
      <c r="B1903" s="23" t="s">
        <v>3806</v>
      </c>
      <c r="C1903" s="23">
        <v>1665</v>
      </c>
      <c r="D1903" t="s">
        <v>436</v>
      </c>
      <c r="I1903" s="3" t="str">
        <f>+IFERROR(VLOOKUP(C1903,'Mov 2023 hasta ahora '!$C$2:$D$314,2,FALSE),"NO")</f>
        <v>NO</v>
      </c>
      <c r="K1903">
        <v>6</v>
      </c>
      <c r="L1903" t="s">
        <v>836</v>
      </c>
      <c r="M1903">
        <v>24</v>
      </c>
      <c r="O1903" s="29" t="s">
        <v>8691</v>
      </c>
      <c r="P1903" s="25" t="s">
        <v>8687</v>
      </c>
      <c r="Q1903" s="25">
        <v>1228</v>
      </c>
      <c r="R1903" t="s">
        <v>436</v>
      </c>
    </row>
    <row r="1904" spans="1:18" hidden="1">
      <c r="A1904" s="23" t="s">
        <v>3807</v>
      </c>
      <c r="B1904" s="23" t="s">
        <v>3808</v>
      </c>
      <c r="C1904" s="23">
        <v>1666</v>
      </c>
      <c r="D1904" t="s">
        <v>436</v>
      </c>
      <c r="I1904" s="3" t="str">
        <f>+IFERROR(VLOOKUP(C1904,'Mov 2023 hasta ahora '!$C$2:$D$314,2,FALSE),"NO")</f>
        <v>NO</v>
      </c>
      <c r="K1904">
        <v>6</v>
      </c>
      <c r="L1904" t="s">
        <v>836</v>
      </c>
      <c r="M1904">
        <v>24</v>
      </c>
      <c r="O1904" s="29" t="s">
        <v>8691</v>
      </c>
      <c r="P1904" s="25" t="s">
        <v>8687</v>
      </c>
      <c r="Q1904" s="25">
        <v>1228</v>
      </c>
      <c r="R1904" t="s">
        <v>436</v>
      </c>
    </row>
    <row r="1905" spans="1:18" hidden="1">
      <c r="A1905" t="s">
        <v>3809</v>
      </c>
      <c r="B1905" t="s">
        <v>3810</v>
      </c>
      <c r="I1905" s="3" t="str">
        <f>+IFERROR(VLOOKUP(C1905,'Mov 2023 hasta ahora '!$C$2:$D$314,2,FALSE),"NO")</f>
        <v>NO</v>
      </c>
      <c r="K1905">
        <v>5</v>
      </c>
      <c r="L1905" t="s">
        <v>836</v>
      </c>
      <c r="M1905">
        <v>18</v>
      </c>
    </row>
    <row r="1906" spans="1:18" hidden="1">
      <c r="A1906" s="23" t="s">
        <v>3811</v>
      </c>
      <c r="B1906" s="23" t="s">
        <v>3812</v>
      </c>
      <c r="C1906" s="23">
        <v>1667</v>
      </c>
      <c r="D1906" t="s">
        <v>436</v>
      </c>
      <c r="I1906" s="3" t="str">
        <f>+IFERROR(VLOOKUP(C1906,'Mov 2023 hasta ahora '!$C$2:$D$314,2,FALSE),"NO")</f>
        <v>NO</v>
      </c>
      <c r="K1906">
        <v>6</v>
      </c>
      <c r="L1906" t="s">
        <v>836</v>
      </c>
      <c r="M1906">
        <v>24</v>
      </c>
      <c r="O1906" s="29" t="s">
        <v>8691</v>
      </c>
      <c r="P1906" s="25" t="s">
        <v>8687</v>
      </c>
      <c r="Q1906" s="25">
        <v>1228</v>
      </c>
      <c r="R1906" t="s">
        <v>436</v>
      </c>
    </row>
    <row r="1907" spans="1:18" hidden="1">
      <c r="A1907" s="23" t="s">
        <v>3813</v>
      </c>
      <c r="B1907" s="23" t="s">
        <v>3814</v>
      </c>
      <c r="C1907" s="23">
        <v>1668</v>
      </c>
      <c r="D1907" t="s">
        <v>436</v>
      </c>
      <c r="I1907" s="3" t="str">
        <f>+IFERROR(VLOOKUP(C1907,'Mov 2023 hasta ahora '!$C$2:$D$314,2,FALSE),"NO")</f>
        <v>NO</v>
      </c>
      <c r="K1907">
        <v>6</v>
      </c>
      <c r="L1907" t="s">
        <v>836</v>
      </c>
      <c r="M1907">
        <v>24</v>
      </c>
      <c r="O1907" s="29" t="s">
        <v>8691</v>
      </c>
      <c r="P1907" s="25" t="s">
        <v>8687</v>
      </c>
      <c r="Q1907" s="25">
        <v>1228</v>
      </c>
      <c r="R1907" t="s">
        <v>436</v>
      </c>
    </row>
    <row r="1908" spans="1:18" hidden="1">
      <c r="A1908" t="s">
        <v>3815</v>
      </c>
      <c r="B1908" t="s">
        <v>3816</v>
      </c>
      <c r="I1908" s="3" t="str">
        <f>+IFERROR(VLOOKUP(C1908,'Mov 2023 hasta ahora '!$C$2:$D$314,2,FALSE),"NO")</f>
        <v>NO</v>
      </c>
      <c r="K1908">
        <v>5</v>
      </c>
      <c r="L1908" t="s">
        <v>836</v>
      </c>
      <c r="M1908">
        <v>18</v>
      </c>
    </row>
    <row r="1909" spans="1:18" hidden="1">
      <c r="A1909" s="23" t="s">
        <v>3817</v>
      </c>
      <c r="B1909" s="23" t="s">
        <v>3818</v>
      </c>
      <c r="C1909" s="23">
        <v>1669</v>
      </c>
      <c r="D1909" t="s">
        <v>436</v>
      </c>
      <c r="I1909" s="3" t="str">
        <f>+IFERROR(VLOOKUP(C1909,'Mov 2023 hasta ahora '!$C$2:$D$314,2,FALSE),"NO")</f>
        <v>NO</v>
      </c>
      <c r="K1909">
        <v>6</v>
      </c>
      <c r="L1909" t="s">
        <v>836</v>
      </c>
      <c r="M1909">
        <v>24</v>
      </c>
      <c r="O1909" s="29" t="s">
        <v>8691</v>
      </c>
      <c r="P1909" s="25" t="s">
        <v>8687</v>
      </c>
      <c r="Q1909" s="25">
        <v>1228</v>
      </c>
      <c r="R1909" t="s">
        <v>436</v>
      </c>
    </row>
    <row r="1910" spans="1:18" hidden="1">
      <c r="A1910" s="23" t="s">
        <v>3819</v>
      </c>
      <c r="B1910" s="23" t="s">
        <v>3820</v>
      </c>
      <c r="C1910" s="23">
        <v>1670</v>
      </c>
      <c r="D1910" t="s">
        <v>436</v>
      </c>
      <c r="I1910" s="3" t="str">
        <f>+IFERROR(VLOOKUP(C1910,'Mov 2023 hasta ahora '!$C$2:$D$314,2,FALSE),"NO")</f>
        <v>NO</v>
      </c>
      <c r="K1910">
        <v>6</v>
      </c>
      <c r="L1910" t="s">
        <v>836</v>
      </c>
      <c r="M1910">
        <v>24</v>
      </c>
      <c r="O1910" s="29" t="s">
        <v>8691</v>
      </c>
      <c r="P1910" s="25" t="s">
        <v>8687</v>
      </c>
      <c r="Q1910" s="25">
        <v>1228</v>
      </c>
      <c r="R1910" t="s">
        <v>436</v>
      </c>
    </row>
    <row r="1911" spans="1:18" hidden="1">
      <c r="A1911" t="s">
        <v>3821</v>
      </c>
      <c r="B1911" t="s">
        <v>3822</v>
      </c>
      <c r="I1911" s="3" t="str">
        <f>+IFERROR(VLOOKUP(C1911,'Mov 2023 hasta ahora '!$C$2:$D$314,2,FALSE),"NO")</f>
        <v>NO</v>
      </c>
      <c r="K1911">
        <v>5</v>
      </c>
      <c r="L1911" t="s">
        <v>836</v>
      </c>
      <c r="M1911">
        <v>18</v>
      </c>
    </row>
    <row r="1912" spans="1:18" s="13" customFormat="1" hidden="1">
      <c r="A1912" s="23" t="s">
        <v>3823</v>
      </c>
      <c r="B1912" s="23" t="s">
        <v>3824</v>
      </c>
      <c r="C1912" s="23">
        <v>1599</v>
      </c>
      <c r="D1912" s="13" t="s">
        <v>436</v>
      </c>
      <c r="G1912"/>
      <c r="I1912" s="14" t="str">
        <f>+IFERROR(VLOOKUP(C1912,'Mov 2023 hasta ahora '!$C$2:$D$314,2,FALSE),"NO")</f>
        <v>NO</v>
      </c>
      <c r="K1912">
        <v>6</v>
      </c>
      <c r="L1912" t="s">
        <v>836</v>
      </c>
      <c r="M1912">
        <v>24</v>
      </c>
      <c r="O1912" s="29" t="s">
        <v>8795</v>
      </c>
      <c r="P1912" s="25" t="s">
        <v>8798</v>
      </c>
      <c r="Q1912" s="25">
        <v>1489</v>
      </c>
      <c r="R1912" t="s">
        <v>436</v>
      </c>
    </row>
    <row r="1913" spans="1:18" s="13" customFormat="1" hidden="1">
      <c r="A1913" s="23" t="s">
        <v>3825</v>
      </c>
      <c r="B1913" s="23" t="s">
        <v>3826</v>
      </c>
      <c r="C1913" s="23">
        <v>1598</v>
      </c>
      <c r="D1913" s="13" t="s">
        <v>436</v>
      </c>
      <c r="G1913"/>
      <c r="I1913" s="14" t="str">
        <f>+IFERROR(VLOOKUP(C1913,'Mov 2023 hasta ahora '!$C$2:$D$314,2,FALSE),"NO")</f>
        <v>NO</v>
      </c>
      <c r="K1913">
        <v>6</v>
      </c>
      <c r="L1913" t="s">
        <v>836</v>
      </c>
      <c r="M1913">
        <v>24</v>
      </c>
      <c r="O1913" s="29" t="s">
        <v>8804</v>
      </c>
      <c r="P1913" s="25" t="s">
        <v>8808</v>
      </c>
      <c r="Q1913" s="25">
        <v>1497</v>
      </c>
      <c r="R1913" s="13" t="s">
        <v>436</v>
      </c>
    </row>
    <row r="1914" spans="1:18" hidden="1">
      <c r="A1914" t="s">
        <v>3827</v>
      </c>
      <c r="B1914" t="s">
        <v>3828</v>
      </c>
      <c r="I1914" s="3" t="str">
        <f>+IFERROR(VLOOKUP(C1914,'Mov 2023 hasta ahora '!$C$2:$D$314,2,FALSE),"NO")</f>
        <v>NO</v>
      </c>
      <c r="K1914">
        <v>4</v>
      </c>
      <c r="L1914" t="s">
        <v>836</v>
      </c>
      <c r="M1914">
        <v>14</v>
      </c>
    </row>
    <row r="1915" spans="1:18" hidden="1">
      <c r="A1915" t="s">
        <v>3829</v>
      </c>
      <c r="B1915" t="s">
        <v>3830</v>
      </c>
      <c r="I1915" s="3" t="str">
        <f>+IFERROR(VLOOKUP(C1915,'Mov 2023 hasta ahora '!$C$2:$D$314,2,FALSE),"NO")</f>
        <v>NO</v>
      </c>
      <c r="K1915">
        <v>5</v>
      </c>
      <c r="L1915" t="s">
        <v>836</v>
      </c>
      <c r="M1915">
        <v>18</v>
      </c>
    </row>
    <row r="1916" spans="1:18" hidden="1">
      <c r="A1916" s="23" t="s">
        <v>3831</v>
      </c>
      <c r="B1916" s="23" t="s">
        <v>3832</v>
      </c>
      <c r="C1916" s="23">
        <v>1671</v>
      </c>
      <c r="D1916" t="s">
        <v>436</v>
      </c>
      <c r="I1916" s="3" t="str">
        <f>+IFERROR(VLOOKUP(C1916,'Mov 2023 hasta ahora '!$C$2:$D$314,2,FALSE),"NO")</f>
        <v>NO</v>
      </c>
      <c r="K1916">
        <v>6</v>
      </c>
      <c r="L1916" t="s">
        <v>836</v>
      </c>
      <c r="M1916">
        <v>24</v>
      </c>
      <c r="O1916" s="29" t="s">
        <v>8691</v>
      </c>
      <c r="P1916" s="25" t="s">
        <v>8687</v>
      </c>
      <c r="Q1916" s="25">
        <v>1228</v>
      </c>
      <c r="R1916" t="s">
        <v>436</v>
      </c>
    </row>
    <row r="1917" spans="1:18" hidden="1">
      <c r="A1917" s="23" t="s">
        <v>3833</v>
      </c>
      <c r="B1917" s="23" t="s">
        <v>3834</v>
      </c>
      <c r="C1917" s="23">
        <v>1672</v>
      </c>
      <c r="D1917" t="s">
        <v>436</v>
      </c>
      <c r="I1917" s="3" t="str">
        <f>+IFERROR(VLOOKUP(C1917,'Mov 2023 hasta ahora '!$C$2:$D$314,2,FALSE),"NO")</f>
        <v>NO</v>
      </c>
      <c r="K1917">
        <v>6</v>
      </c>
      <c r="L1917" t="s">
        <v>836</v>
      </c>
      <c r="M1917">
        <v>24</v>
      </c>
      <c r="O1917" s="29" t="s">
        <v>8691</v>
      </c>
      <c r="P1917" s="25" t="s">
        <v>8687</v>
      </c>
      <c r="Q1917" s="25">
        <v>1228</v>
      </c>
      <c r="R1917" t="s">
        <v>436</v>
      </c>
    </row>
    <row r="1918" spans="1:18" hidden="1">
      <c r="A1918" s="23" t="s">
        <v>3835</v>
      </c>
      <c r="B1918" s="23" t="s">
        <v>3836</v>
      </c>
      <c r="C1918" s="23">
        <v>1673</v>
      </c>
      <c r="D1918" t="s">
        <v>436</v>
      </c>
      <c r="I1918" s="3" t="str">
        <f>+IFERROR(VLOOKUP(C1918,'Mov 2023 hasta ahora '!$C$2:$D$314,2,FALSE),"NO")</f>
        <v>NO</v>
      </c>
      <c r="K1918">
        <v>6</v>
      </c>
      <c r="L1918" t="s">
        <v>836</v>
      </c>
      <c r="M1918">
        <v>24</v>
      </c>
      <c r="O1918" s="29" t="s">
        <v>8691</v>
      </c>
      <c r="P1918" s="25" t="s">
        <v>8687</v>
      </c>
      <c r="Q1918" s="25">
        <v>1228</v>
      </c>
      <c r="R1918" t="s">
        <v>436</v>
      </c>
    </row>
    <row r="1919" spans="1:18" hidden="1">
      <c r="A1919" t="s">
        <v>3837</v>
      </c>
      <c r="B1919" t="s">
        <v>3838</v>
      </c>
      <c r="I1919" s="3" t="str">
        <f>+IFERROR(VLOOKUP(C1919,'Mov 2023 hasta ahora '!$C$2:$D$314,2,FALSE),"NO")</f>
        <v>NO</v>
      </c>
      <c r="K1919">
        <v>5</v>
      </c>
      <c r="L1919" t="s">
        <v>836</v>
      </c>
      <c r="M1919">
        <v>18</v>
      </c>
    </row>
    <row r="1920" spans="1:18" hidden="1">
      <c r="A1920" s="23" t="s">
        <v>3839</v>
      </c>
      <c r="B1920" s="23" t="s">
        <v>3840</v>
      </c>
      <c r="C1920" s="23">
        <v>1674</v>
      </c>
      <c r="D1920" t="s">
        <v>436</v>
      </c>
      <c r="I1920" s="3" t="str">
        <f>+IFERROR(VLOOKUP(C1920,'Mov 2023 hasta ahora '!$C$2:$D$314,2,FALSE),"NO")</f>
        <v>NO</v>
      </c>
      <c r="K1920">
        <v>6</v>
      </c>
      <c r="L1920" t="s">
        <v>836</v>
      </c>
      <c r="M1920">
        <v>24</v>
      </c>
      <c r="O1920" s="29" t="s">
        <v>8691</v>
      </c>
      <c r="P1920" s="25" t="s">
        <v>8687</v>
      </c>
      <c r="Q1920" s="25">
        <v>1228</v>
      </c>
      <c r="R1920" t="s">
        <v>436</v>
      </c>
    </row>
    <row r="1921" spans="1:18" hidden="1">
      <c r="A1921" s="23" t="s">
        <v>3841</v>
      </c>
      <c r="B1921" s="23" t="s">
        <v>3842</v>
      </c>
      <c r="C1921" s="23">
        <v>1675</v>
      </c>
      <c r="D1921" t="s">
        <v>436</v>
      </c>
      <c r="I1921" s="3" t="str">
        <f>+IFERROR(VLOOKUP(C1921,'Mov 2023 hasta ahora '!$C$2:$D$314,2,FALSE),"NO")</f>
        <v>NO</v>
      </c>
      <c r="K1921">
        <v>6</v>
      </c>
      <c r="L1921" t="s">
        <v>836</v>
      </c>
      <c r="M1921">
        <v>24</v>
      </c>
      <c r="O1921" s="29" t="s">
        <v>8691</v>
      </c>
      <c r="P1921" s="25" t="s">
        <v>8687</v>
      </c>
      <c r="Q1921" s="25">
        <v>1228</v>
      </c>
      <c r="R1921" t="s">
        <v>436</v>
      </c>
    </row>
    <row r="1922" spans="1:18" hidden="1">
      <c r="A1922" s="23" t="s">
        <v>3843</v>
      </c>
      <c r="B1922" s="23" t="s">
        <v>3844</v>
      </c>
      <c r="C1922" s="23">
        <v>1676</v>
      </c>
      <c r="D1922" t="s">
        <v>436</v>
      </c>
      <c r="I1922" s="3" t="str">
        <f>+IFERROR(VLOOKUP(C1922,'Mov 2023 hasta ahora '!$C$2:$D$314,2,FALSE),"NO")</f>
        <v>NO</v>
      </c>
      <c r="K1922">
        <v>6</v>
      </c>
      <c r="L1922" t="s">
        <v>836</v>
      </c>
      <c r="M1922">
        <v>24</v>
      </c>
      <c r="O1922" s="29" t="s">
        <v>8691</v>
      </c>
      <c r="P1922" s="25" t="s">
        <v>8687</v>
      </c>
      <c r="Q1922" s="25">
        <v>1228</v>
      </c>
      <c r="R1922" t="s">
        <v>436</v>
      </c>
    </row>
    <row r="1923" spans="1:18" hidden="1">
      <c r="A1923" t="s">
        <v>3845</v>
      </c>
      <c r="B1923" t="s">
        <v>3846</v>
      </c>
      <c r="I1923" s="3" t="str">
        <f>+IFERROR(VLOOKUP(C1923,'Mov 2023 hasta ahora '!$C$2:$D$314,2,FALSE),"NO")</f>
        <v>NO</v>
      </c>
      <c r="K1923">
        <v>5</v>
      </c>
      <c r="L1923" t="s">
        <v>836</v>
      </c>
      <c r="M1923">
        <v>18</v>
      </c>
    </row>
    <row r="1924" spans="1:18" hidden="1">
      <c r="A1924" s="23" t="s">
        <v>3847</v>
      </c>
      <c r="B1924" s="23" t="s">
        <v>3848</v>
      </c>
      <c r="C1924" s="23">
        <v>1677</v>
      </c>
      <c r="D1924" t="s">
        <v>436</v>
      </c>
      <c r="I1924" s="3" t="str">
        <f>+IFERROR(VLOOKUP(C1924,'Mov 2023 hasta ahora '!$C$2:$D$314,2,FALSE),"NO")</f>
        <v>NO</v>
      </c>
      <c r="K1924">
        <v>6</v>
      </c>
      <c r="L1924" t="s">
        <v>836</v>
      </c>
      <c r="M1924">
        <v>24</v>
      </c>
      <c r="O1924" s="29" t="s">
        <v>8691</v>
      </c>
      <c r="P1924" s="25" t="s">
        <v>8687</v>
      </c>
      <c r="Q1924" s="25">
        <v>1228</v>
      </c>
      <c r="R1924" t="s">
        <v>436</v>
      </c>
    </row>
    <row r="1925" spans="1:18" hidden="1">
      <c r="A1925" s="23" t="s">
        <v>3849</v>
      </c>
      <c r="B1925" s="23" t="s">
        <v>3850</v>
      </c>
      <c r="C1925" s="23">
        <v>1678</v>
      </c>
      <c r="D1925" t="s">
        <v>436</v>
      </c>
      <c r="I1925" s="3" t="str">
        <f>+IFERROR(VLOOKUP(C1925,'Mov 2023 hasta ahora '!$C$2:$D$314,2,FALSE),"NO")</f>
        <v>NO</v>
      </c>
      <c r="K1925">
        <v>6</v>
      </c>
      <c r="L1925" t="s">
        <v>836</v>
      </c>
      <c r="M1925">
        <v>24</v>
      </c>
      <c r="O1925" s="29" t="s">
        <v>8691</v>
      </c>
      <c r="P1925" s="25" t="s">
        <v>8687</v>
      </c>
      <c r="Q1925" s="25">
        <v>1228</v>
      </c>
      <c r="R1925" t="s">
        <v>436</v>
      </c>
    </row>
    <row r="1926" spans="1:18" hidden="1">
      <c r="A1926" s="23" t="s">
        <v>3851</v>
      </c>
      <c r="B1926" s="23" t="s">
        <v>3852</v>
      </c>
      <c r="C1926" s="23">
        <v>1679</v>
      </c>
      <c r="D1926" t="s">
        <v>436</v>
      </c>
      <c r="I1926" s="3" t="str">
        <f>+IFERROR(VLOOKUP(C1926,'Mov 2023 hasta ahora '!$C$2:$D$314,2,FALSE),"NO")</f>
        <v>NO</v>
      </c>
      <c r="K1926">
        <v>6</v>
      </c>
      <c r="L1926" t="s">
        <v>836</v>
      </c>
      <c r="M1926">
        <v>24</v>
      </c>
      <c r="O1926" s="29" t="s">
        <v>8691</v>
      </c>
      <c r="P1926" s="25" t="s">
        <v>8687</v>
      </c>
      <c r="Q1926" s="25">
        <v>1228</v>
      </c>
      <c r="R1926" t="s">
        <v>436</v>
      </c>
    </row>
    <row r="1927" spans="1:18" hidden="1">
      <c r="A1927" t="s">
        <v>3853</v>
      </c>
      <c r="B1927" t="s">
        <v>3854</v>
      </c>
      <c r="I1927" s="3" t="str">
        <f>+IFERROR(VLOOKUP(C1927,'Mov 2023 hasta ahora '!$C$2:$D$314,2,FALSE),"NO")</f>
        <v>NO</v>
      </c>
      <c r="K1927">
        <v>4</v>
      </c>
      <c r="L1927" t="s">
        <v>836</v>
      </c>
      <c r="M1927">
        <v>14</v>
      </c>
    </row>
    <row r="1928" spans="1:18" hidden="1">
      <c r="A1928" t="s">
        <v>3855</v>
      </c>
      <c r="B1928" t="s">
        <v>3856</v>
      </c>
      <c r="I1928" s="3" t="str">
        <f>+IFERROR(VLOOKUP(C1928,'Mov 2023 hasta ahora '!$C$2:$D$314,2,FALSE),"NO")</f>
        <v>NO</v>
      </c>
      <c r="K1928">
        <v>5</v>
      </c>
      <c r="L1928" t="s">
        <v>836</v>
      </c>
      <c r="M1928">
        <v>18</v>
      </c>
    </row>
    <row r="1929" spans="1:18" hidden="1">
      <c r="A1929" s="23" t="s">
        <v>3857</v>
      </c>
      <c r="B1929" s="23" t="s">
        <v>3858</v>
      </c>
      <c r="C1929" s="23">
        <v>1680</v>
      </c>
      <c r="D1929" t="s">
        <v>436</v>
      </c>
      <c r="I1929" s="3" t="str">
        <f>+IFERROR(VLOOKUP(C1929,'Mov 2023 hasta ahora '!$C$2:$D$314,2,FALSE),"NO")</f>
        <v>NO</v>
      </c>
      <c r="K1929">
        <v>6</v>
      </c>
      <c r="L1929" t="s">
        <v>836</v>
      </c>
      <c r="M1929">
        <v>24</v>
      </c>
      <c r="O1929" s="29" t="s">
        <v>8691</v>
      </c>
      <c r="P1929" s="25" t="s">
        <v>8687</v>
      </c>
      <c r="Q1929" s="25">
        <v>1228</v>
      </c>
      <c r="R1929" t="s">
        <v>436</v>
      </c>
    </row>
    <row r="1930" spans="1:18" hidden="1">
      <c r="A1930" s="23" t="s">
        <v>3859</v>
      </c>
      <c r="B1930" s="23" t="s">
        <v>3860</v>
      </c>
      <c r="C1930" s="23">
        <v>1681</v>
      </c>
      <c r="D1930" t="s">
        <v>436</v>
      </c>
      <c r="I1930" s="3" t="str">
        <f>+IFERROR(VLOOKUP(C1930,'Mov 2023 hasta ahora '!$C$2:$D$314,2,FALSE),"NO")</f>
        <v>NO</v>
      </c>
      <c r="K1930">
        <v>6</v>
      </c>
      <c r="L1930" t="s">
        <v>836</v>
      </c>
      <c r="M1930">
        <v>24</v>
      </c>
      <c r="O1930" s="29" t="s">
        <v>8691</v>
      </c>
      <c r="P1930" s="25" t="s">
        <v>8687</v>
      </c>
      <c r="Q1930" s="25">
        <v>1228</v>
      </c>
      <c r="R1930" t="s">
        <v>436</v>
      </c>
    </row>
    <row r="1931" spans="1:18" hidden="1">
      <c r="A1931" s="23" t="s">
        <v>3861</v>
      </c>
      <c r="B1931" s="23" t="s">
        <v>3862</v>
      </c>
      <c r="C1931" s="23">
        <v>1682</v>
      </c>
      <c r="D1931" t="s">
        <v>436</v>
      </c>
      <c r="I1931" s="3" t="str">
        <f>+IFERROR(VLOOKUP(C1931,'Mov 2023 hasta ahora '!$C$2:$D$314,2,FALSE),"NO")</f>
        <v>NO</v>
      </c>
      <c r="K1931">
        <v>6</v>
      </c>
      <c r="L1931" t="s">
        <v>836</v>
      </c>
      <c r="M1931">
        <v>24</v>
      </c>
      <c r="O1931" s="29" t="s">
        <v>8691</v>
      </c>
      <c r="P1931" s="25" t="s">
        <v>8687</v>
      </c>
      <c r="Q1931" s="25">
        <v>1228</v>
      </c>
      <c r="R1931" t="s">
        <v>436</v>
      </c>
    </row>
    <row r="1932" spans="1:18" hidden="1">
      <c r="A1932" t="s">
        <v>3863</v>
      </c>
      <c r="B1932" t="s">
        <v>3864</v>
      </c>
      <c r="I1932" s="3" t="str">
        <f>+IFERROR(VLOOKUP(C1932,'Mov 2023 hasta ahora '!$C$2:$D$314,2,FALSE),"NO")</f>
        <v>NO</v>
      </c>
      <c r="K1932">
        <v>4</v>
      </c>
      <c r="L1932" t="s">
        <v>836</v>
      </c>
      <c r="M1932">
        <v>14</v>
      </c>
    </row>
    <row r="1933" spans="1:18" hidden="1">
      <c r="A1933" t="s">
        <v>3865</v>
      </c>
      <c r="B1933" t="s">
        <v>3866</v>
      </c>
      <c r="I1933" s="3" t="str">
        <f>+IFERROR(VLOOKUP(C1933,'Mov 2023 hasta ahora '!$C$2:$D$314,2,FALSE),"NO")</f>
        <v>NO</v>
      </c>
      <c r="K1933">
        <v>5</v>
      </c>
      <c r="L1933" t="s">
        <v>836</v>
      </c>
      <c r="M1933">
        <v>18</v>
      </c>
    </row>
    <row r="1934" spans="1:18" hidden="1">
      <c r="A1934" s="23" t="s">
        <v>3867</v>
      </c>
      <c r="B1934" s="23" t="s">
        <v>3868</v>
      </c>
      <c r="C1934" s="23">
        <v>1683</v>
      </c>
      <c r="D1934" t="s">
        <v>436</v>
      </c>
      <c r="I1934" s="3" t="str">
        <f>+IFERROR(VLOOKUP(C1934,'Mov 2023 hasta ahora '!$C$2:$D$314,2,FALSE),"NO")</f>
        <v>NO</v>
      </c>
      <c r="K1934">
        <v>6</v>
      </c>
      <c r="L1934" t="s">
        <v>836</v>
      </c>
      <c r="M1934">
        <v>24</v>
      </c>
      <c r="O1934" s="29" t="s">
        <v>8691</v>
      </c>
      <c r="P1934" s="25" t="s">
        <v>8687</v>
      </c>
      <c r="Q1934" s="25">
        <v>1228</v>
      </c>
      <c r="R1934" t="s">
        <v>436</v>
      </c>
    </row>
    <row r="1935" spans="1:18" hidden="1">
      <c r="A1935" s="23" t="s">
        <v>3869</v>
      </c>
      <c r="B1935" s="23" t="s">
        <v>3870</v>
      </c>
      <c r="C1935" s="23">
        <v>1684</v>
      </c>
      <c r="D1935" t="s">
        <v>436</v>
      </c>
      <c r="I1935" s="3" t="str">
        <f>+IFERROR(VLOOKUP(C1935,'Mov 2023 hasta ahora '!$C$2:$D$314,2,FALSE),"NO")</f>
        <v>NO</v>
      </c>
      <c r="K1935">
        <v>6</v>
      </c>
      <c r="L1935" t="s">
        <v>836</v>
      </c>
      <c r="M1935">
        <v>24</v>
      </c>
      <c r="O1935" s="29" t="s">
        <v>8691</v>
      </c>
      <c r="P1935" s="25" t="s">
        <v>8687</v>
      </c>
      <c r="Q1935" s="25">
        <v>1228</v>
      </c>
      <c r="R1935" t="s">
        <v>436</v>
      </c>
    </row>
    <row r="1936" spans="1:18" hidden="1">
      <c r="A1936" s="23" t="s">
        <v>3871</v>
      </c>
      <c r="B1936" s="23" t="s">
        <v>3872</v>
      </c>
      <c r="C1936" s="23">
        <v>1685</v>
      </c>
      <c r="D1936" t="s">
        <v>436</v>
      </c>
      <c r="I1936" s="3" t="str">
        <f>+IFERROR(VLOOKUP(C1936,'Mov 2023 hasta ahora '!$C$2:$D$314,2,FALSE),"NO")</f>
        <v>NO</v>
      </c>
      <c r="K1936">
        <v>6</v>
      </c>
      <c r="L1936" t="s">
        <v>836</v>
      </c>
      <c r="M1936">
        <v>24</v>
      </c>
      <c r="O1936" s="29" t="s">
        <v>8691</v>
      </c>
      <c r="P1936" s="25" t="s">
        <v>8687</v>
      </c>
      <c r="Q1936" s="25">
        <v>1228</v>
      </c>
      <c r="R1936" t="s">
        <v>436</v>
      </c>
    </row>
    <row r="1937" spans="1:18" hidden="1">
      <c r="A1937" t="s">
        <v>3873</v>
      </c>
      <c r="B1937" t="s">
        <v>3874</v>
      </c>
      <c r="I1937" s="3" t="str">
        <f>+IFERROR(VLOOKUP(C1937,'Mov 2023 hasta ahora '!$C$2:$D$314,2,FALSE),"NO")</f>
        <v>NO</v>
      </c>
      <c r="K1937">
        <v>5</v>
      </c>
      <c r="L1937" t="s">
        <v>836</v>
      </c>
      <c r="M1937">
        <v>18</v>
      </c>
    </row>
    <row r="1938" spans="1:18" s="13" customFormat="1" hidden="1">
      <c r="A1938" s="23" t="s">
        <v>3875</v>
      </c>
      <c r="B1938" s="23" t="s">
        <v>3876</v>
      </c>
      <c r="C1938" s="23">
        <v>1600</v>
      </c>
      <c r="D1938" s="13" t="s">
        <v>436</v>
      </c>
      <c r="G1938"/>
      <c r="I1938" s="14" t="str">
        <f>+IFERROR(VLOOKUP(C1938,'Mov 2023 hasta ahora '!$C$2:$D$314,2,FALSE),"NO")</f>
        <v>NO</v>
      </c>
      <c r="K1938">
        <v>6</v>
      </c>
      <c r="L1938" t="s">
        <v>836</v>
      </c>
      <c r="M1938">
        <v>24</v>
      </c>
      <c r="O1938" s="29" t="s">
        <v>9002</v>
      </c>
      <c r="P1938" s="25" t="s">
        <v>8799</v>
      </c>
      <c r="Q1938" s="25">
        <v>1513</v>
      </c>
      <c r="R1938" t="s">
        <v>436</v>
      </c>
    </row>
    <row r="1939" spans="1:18" s="13" customFormat="1" hidden="1">
      <c r="A1939" s="23" t="s">
        <v>3877</v>
      </c>
      <c r="B1939" s="23" t="s">
        <v>3878</v>
      </c>
      <c r="C1939" s="23">
        <v>1601</v>
      </c>
      <c r="D1939" s="13" t="s">
        <v>436</v>
      </c>
      <c r="G1939"/>
      <c r="I1939" s="14" t="str">
        <f>+IFERROR(VLOOKUP(C1939,'Mov 2023 hasta ahora '!$C$2:$D$314,2,FALSE),"NO")</f>
        <v>NO</v>
      </c>
      <c r="K1939">
        <v>6</v>
      </c>
      <c r="L1939" t="s">
        <v>836</v>
      </c>
      <c r="M1939">
        <v>24</v>
      </c>
      <c r="O1939" s="29" t="s">
        <v>9003</v>
      </c>
      <c r="P1939" s="25" t="s">
        <v>8803</v>
      </c>
      <c r="Q1939" s="25">
        <v>1505</v>
      </c>
      <c r="R1939" t="s">
        <v>436</v>
      </c>
    </row>
    <row r="1940" spans="1:18" hidden="1">
      <c r="A1940" t="s">
        <v>3879</v>
      </c>
      <c r="B1940" t="s">
        <v>3880</v>
      </c>
      <c r="I1940" s="3" t="str">
        <f>+IFERROR(VLOOKUP(C1940,'Mov 2023 hasta ahora '!$C$2:$D$314,2,FALSE),"NO")</f>
        <v>NO</v>
      </c>
      <c r="K1940">
        <v>4</v>
      </c>
      <c r="L1940" t="s">
        <v>836</v>
      </c>
      <c r="M1940">
        <v>14</v>
      </c>
    </row>
    <row r="1941" spans="1:18" hidden="1">
      <c r="A1941" t="s">
        <v>3881</v>
      </c>
      <c r="B1941" t="s">
        <v>3882</v>
      </c>
      <c r="I1941" s="3" t="str">
        <f>+IFERROR(VLOOKUP(C1941,'Mov 2023 hasta ahora '!$C$2:$D$314,2,FALSE),"NO")</f>
        <v>NO</v>
      </c>
      <c r="K1941">
        <v>5</v>
      </c>
      <c r="L1941" t="s">
        <v>836</v>
      </c>
      <c r="M1941">
        <v>18</v>
      </c>
    </row>
    <row r="1942" spans="1:18" hidden="1">
      <c r="A1942" s="23" t="s">
        <v>3883</v>
      </c>
      <c r="B1942" s="23" t="s">
        <v>3884</v>
      </c>
      <c r="C1942" s="23">
        <v>1686</v>
      </c>
      <c r="D1942" t="s">
        <v>436</v>
      </c>
      <c r="I1942" s="3" t="str">
        <f>+IFERROR(VLOOKUP(C1942,'Mov 2023 hasta ahora '!$C$2:$D$314,2,FALSE),"NO")</f>
        <v>NO</v>
      </c>
      <c r="K1942">
        <v>6</v>
      </c>
      <c r="L1942" t="s">
        <v>836</v>
      </c>
      <c r="M1942">
        <v>24</v>
      </c>
      <c r="O1942" s="29" t="s">
        <v>8691</v>
      </c>
      <c r="P1942" s="25" t="s">
        <v>8687</v>
      </c>
      <c r="Q1942" s="25">
        <v>1228</v>
      </c>
      <c r="R1942" t="s">
        <v>436</v>
      </c>
    </row>
    <row r="1943" spans="1:18" hidden="1">
      <c r="A1943" s="23" t="s">
        <v>3885</v>
      </c>
      <c r="B1943" s="23" t="s">
        <v>3886</v>
      </c>
      <c r="C1943" s="23">
        <v>1687</v>
      </c>
      <c r="D1943" t="s">
        <v>436</v>
      </c>
      <c r="I1943" s="3" t="str">
        <f>+IFERROR(VLOOKUP(C1943,'Mov 2023 hasta ahora '!$C$2:$D$314,2,FALSE),"NO")</f>
        <v>NO</v>
      </c>
      <c r="K1943">
        <v>6</v>
      </c>
      <c r="L1943" t="s">
        <v>836</v>
      </c>
      <c r="M1943">
        <v>24</v>
      </c>
      <c r="O1943" s="29" t="s">
        <v>8691</v>
      </c>
      <c r="P1943" s="25" t="s">
        <v>8687</v>
      </c>
      <c r="Q1943" s="25">
        <v>1228</v>
      </c>
      <c r="R1943" t="s">
        <v>436</v>
      </c>
    </row>
    <row r="1944" spans="1:18" hidden="1">
      <c r="A1944" s="23" t="s">
        <v>3887</v>
      </c>
      <c r="B1944" s="23" t="s">
        <v>3888</v>
      </c>
      <c r="C1944" s="23">
        <v>1688</v>
      </c>
      <c r="D1944" t="s">
        <v>436</v>
      </c>
      <c r="I1944" s="3" t="str">
        <f>+IFERROR(VLOOKUP(C1944,'Mov 2023 hasta ahora '!$C$2:$D$314,2,FALSE),"NO")</f>
        <v>NO</v>
      </c>
      <c r="K1944">
        <v>6</v>
      </c>
      <c r="L1944" t="s">
        <v>836</v>
      </c>
      <c r="M1944">
        <v>24</v>
      </c>
      <c r="O1944" s="29" t="s">
        <v>8691</v>
      </c>
      <c r="P1944" s="25" t="s">
        <v>8687</v>
      </c>
      <c r="Q1944" s="25">
        <v>1228</v>
      </c>
      <c r="R1944" t="s">
        <v>436</v>
      </c>
    </row>
    <row r="1945" spans="1:18" hidden="1">
      <c r="A1945" t="s">
        <v>3889</v>
      </c>
      <c r="B1945" t="s">
        <v>3890</v>
      </c>
      <c r="I1945" s="3" t="str">
        <f>+IFERROR(VLOOKUP(C1945,'Mov 2023 hasta ahora '!$C$2:$D$314,2,FALSE),"NO")</f>
        <v>NO</v>
      </c>
      <c r="K1945">
        <v>5</v>
      </c>
      <c r="L1945" t="s">
        <v>836</v>
      </c>
      <c r="M1945">
        <v>18</v>
      </c>
    </row>
    <row r="1946" spans="1:18" hidden="1">
      <c r="A1946" s="23" t="s">
        <v>3891</v>
      </c>
      <c r="B1946" s="23" t="s">
        <v>3892</v>
      </c>
      <c r="C1946" s="23">
        <v>1689</v>
      </c>
      <c r="D1946" t="s">
        <v>436</v>
      </c>
      <c r="I1946" s="3" t="str">
        <f>+IFERROR(VLOOKUP(C1946,'Mov 2023 hasta ahora '!$C$2:$D$314,2,FALSE),"NO")</f>
        <v>NO</v>
      </c>
      <c r="K1946">
        <v>6</v>
      </c>
      <c r="L1946" t="s">
        <v>836</v>
      </c>
      <c r="M1946">
        <v>24</v>
      </c>
      <c r="O1946" s="29" t="s">
        <v>8691</v>
      </c>
      <c r="P1946" s="25" t="s">
        <v>8687</v>
      </c>
      <c r="Q1946" s="25">
        <v>1228</v>
      </c>
      <c r="R1946" t="s">
        <v>436</v>
      </c>
    </row>
    <row r="1947" spans="1:18" hidden="1">
      <c r="A1947" s="23" t="s">
        <v>3893</v>
      </c>
      <c r="B1947" s="23" t="s">
        <v>3894</v>
      </c>
      <c r="C1947" s="23">
        <v>1690</v>
      </c>
      <c r="D1947" t="s">
        <v>436</v>
      </c>
      <c r="I1947" s="3" t="str">
        <f>+IFERROR(VLOOKUP(C1947,'Mov 2023 hasta ahora '!$C$2:$D$314,2,FALSE),"NO")</f>
        <v>NO</v>
      </c>
      <c r="K1947">
        <v>6</v>
      </c>
      <c r="L1947" t="s">
        <v>836</v>
      </c>
      <c r="M1947">
        <v>24</v>
      </c>
      <c r="O1947" s="29" t="s">
        <v>8691</v>
      </c>
      <c r="P1947" s="25" t="s">
        <v>8687</v>
      </c>
      <c r="Q1947" s="25">
        <v>1228</v>
      </c>
      <c r="R1947" t="s">
        <v>436</v>
      </c>
    </row>
    <row r="1948" spans="1:18" hidden="1">
      <c r="A1948" s="23" t="s">
        <v>3895</v>
      </c>
      <c r="B1948" s="23" t="s">
        <v>3896</v>
      </c>
      <c r="C1948" s="23">
        <v>1691</v>
      </c>
      <c r="D1948" t="s">
        <v>436</v>
      </c>
      <c r="I1948" s="3" t="str">
        <f>+IFERROR(VLOOKUP(C1948,'Mov 2023 hasta ahora '!$C$2:$D$314,2,FALSE),"NO")</f>
        <v>NO</v>
      </c>
      <c r="K1948">
        <v>6</v>
      </c>
      <c r="L1948" t="s">
        <v>836</v>
      </c>
      <c r="M1948">
        <v>24</v>
      </c>
      <c r="O1948" s="29" t="s">
        <v>8691</v>
      </c>
      <c r="P1948" s="25" t="s">
        <v>8687</v>
      </c>
      <c r="Q1948" s="25">
        <v>1228</v>
      </c>
      <c r="R1948" t="s">
        <v>436</v>
      </c>
    </row>
    <row r="1949" spans="1:18" hidden="1">
      <c r="A1949" t="s">
        <v>3897</v>
      </c>
      <c r="B1949" t="s">
        <v>3898</v>
      </c>
      <c r="I1949" s="3" t="str">
        <f>+IFERROR(VLOOKUP(C1949,'Mov 2023 hasta ahora '!$C$2:$D$314,2,FALSE),"NO")</f>
        <v>NO</v>
      </c>
      <c r="K1949">
        <v>4</v>
      </c>
      <c r="L1949" t="s">
        <v>836</v>
      </c>
      <c r="M1949">
        <v>14</v>
      </c>
    </row>
    <row r="1950" spans="1:18" hidden="1">
      <c r="A1950" t="s">
        <v>3899</v>
      </c>
      <c r="B1950" t="s">
        <v>3900</v>
      </c>
      <c r="I1950" s="3" t="str">
        <f>+IFERROR(VLOOKUP(C1950,'Mov 2023 hasta ahora '!$C$2:$D$314,2,FALSE),"NO")</f>
        <v>NO</v>
      </c>
      <c r="K1950">
        <v>5</v>
      </c>
      <c r="L1950" t="s">
        <v>836</v>
      </c>
      <c r="M1950">
        <v>18</v>
      </c>
    </row>
    <row r="1951" spans="1:18" hidden="1">
      <c r="A1951" s="23" t="s">
        <v>3901</v>
      </c>
      <c r="B1951" s="23" t="s">
        <v>3902</v>
      </c>
      <c r="C1951" s="23">
        <v>1692</v>
      </c>
      <c r="D1951" t="s">
        <v>436</v>
      </c>
      <c r="I1951" s="3" t="str">
        <f>+IFERROR(VLOOKUP(C1951,'Mov 2023 hasta ahora '!$C$2:$D$314,2,FALSE),"NO")</f>
        <v>NO</v>
      </c>
      <c r="K1951">
        <v>6</v>
      </c>
      <c r="L1951" t="s">
        <v>836</v>
      </c>
      <c r="M1951">
        <v>24</v>
      </c>
      <c r="O1951" s="29" t="s">
        <v>8691</v>
      </c>
      <c r="P1951" s="25" t="s">
        <v>8687</v>
      </c>
      <c r="Q1951" s="25">
        <v>1228</v>
      </c>
      <c r="R1951" t="s">
        <v>436</v>
      </c>
    </row>
    <row r="1952" spans="1:18" hidden="1">
      <c r="A1952" s="23" t="s">
        <v>3903</v>
      </c>
      <c r="B1952" s="23" t="s">
        <v>3904</v>
      </c>
      <c r="C1952" s="23">
        <v>1693</v>
      </c>
      <c r="D1952" t="s">
        <v>436</v>
      </c>
      <c r="I1952" s="3" t="str">
        <f>+IFERROR(VLOOKUP(C1952,'Mov 2023 hasta ahora '!$C$2:$D$314,2,FALSE),"NO")</f>
        <v>NO</v>
      </c>
      <c r="K1952">
        <v>6</v>
      </c>
      <c r="L1952" t="s">
        <v>836</v>
      </c>
      <c r="M1952">
        <v>24</v>
      </c>
      <c r="O1952" s="29" t="s">
        <v>8691</v>
      </c>
      <c r="P1952" s="25" t="s">
        <v>8687</v>
      </c>
      <c r="Q1952" s="25">
        <v>1228</v>
      </c>
      <c r="R1952" t="s">
        <v>436</v>
      </c>
    </row>
    <row r="1953" spans="1:18" hidden="1">
      <c r="A1953" s="23" t="s">
        <v>3905</v>
      </c>
      <c r="B1953" s="23" t="s">
        <v>3906</v>
      </c>
      <c r="C1953" s="23">
        <v>1694</v>
      </c>
      <c r="D1953" t="s">
        <v>436</v>
      </c>
      <c r="I1953" s="3" t="str">
        <f>+IFERROR(VLOOKUP(C1953,'Mov 2023 hasta ahora '!$C$2:$D$314,2,FALSE),"NO")</f>
        <v>NO</v>
      </c>
      <c r="K1953">
        <v>6</v>
      </c>
      <c r="L1953" t="s">
        <v>836</v>
      </c>
      <c r="M1953">
        <v>24</v>
      </c>
      <c r="O1953" s="29" t="s">
        <v>8691</v>
      </c>
      <c r="P1953" s="25" t="s">
        <v>8687</v>
      </c>
      <c r="Q1953" s="25">
        <v>1228</v>
      </c>
      <c r="R1953" t="s">
        <v>436</v>
      </c>
    </row>
    <row r="1954" spans="1:18" hidden="1">
      <c r="A1954" s="23" t="s">
        <v>3907</v>
      </c>
      <c r="B1954" s="23" t="s">
        <v>3908</v>
      </c>
      <c r="C1954" s="23">
        <v>1695</v>
      </c>
      <c r="D1954" t="s">
        <v>436</v>
      </c>
      <c r="I1954" s="3" t="str">
        <f>+IFERROR(VLOOKUP(C1954,'Mov 2023 hasta ahora '!$C$2:$D$314,2,FALSE),"NO")</f>
        <v>NO</v>
      </c>
      <c r="K1954">
        <v>6</v>
      </c>
      <c r="L1954" t="s">
        <v>836</v>
      </c>
      <c r="M1954">
        <v>24</v>
      </c>
      <c r="O1954" s="29" t="s">
        <v>8691</v>
      </c>
      <c r="P1954" s="25" t="s">
        <v>8687</v>
      </c>
      <c r="Q1954" s="25">
        <v>1228</v>
      </c>
      <c r="R1954" t="s">
        <v>436</v>
      </c>
    </row>
    <row r="1955" spans="1:18" hidden="1">
      <c r="A1955" s="23" t="s">
        <v>3909</v>
      </c>
      <c r="B1955" s="23" t="s">
        <v>3910</v>
      </c>
      <c r="C1955" s="23">
        <v>1696</v>
      </c>
      <c r="D1955" t="s">
        <v>436</v>
      </c>
      <c r="I1955" s="3" t="str">
        <f>+IFERROR(VLOOKUP(C1955,'Mov 2023 hasta ahora '!$C$2:$D$314,2,FALSE),"NO")</f>
        <v>NO</v>
      </c>
      <c r="K1955">
        <v>6</v>
      </c>
      <c r="L1955" t="s">
        <v>836</v>
      </c>
      <c r="M1955">
        <v>24</v>
      </c>
      <c r="O1955" s="29" t="s">
        <v>8691</v>
      </c>
      <c r="P1955" s="25" t="s">
        <v>8687</v>
      </c>
      <c r="Q1955" s="25">
        <v>1228</v>
      </c>
      <c r="R1955" t="s">
        <v>436</v>
      </c>
    </row>
    <row r="1956" spans="1:18" hidden="1">
      <c r="A1956" t="s">
        <v>3911</v>
      </c>
      <c r="B1956" t="s">
        <v>1197</v>
      </c>
      <c r="I1956" s="3" t="str">
        <f>+IFERROR(VLOOKUP(C1956,'Mov 2023 hasta ahora '!$C$2:$D$314,2,FALSE),"NO")</f>
        <v>NO</v>
      </c>
      <c r="K1956">
        <v>3</v>
      </c>
      <c r="L1956" t="s">
        <v>836</v>
      </c>
      <c r="M1956">
        <v>10</v>
      </c>
    </row>
    <row r="1957" spans="1:18" hidden="1">
      <c r="A1957" t="s">
        <v>3912</v>
      </c>
      <c r="B1957" t="s">
        <v>3913</v>
      </c>
      <c r="I1957" s="3" t="str">
        <f>+IFERROR(VLOOKUP(C1957,'Mov 2023 hasta ahora '!$C$2:$D$314,2,FALSE),"NO")</f>
        <v>NO</v>
      </c>
      <c r="K1957">
        <v>4</v>
      </c>
      <c r="L1957" t="s">
        <v>836</v>
      </c>
      <c r="M1957">
        <v>14</v>
      </c>
    </row>
    <row r="1958" spans="1:18" hidden="1">
      <c r="A1958" t="s">
        <v>3914</v>
      </c>
      <c r="B1958" t="s">
        <v>3915</v>
      </c>
      <c r="I1958" s="3" t="str">
        <f>+IFERROR(VLOOKUP(C1958,'Mov 2023 hasta ahora '!$C$2:$D$314,2,FALSE),"NO")</f>
        <v>NO</v>
      </c>
      <c r="K1958">
        <v>5</v>
      </c>
      <c r="L1958" t="s">
        <v>836</v>
      </c>
      <c r="M1958">
        <v>18</v>
      </c>
    </row>
    <row r="1959" spans="1:18" hidden="1">
      <c r="A1959" s="23" t="s">
        <v>3916</v>
      </c>
      <c r="B1959" s="23" t="s">
        <v>3917</v>
      </c>
      <c r="C1959" s="23">
        <v>1959</v>
      </c>
      <c r="I1959" s="3" t="str">
        <f>+IFERROR(VLOOKUP(C1959,'Mov 2023 hasta ahora '!$C$2:$D$314,2,FALSE),"NO")</f>
        <v>NO</v>
      </c>
      <c r="K1959">
        <v>6</v>
      </c>
      <c r="L1959" t="s">
        <v>836</v>
      </c>
      <c r="M1959">
        <v>24</v>
      </c>
      <c r="O1959" s="29" t="s">
        <v>8794</v>
      </c>
      <c r="P1959" s="25" t="s">
        <v>8982</v>
      </c>
      <c r="Q1959" s="25">
        <v>1441</v>
      </c>
      <c r="R1959" t="s">
        <v>436</v>
      </c>
    </row>
    <row r="1960" spans="1:18" hidden="1">
      <c r="A1960" s="23" t="s">
        <v>3918</v>
      </c>
      <c r="B1960" s="23" t="s">
        <v>3919</v>
      </c>
      <c r="C1960" s="23">
        <v>1960</v>
      </c>
      <c r="I1960" s="3" t="str">
        <f>+IFERROR(VLOOKUP(C1960,'Mov 2023 hasta ahora '!$C$2:$D$314,2,FALSE),"NO")</f>
        <v>NO</v>
      </c>
      <c r="K1960">
        <v>6</v>
      </c>
      <c r="L1960" t="s">
        <v>836</v>
      </c>
      <c r="M1960">
        <v>24</v>
      </c>
      <c r="O1960" s="29" t="s">
        <v>8809</v>
      </c>
      <c r="P1960" s="25" t="s">
        <v>8983</v>
      </c>
      <c r="Q1960" s="25">
        <v>1448</v>
      </c>
      <c r="R1960" t="s">
        <v>436</v>
      </c>
    </row>
    <row r="1961" spans="1:18" hidden="1">
      <c r="A1961" s="23" t="s">
        <v>3920</v>
      </c>
      <c r="B1961" s="23" t="s">
        <v>3921</v>
      </c>
      <c r="C1961" s="23">
        <v>1961</v>
      </c>
      <c r="I1961" s="3" t="str">
        <f>+IFERROR(VLOOKUP(C1961,'Mov 2023 hasta ahora '!$C$2:$D$314,2,FALSE),"NO")</f>
        <v>NO</v>
      </c>
      <c r="K1961">
        <v>6</v>
      </c>
      <c r="L1961" t="s">
        <v>836</v>
      </c>
      <c r="M1961">
        <v>24</v>
      </c>
      <c r="O1961" s="29" t="s">
        <v>8827</v>
      </c>
      <c r="P1961" s="25" t="s">
        <v>8984</v>
      </c>
      <c r="Q1961" s="25">
        <v>1826</v>
      </c>
      <c r="R1961" t="s">
        <v>436</v>
      </c>
    </row>
    <row r="1962" spans="1:18" hidden="1">
      <c r="A1962" t="s">
        <v>3922</v>
      </c>
      <c r="B1962" t="s">
        <v>3923</v>
      </c>
      <c r="I1962" s="3" t="str">
        <f>+IFERROR(VLOOKUP(C1962,'Mov 2023 hasta ahora '!$C$2:$D$314,2,FALSE),"NO")</f>
        <v>NO</v>
      </c>
      <c r="K1962">
        <v>4</v>
      </c>
      <c r="L1962" t="s">
        <v>836</v>
      </c>
      <c r="M1962">
        <v>14</v>
      </c>
    </row>
    <row r="1963" spans="1:18" hidden="1">
      <c r="A1963" t="s">
        <v>3924</v>
      </c>
      <c r="B1963" t="s">
        <v>3925</v>
      </c>
      <c r="I1963" s="3" t="str">
        <f>+IFERROR(VLOOKUP(C1963,'Mov 2023 hasta ahora '!$C$2:$D$314,2,FALSE),"NO")</f>
        <v>NO</v>
      </c>
      <c r="K1963">
        <v>5</v>
      </c>
      <c r="L1963" t="s">
        <v>836</v>
      </c>
      <c r="M1963">
        <v>18</v>
      </c>
    </row>
    <row r="1964" spans="1:18" s="13" customFormat="1" hidden="1">
      <c r="A1964" s="23" t="s">
        <v>3926</v>
      </c>
      <c r="B1964" s="23" t="s">
        <v>3927</v>
      </c>
      <c r="C1964" s="23">
        <v>1927</v>
      </c>
      <c r="G1964"/>
      <c r="I1964" s="14" t="str">
        <f>+IFERROR(VLOOKUP(C1964,'Mov 2023 hasta ahora '!$C$2:$D$314,2,FALSE),"NO")</f>
        <v>NO</v>
      </c>
      <c r="K1964">
        <v>6</v>
      </c>
      <c r="L1964" t="s">
        <v>836</v>
      </c>
      <c r="M1964">
        <v>24</v>
      </c>
      <c r="O1964" s="29" t="s">
        <v>8794</v>
      </c>
      <c r="P1964" s="25" t="s">
        <v>8982</v>
      </c>
      <c r="Q1964" s="25">
        <v>1441</v>
      </c>
      <c r="R1964" t="s">
        <v>436</v>
      </c>
    </row>
    <row r="1965" spans="1:18" s="13" customFormat="1" hidden="1">
      <c r="A1965" s="23" t="s">
        <v>3928</v>
      </c>
      <c r="B1965" s="23" t="s">
        <v>3929</v>
      </c>
      <c r="C1965" s="23">
        <v>1928</v>
      </c>
      <c r="G1965"/>
      <c r="I1965" s="14" t="str">
        <f>+IFERROR(VLOOKUP(C1965,'Mov 2023 hasta ahora '!$C$2:$D$314,2,FALSE),"NO")</f>
        <v>NO</v>
      </c>
      <c r="K1965">
        <v>6</v>
      </c>
      <c r="L1965" t="s">
        <v>836</v>
      </c>
      <c r="M1965">
        <v>24</v>
      </c>
      <c r="O1965" s="29" t="s">
        <v>8809</v>
      </c>
      <c r="P1965" s="25" t="s">
        <v>8983</v>
      </c>
      <c r="Q1965" s="25">
        <v>1448</v>
      </c>
      <c r="R1965" t="s">
        <v>436</v>
      </c>
    </row>
    <row r="1966" spans="1:18" s="13" customFormat="1" hidden="1">
      <c r="A1966" s="23" t="s">
        <v>3930</v>
      </c>
      <c r="B1966" s="23" t="s">
        <v>3931</v>
      </c>
      <c r="C1966" s="23">
        <v>1929</v>
      </c>
      <c r="G1966"/>
      <c r="I1966" s="14" t="str">
        <f>+IFERROR(VLOOKUP(C1966,'Mov 2023 hasta ahora '!$C$2:$D$314,2,FALSE),"NO")</f>
        <v>NO</v>
      </c>
      <c r="K1966">
        <v>6</v>
      </c>
      <c r="L1966" t="s">
        <v>836</v>
      </c>
      <c r="M1966">
        <v>24</v>
      </c>
      <c r="O1966" s="29" t="s">
        <v>8827</v>
      </c>
      <c r="P1966" s="25" t="s">
        <v>8984</v>
      </c>
      <c r="Q1966" s="25">
        <v>1826</v>
      </c>
      <c r="R1966" t="s">
        <v>436</v>
      </c>
    </row>
    <row r="1967" spans="1:18" hidden="1">
      <c r="A1967" t="s">
        <v>3932</v>
      </c>
      <c r="B1967" t="s">
        <v>3933</v>
      </c>
      <c r="I1967" s="3" t="str">
        <f>+IFERROR(VLOOKUP(C1967,'Mov 2023 hasta ahora '!$C$2:$D$314,2,FALSE),"NO")</f>
        <v>NO</v>
      </c>
      <c r="K1967">
        <v>4</v>
      </c>
      <c r="L1967" t="s">
        <v>836</v>
      </c>
      <c r="M1967">
        <v>14</v>
      </c>
    </row>
    <row r="1968" spans="1:18" hidden="1">
      <c r="A1968" t="s">
        <v>3934</v>
      </c>
      <c r="B1968" t="s">
        <v>3935</v>
      </c>
      <c r="I1968" s="3" t="str">
        <f>+IFERROR(VLOOKUP(C1968,'Mov 2023 hasta ahora '!$C$2:$D$314,2,FALSE),"NO")</f>
        <v>NO</v>
      </c>
      <c r="K1968">
        <v>5</v>
      </c>
      <c r="L1968" t="s">
        <v>836</v>
      </c>
      <c r="M1968">
        <v>18</v>
      </c>
    </row>
    <row r="1969" spans="1:18" s="13" customFormat="1" hidden="1">
      <c r="A1969" s="23" t="s">
        <v>3936</v>
      </c>
      <c r="B1969" s="23" t="s">
        <v>3937</v>
      </c>
      <c r="C1969" s="23">
        <v>1930</v>
      </c>
      <c r="G1969"/>
      <c r="I1969" s="14" t="str">
        <f>+IFERROR(VLOOKUP(C1969,'Mov 2023 hasta ahora '!$C$2:$D$314,2,FALSE),"NO")</f>
        <v>NO</v>
      </c>
      <c r="K1969">
        <v>6</v>
      </c>
      <c r="L1969" t="s">
        <v>836</v>
      </c>
      <c r="M1969">
        <v>24</v>
      </c>
      <c r="O1969" s="29" t="s">
        <v>8800</v>
      </c>
      <c r="P1969" s="25" t="s">
        <v>8988</v>
      </c>
      <c r="Q1969" s="25">
        <v>1457</v>
      </c>
      <c r="R1969" t="s">
        <v>436</v>
      </c>
    </row>
    <row r="1970" spans="1:18" s="13" customFormat="1" hidden="1">
      <c r="A1970" s="23" t="s">
        <v>3938</v>
      </c>
      <c r="B1970" s="23" t="s">
        <v>3939</v>
      </c>
      <c r="C1970" s="23">
        <v>1931</v>
      </c>
      <c r="G1970"/>
      <c r="I1970" s="14" t="str">
        <f>+IFERROR(VLOOKUP(C1970,'Mov 2023 hasta ahora '!$C$2:$D$314,2,FALSE),"NO")</f>
        <v>NO</v>
      </c>
      <c r="K1970">
        <v>6</v>
      </c>
      <c r="L1970" t="s">
        <v>836</v>
      </c>
      <c r="M1970">
        <v>24</v>
      </c>
      <c r="O1970" s="29" t="s">
        <v>8810</v>
      </c>
      <c r="P1970" s="25" t="s">
        <v>8989</v>
      </c>
      <c r="Q1970" s="25">
        <v>1465</v>
      </c>
      <c r="R1970" t="s">
        <v>436</v>
      </c>
    </row>
    <row r="1971" spans="1:18" s="13" customFormat="1" hidden="1">
      <c r="A1971" s="23" t="s">
        <v>3940</v>
      </c>
      <c r="B1971" s="23" t="s">
        <v>3941</v>
      </c>
      <c r="C1971" s="23">
        <v>1932</v>
      </c>
      <c r="G1971"/>
      <c r="I1971" s="14" t="str">
        <f>+IFERROR(VLOOKUP(C1971,'Mov 2023 hasta ahora '!$C$2:$D$314,2,FALSE),"NO")</f>
        <v>NO</v>
      </c>
      <c r="K1971">
        <v>6</v>
      </c>
      <c r="L1971" t="s">
        <v>836</v>
      </c>
      <c r="M1971">
        <v>24</v>
      </c>
      <c r="O1971" s="29" t="s">
        <v>8831</v>
      </c>
      <c r="P1971" s="25" t="s">
        <v>8990</v>
      </c>
      <c r="Q1971" s="25">
        <v>1834</v>
      </c>
      <c r="R1971" t="s">
        <v>436</v>
      </c>
    </row>
    <row r="1972" spans="1:18" hidden="1">
      <c r="A1972" t="s">
        <v>3942</v>
      </c>
      <c r="B1972" t="s">
        <v>3943</v>
      </c>
      <c r="I1972" s="3" t="str">
        <f>+IFERROR(VLOOKUP(C1972,'Mov 2023 hasta ahora '!$C$2:$D$314,2,FALSE),"NO")</f>
        <v>NO</v>
      </c>
      <c r="K1972">
        <v>4</v>
      </c>
      <c r="L1972" t="s">
        <v>836</v>
      </c>
      <c r="M1972">
        <v>14</v>
      </c>
    </row>
    <row r="1973" spans="1:18" hidden="1">
      <c r="A1973" t="s">
        <v>3944</v>
      </c>
      <c r="B1973" t="s">
        <v>3945</v>
      </c>
      <c r="I1973" s="3" t="str">
        <f>+IFERROR(VLOOKUP(C1973,'Mov 2023 hasta ahora '!$C$2:$D$314,2,FALSE),"NO")</f>
        <v>NO</v>
      </c>
      <c r="K1973">
        <v>5</v>
      </c>
      <c r="L1973" t="s">
        <v>836</v>
      </c>
      <c r="M1973">
        <v>18</v>
      </c>
    </row>
    <row r="1974" spans="1:18" s="13" customFormat="1" hidden="1">
      <c r="A1974" s="23" t="s">
        <v>3946</v>
      </c>
      <c r="B1974" s="23" t="s">
        <v>3947</v>
      </c>
      <c r="C1974" s="23">
        <v>1933</v>
      </c>
      <c r="G1974"/>
      <c r="I1974" s="14" t="str">
        <f>+IFERROR(VLOOKUP(C1974,'Mov 2023 hasta ahora '!$C$2:$D$314,2,FALSE),"NO")</f>
        <v>NO</v>
      </c>
      <c r="K1974">
        <v>6</v>
      </c>
      <c r="L1974" t="s">
        <v>836</v>
      </c>
      <c r="M1974">
        <v>24</v>
      </c>
      <c r="O1974" s="29" t="s">
        <v>8815</v>
      </c>
      <c r="P1974" s="25" t="s">
        <v>8796</v>
      </c>
      <c r="Q1974" s="25">
        <v>1579</v>
      </c>
      <c r="R1974" t="s">
        <v>436</v>
      </c>
    </row>
    <row r="1975" spans="1:18" s="13" customFormat="1" hidden="1">
      <c r="A1975" s="23" t="s">
        <v>3948</v>
      </c>
      <c r="B1975" s="23" t="s">
        <v>3949</v>
      </c>
      <c r="C1975" s="23">
        <v>1934</v>
      </c>
      <c r="G1975"/>
      <c r="I1975" s="14" t="str">
        <f>+IFERROR(VLOOKUP(C1975,'Mov 2023 hasta ahora '!$C$2:$D$314,2,FALSE),"NO")</f>
        <v>NO</v>
      </c>
      <c r="K1975">
        <v>6</v>
      </c>
      <c r="L1975" t="s">
        <v>836</v>
      </c>
      <c r="M1975">
        <v>24</v>
      </c>
      <c r="O1975" s="29" t="s">
        <v>8816</v>
      </c>
      <c r="P1975" s="25" t="s">
        <v>8806</v>
      </c>
      <c r="Q1975" s="25">
        <v>1589</v>
      </c>
      <c r="R1975" t="s">
        <v>436</v>
      </c>
    </row>
    <row r="1976" spans="1:18" s="13" customFormat="1" hidden="1">
      <c r="A1976" s="23" t="s">
        <v>3950</v>
      </c>
      <c r="B1976" s="23" t="s">
        <v>3951</v>
      </c>
      <c r="C1976" s="23">
        <v>1935</v>
      </c>
      <c r="G1976"/>
      <c r="I1976" s="14" t="str">
        <f>+IFERROR(VLOOKUP(C1976,'Mov 2023 hasta ahora '!$C$2:$D$314,2,FALSE),"NO")</f>
        <v>NO</v>
      </c>
      <c r="K1976">
        <v>6</v>
      </c>
      <c r="L1976" t="s">
        <v>836</v>
      </c>
      <c r="M1976">
        <v>24</v>
      </c>
      <c r="O1976" s="29" t="s">
        <v>8823</v>
      </c>
      <c r="P1976" s="25" t="s">
        <v>8824</v>
      </c>
      <c r="Q1976" s="25">
        <v>1842</v>
      </c>
      <c r="R1976" t="s">
        <v>436</v>
      </c>
    </row>
    <row r="1977" spans="1:18" hidden="1">
      <c r="A1977" t="s">
        <v>3952</v>
      </c>
      <c r="B1977" t="s">
        <v>3953</v>
      </c>
      <c r="I1977" s="3" t="str">
        <f>+IFERROR(VLOOKUP(C1977,'Mov 2023 hasta ahora '!$C$2:$D$314,2,FALSE),"NO")</f>
        <v>NO</v>
      </c>
      <c r="K1977">
        <v>4</v>
      </c>
      <c r="L1977" t="s">
        <v>836</v>
      </c>
      <c r="M1977">
        <v>14</v>
      </c>
    </row>
    <row r="1978" spans="1:18" hidden="1">
      <c r="A1978" t="s">
        <v>3954</v>
      </c>
      <c r="B1978" t="s">
        <v>3955</v>
      </c>
      <c r="I1978" s="3" t="str">
        <f>+IFERROR(VLOOKUP(C1978,'Mov 2023 hasta ahora '!$C$2:$D$314,2,FALSE),"NO")</f>
        <v>NO</v>
      </c>
      <c r="K1978">
        <v>5</v>
      </c>
      <c r="L1978" t="s">
        <v>836</v>
      </c>
      <c r="M1978">
        <v>18</v>
      </c>
    </row>
    <row r="1979" spans="1:18" s="13" customFormat="1" hidden="1">
      <c r="A1979" s="23" t="s">
        <v>3956</v>
      </c>
      <c r="B1979" s="23" t="s">
        <v>3957</v>
      </c>
      <c r="C1979" s="23">
        <v>1936</v>
      </c>
      <c r="G1979"/>
      <c r="I1979" s="14" t="str">
        <f>+IFERROR(VLOOKUP(C1979,'Mov 2023 hasta ahora '!$C$2:$D$314,2,FALSE),"NO")</f>
        <v>NO</v>
      </c>
      <c r="K1979">
        <v>6</v>
      </c>
      <c r="L1979" t="s">
        <v>836</v>
      </c>
      <c r="M1979">
        <v>24</v>
      </c>
      <c r="O1979" s="29" t="s">
        <v>8752</v>
      </c>
      <c r="P1979" s="25" t="s">
        <v>8995</v>
      </c>
      <c r="Q1979" s="25">
        <v>1481</v>
      </c>
      <c r="R1979" t="s">
        <v>436</v>
      </c>
    </row>
    <row r="1980" spans="1:18" s="13" customFormat="1" hidden="1">
      <c r="A1980" s="23" t="s">
        <v>3958</v>
      </c>
      <c r="B1980" s="23" t="s">
        <v>3959</v>
      </c>
      <c r="C1980" s="23">
        <v>1937</v>
      </c>
      <c r="G1980"/>
      <c r="I1980" s="14" t="str">
        <f>+IFERROR(VLOOKUP(C1980,'Mov 2023 hasta ahora '!$C$2:$D$314,2,FALSE),"NO")</f>
        <v>NO</v>
      </c>
      <c r="K1980">
        <v>6</v>
      </c>
      <c r="L1980" t="s">
        <v>836</v>
      </c>
      <c r="M1980">
        <v>24</v>
      </c>
      <c r="O1980" s="29" t="s">
        <v>8766</v>
      </c>
      <c r="P1980" s="25" t="s">
        <v>8996</v>
      </c>
      <c r="Q1980" s="25">
        <v>1473</v>
      </c>
      <c r="R1980" t="s">
        <v>436</v>
      </c>
    </row>
    <row r="1981" spans="1:18" s="13" customFormat="1" hidden="1">
      <c r="A1981" s="23" t="s">
        <v>3960</v>
      </c>
      <c r="B1981" s="23" t="s">
        <v>3961</v>
      </c>
      <c r="C1981" s="23">
        <v>1938</v>
      </c>
      <c r="G1981"/>
      <c r="I1981" s="14" t="str">
        <f>+IFERROR(VLOOKUP(C1981,'Mov 2023 hasta ahora '!$C$2:$D$314,2,FALSE),"NO")</f>
        <v>NO</v>
      </c>
      <c r="K1981">
        <v>6</v>
      </c>
      <c r="L1981" t="s">
        <v>836</v>
      </c>
      <c r="M1981">
        <v>24</v>
      </c>
      <c r="O1981" s="29" t="s">
        <v>8764</v>
      </c>
      <c r="P1981" s="25" t="s">
        <v>8997</v>
      </c>
      <c r="Q1981" s="25">
        <v>1850</v>
      </c>
      <c r="R1981" t="s">
        <v>436</v>
      </c>
    </row>
    <row r="1982" spans="1:18" hidden="1">
      <c r="A1982" t="s">
        <v>3962</v>
      </c>
      <c r="B1982" t="s">
        <v>3963</v>
      </c>
      <c r="I1982" s="3" t="str">
        <f>+IFERROR(VLOOKUP(C1982,'Mov 2023 hasta ahora '!$C$2:$D$314,2,FALSE),"NO")</f>
        <v>NO</v>
      </c>
      <c r="K1982">
        <v>4</v>
      </c>
      <c r="L1982" t="s">
        <v>836</v>
      </c>
      <c r="M1982">
        <v>14</v>
      </c>
    </row>
    <row r="1983" spans="1:18" hidden="1">
      <c r="A1983" t="s">
        <v>3964</v>
      </c>
      <c r="B1983" t="s">
        <v>3965</v>
      </c>
      <c r="I1983" s="3" t="str">
        <f>+IFERROR(VLOOKUP(C1983,'Mov 2023 hasta ahora '!$C$2:$D$314,2,FALSE),"NO")</f>
        <v>NO</v>
      </c>
      <c r="K1983">
        <v>5</v>
      </c>
      <c r="L1983" t="s">
        <v>836</v>
      </c>
      <c r="M1983">
        <v>18</v>
      </c>
    </row>
    <row r="1984" spans="1:18" s="13" customFormat="1" hidden="1">
      <c r="A1984" s="23" t="s">
        <v>3966</v>
      </c>
      <c r="B1984" s="23" t="s">
        <v>3967</v>
      </c>
      <c r="C1984" s="23">
        <v>1939</v>
      </c>
      <c r="G1984"/>
      <c r="I1984" s="14" t="str">
        <f>+IFERROR(VLOOKUP(C1984,'Mov 2023 hasta ahora '!$C$2:$D$314,2,FALSE),"NO")</f>
        <v>NO</v>
      </c>
      <c r="K1984">
        <v>6</v>
      </c>
      <c r="L1984" t="s">
        <v>836</v>
      </c>
      <c r="M1984">
        <v>24</v>
      </c>
      <c r="O1984" s="29" t="s">
        <v>8795</v>
      </c>
      <c r="P1984" s="25" t="s">
        <v>8798</v>
      </c>
      <c r="Q1984" s="25">
        <v>1489</v>
      </c>
      <c r="R1984" t="s">
        <v>436</v>
      </c>
    </row>
    <row r="1985" spans="1:18" s="13" customFormat="1" hidden="1">
      <c r="A1985" s="23" t="s">
        <v>3968</v>
      </c>
      <c r="B1985" s="23" t="s">
        <v>3969</v>
      </c>
      <c r="C1985" s="23">
        <v>1940</v>
      </c>
      <c r="G1985"/>
      <c r="I1985" s="14" t="str">
        <f>+IFERROR(VLOOKUP(C1985,'Mov 2023 hasta ahora '!$C$2:$D$314,2,FALSE),"NO")</f>
        <v>NO</v>
      </c>
      <c r="K1985">
        <v>6</v>
      </c>
      <c r="L1985" t="s">
        <v>836</v>
      </c>
      <c r="M1985">
        <v>24</v>
      </c>
      <c r="O1985" s="29" t="s">
        <v>8804</v>
      </c>
      <c r="P1985" s="25" t="s">
        <v>8808</v>
      </c>
      <c r="Q1985" s="25">
        <v>1497</v>
      </c>
      <c r="R1985" s="13" t="s">
        <v>436</v>
      </c>
    </row>
    <row r="1986" spans="1:18" s="13" customFormat="1" hidden="1">
      <c r="A1986" s="23" t="s">
        <v>3970</v>
      </c>
      <c r="B1986" s="23" t="s">
        <v>3971</v>
      </c>
      <c r="C1986" s="23">
        <v>1941</v>
      </c>
      <c r="G1986"/>
      <c r="I1986" s="14" t="str">
        <f>+IFERROR(VLOOKUP(C1986,'Mov 2023 hasta ahora '!$C$2:$D$314,2,FALSE),"NO")</f>
        <v>NO</v>
      </c>
      <c r="K1986">
        <v>6</v>
      </c>
      <c r="L1986" t="s">
        <v>836</v>
      </c>
      <c r="M1986">
        <v>24</v>
      </c>
      <c r="O1986" s="29" t="s">
        <v>8820</v>
      </c>
      <c r="P1986" s="25" t="s">
        <v>8826</v>
      </c>
      <c r="Q1986" s="25">
        <v>1858</v>
      </c>
      <c r="R1986" t="s">
        <v>436</v>
      </c>
    </row>
    <row r="1987" spans="1:18" hidden="1">
      <c r="A1987" t="s">
        <v>3972</v>
      </c>
      <c r="B1987" t="s">
        <v>3973</v>
      </c>
      <c r="I1987" s="3" t="str">
        <f>+IFERROR(VLOOKUP(C1987,'Mov 2023 hasta ahora '!$C$2:$D$314,2,FALSE),"NO")</f>
        <v>NO</v>
      </c>
      <c r="K1987">
        <v>4</v>
      </c>
      <c r="L1987" t="s">
        <v>836</v>
      </c>
      <c r="M1987">
        <v>14</v>
      </c>
    </row>
    <row r="1988" spans="1:18" hidden="1">
      <c r="A1988" t="s">
        <v>3974</v>
      </c>
      <c r="B1988" t="s">
        <v>3975</v>
      </c>
      <c r="I1988" s="3" t="str">
        <f>+IFERROR(VLOOKUP(C1988,'Mov 2023 hasta ahora '!$C$2:$D$314,2,FALSE),"NO")</f>
        <v>NO</v>
      </c>
      <c r="K1988">
        <v>5</v>
      </c>
      <c r="L1988" t="s">
        <v>836</v>
      </c>
      <c r="M1988">
        <v>18</v>
      </c>
    </row>
    <row r="1989" spans="1:18" s="13" customFormat="1" hidden="1">
      <c r="A1989" s="23" t="s">
        <v>3976</v>
      </c>
      <c r="B1989" s="23" t="s">
        <v>3977</v>
      </c>
      <c r="C1989" s="23">
        <v>1942</v>
      </c>
      <c r="G1989"/>
      <c r="I1989" s="14" t="str">
        <f>+IFERROR(VLOOKUP(C1989,'Mov 2023 hasta ahora '!$C$2:$D$314,2,FALSE),"NO")</f>
        <v>NO</v>
      </c>
      <c r="K1989">
        <v>6</v>
      </c>
      <c r="L1989" t="s">
        <v>836</v>
      </c>
      <c r="M1989">
        <v>24</v>
      </c>
      <c r="O1989" s="29" t="s">
        <v>9002</v>
      </c>
      <c r="P1989" s="25" t="s">
        <v>8799</v>
      </c>
      <c r="Q1989" s="25">
        <v>1513</v>
      </c>
      <c r="R1989" t="s">
        <v>436</v>
      </c>
    </row>
    <row r="1990" spans="1:18" s="13" customFormat="1" hidden="1">
      <c r="A1990" s="23" t="s">
        <v>3978</v>
      </c>
      <c r="B1990" s="23" t="s">
        <v>3979</v>
      </c>
      <c r="C1990" s="23">
        <v>1943</v>
      </c>
      <c r="G1990"/>
      <c r="I1990" s="14" t="str">
        <f>+IFERROR(VLOOKUP(C1990,'Mov 2023 hasta ahora '!$C$2:$D$314,2,FALSE),"NO")</f>
        <v>NO</v>
      </c>
      <c r="K1990">
        <v>6</v>
      </c>
      <c r="L1990" t="s">
        <v>836</v>
      </c>
      <c r="M1990">
        <v>24</v>
      </c>
      <c r="O1990" s="29" t="s">
        <v>9003</v>
      </c>
      <c r="P1990" s="25" t="s">
        <v>8803</v>
      </c>
      <c r="Q1990" s="25">
        <v>1505</v>
      </c>
      <c r="R1990" t="s">
        <v>436</v>
      </c>
    </row>
    <row r="1991" spans="1:18" s="13" customFormat="1" hidden="1">
      <c r="A1991" s="23" t="s">
        <v>3980</v>
      </c>
      <c r="B1991" s="23" t="s">
        <v>3981</v>
      </c>
      <c r="C1991" s="23">
        <v>1944</v>
      </c>
      <c r="G1991"/>
      <c r="I1991" s="14" t="str">
        <f>+IFERROR(VLOOKUP(C1991,'Mov 2023 hasta ahora '!$C$2:$D$314,2,FALSE),"NO")</f>
        <v>NO</v>
      </c>
      <c r="K1991">
        <v>6</v>
      </c>
      <c r="L1991" t="s">
        <v>836</v>
      </c>
      <c r="M1991">
        <v>24</v>
      </c>
      <c r="O1991" s="29" t="s">
        <v>9004</v>
      </c>
      <c r="P1991" s="25" t="s">
        <v>8822</v>
      </c>
      <c r="Q1991" s="25">
        <v>1866</v>
      </c>
      <c r="R1991" t="s">
        <v>436</v>
      </c>
    </row>
    <row r="1992" spans="1:18" hidden="1">
      <c r="A1992" t="s">
        <v>3982</v>
      </c>
      <c r="B1992" t="s">
        <v>3983</v>
      </c>
      <c r="I1992" s="3" t="str">
        <f>+IFERROR(VLOOKUP(C1992,'Mov 2023 hasta ahora '!$C$2:$D$314,2,FALSE),"NO")</f>
        <v>NO</v>
      </c>
      <c r="K1992">
        <v>4</v>
      </c>
      <c r="L1992" t="s">
        <v>836</v>
      </c>
      <c r="M1992">
        <v>14</v>
      </c>
    </row>
    <row r="1993" spans="1:18" hidden="1">
      <c r="A1993" t="s">
        <v>3984</v>
      </c>
      <c r="B1993" t="s">
        <v>3985</v>
      </c>
      <c r="I1993" s="3" t="str">
        <f>+IFERROR(VLOOKUP(C1993,'Mov 2023 hasta ahora '!$C$2:$D$314,2,FALSE),"NO")</f>
        <v>NO</v>
      </c>
      <c r="K1993">
        <v>5</v>
      </c>
      <c r="L1993" t="s">
        <v>836</v>
      </c>
      <c r="M1993">
        <v>18</v>
      </c>
    </row>
    <row r="1994" spans="1:18" hidden="1">
      <c r="A1994" s="23" t="s">
        <v>3986</v>
      </c>
      <c r="B1994" s="23" t="s">
        <v>3987</v>
      </c>
      <c r="C1994" s="23">
        <v>1926</v>
      </c>
      <c r="I1994" s="3" t="str">
        <f>+IFERROR(VLOOKUP(C1994,'Mov 2023 hasta ahora '!$C$2:$D$314,2,FALSE),"NO")</f>
        <v>NO</v>
      </c>
      <c r="K1994">
        <v>6</v>
      </c>
      <c r="L1994" t="s">
        <v>836</v>
      </c>
      <c r="M1994">
        <v>24</v>
      </c>
      <c r="O1994" s="29" t="s">
        <v>8861</v>
      </c>
      <c r="P1994" s="25" t="s">
        <v>8868</v>
      </c>
      <c r="Q1994" s="25">
        <v>1419</v>
      </c>
      <c r="R1994" t="s">
        <v>436</v>
      </c>
    </row>
    <row r="1995" spans="1:18" hidden="1">
      <c r="A1995" t="s">
        <v>3988</v>
      </c>
      <c r="B1995" t="s">
        <v>3989</v>
      </c>
      <c r="I1995" s="3" t="str">
        <f>+IFERROR(VLOOKUP(C1995,'Mov 2023 hasta ahora '!$C$2:$D$314,2,FALSE),"NO")</f>
        <v>NO</v>
      </c>
      <c r="K1995">
        <v>5</v>
      </c>
      <c r="L1995" t="s">
        <v>836</v>
      </c>
      <c r="M1995">
        <v>18</v>
      </c>
    </row>
    <row r="1996" spans="1:18" hidden="1">
      <c r="A1996" s="23" t="s">
        <v>3990</v>
      </c>
      <c r="B1996" s="23" t="s">
        <v>3991</v>
      </c>
      <c r="C1996" s="23">
        <v>1925</v>
      </c>
      <c r="I1996" s="3" t="str">
        <f>+IFERROR(VLOOKUP(C1996,'Mov 2023 hasta ahora '!$C$2:$D$314,2,FALSE),"NO")</f>
        <v>NO</v>
      </c>
      <c r="K1996">
        <v>6</v>
      </c>
      <c r="L1996" t="s">
        <v>836</v>
      </c>
      <c r="M1996">
        <v>24</v>
      </c>
      <c r="O1996" s="29" t="s">
        <v>9049</v>
      </c>
      <c r="P1996" s="25" t="s">
        <v>9050</v>
      </c>
      <c r="Q1996" s="25">
        <v>1363</v>
      </c>
      <c r="R1996" t="s">
        <v>436</v>
      </c>
    </row>
    <row r="1997" spans="1:18" hidden="1">
      <c r="A1997" s="23" t="s">
        <v>3992</v>
      </c>
      <c r="B1997" s="23" t="s">
        <v>3993</v>
      </c>
      <c r="C1997" s="23">
        <v>1924</v>
      </c>
      <c r="I1997" s="3" t="str">
        <f>+IFERROR(VLOOKUP(C1997,'Mov 2023 hasta ahora '!$C$2:$D$314,2,FALSE),"NO")</f>
        <v>NO</v>
      </c>
      <c r="K1997">
        <v>6</v>
      </c>
      <c r="L1997" t="s">
        <v>836</v>
      </c>
      <c r="M1997">
        <v>24</v>
      </c>
      <c r="O1997" s="29" t="s">
        <v>9014</v>
      </c>
      <c r="P1997" s="25" t="s">
        <v>8890</v>
      </c>
      <c r="Q1997" s="25">
        <v>1244</v>
      </c>
      <c r="R1997" t="s">
        <v>436</v>
      </c>
    </row>
    <row r="1998" spans="1:18" hidden="1">
      <c r="A1998" s="23" t="s">
        <v>3994</v>
      </c>
      <c r="B1998" s="23" t="s">
        <v>3995</v>
      </c>
      <c r="C1998" s="23">
        <v>1923</v>
      </c>
      <c r="I1998" s="3" t="str">
        <f>+IFERROR(VLOOKUP(C1998,'Mov 2023 hasta ahora '!$C$2:$D$314,2,FALSE),"NO")</f>
        <v>NO</v>
      </c>
      <c r="K1998">
        <v>6</v>
      </c>
      <c r="L1998" t="s">
        <v>836</v>
      </c>
      <c r="M1998">
        <v>24</v>
      </c>
      <c r="O1998" s="29" t="s">
        <v>9030</v>
      </c>
      <c r="P1998" s="25" t="s">
        <v>9029</v>
      </c>
      <c r="Q1998" s="25">
        <v>3817</v>
      </c>
      <c r="R1998" t="s">
        <v>436</v>
      </c>
    </row>
    <row r="1999" spans="1:18" s="13" customFormat="1" hidden="1">
      <c r="A1999" s="23" t="s">
        <v>3996</v>
      </c>
      <c r="B1999" s="23" t="s">
        <v>3997</v>
      </c>
      <c r="C1999" s="23">
        <v>1988</v>
      </c>
      <c r="G1999"/>
      <c r="I1999" s="14" t="str">
        <f>+IFERROR(VLOOKUP(C1999,'Mov 2023 hasta ahora '!$C$2:$D$314,2,FALSE),"NO")</f>
        <v>NO</v>
      </c>
      <c r="K1999">
        <v>6</v>
      </c>
      <c r="L1999" t="s">
        <v>836</v>
      </c>
      <c r="M1999">
        <v>24</v>
      </c>
      <c r="O1999" s="29" t="s">
        <v>8825</v>
      </c>
      <c r="P1999" s="25" t="s">
        <v>8832</v>
      </c>
      <c r="Q1999" s="25">
        <v>3601</v>
      </c>
      <c r="R1999" t="s">
        <v>436</v>
      </c>
    </row>
    <row r="2000" spans="1:18" s="13" customFormat="1" hidden="1">
      <c r="A2000" s="23" t="s">
        <v>3998</v>
      </c>
      <c r="B2000" s="23" t="s">
        <v>3999</v>
      </c>
      <c r="C2000" s="23">
        <v>1989</v>
      </c>
      <c r="G2000"/>
      <c r="I2000" s="14" t="str">
        <f>+IFERROR(VLOOKUP(C2000,'Mov 2023 hasta ahora '!$C$2:$D$314,2,FALSE),"NO")</f>
        <v>NO</v>
      </c>
      <c r="K2000">
        <v>6</v>
      </c>
      <c r="L2000" t="s">
        <v>836</v>
      </c>
      <c r="M2000">
        <v>24</v>
      </c>
      <c r="O2000" s="29" t="s">
        <v>8992</v>
      </c>
      <c r="P2000" s="25" t="s">
        <v>8836</v>
      </c>
      <c r="Q2000" s="25">
        <v>3603</v>
      </c>
      <c r="R2000" t="s">
        <v>436</v>
      </c>
    </row>
    <row r="2001" spans="1:18" hidden="1">
      <c r="A2001" t="s">
        <v>4000</v>
      </c>
      <c r="B2001" t="s">
        <v>1239</v>
      </c>
      <c r="I2001" s="3" t="str">
        <f>+IFERROR(VLOOKUP(C2001,'Mov 2023 hasta ahora '!$C$2:$D$314,2,FALSE),"NO")</f>
        <v>NO</v>
      </c>
      <c r="K2001">
        <v>3</v>
      </c>
      <c r="L2001" t="s">
        <v>836</v>
      </c>
      <c r="M2001">
        <v>10</v>
      </c>
    </row>
    <row r="2002" spans="1:18" hidden="1">
      <c r="A2002" t="s">
        <v>4001</v>
      </c>
      <c r="B2002" t="s">
        <v>4002</v>
      </c>
      <c r="I2002" s="3" t="str">
        <f>+IFERROR(VLOOKUP(C2002,'Mov 2023 hasta ahora '!$C$2:$D$314,2,FALSE),"NO")</f>
        <v>NO</v>
      </c>
      <c r="K2002">
        <v>4</v>
      </c>
      <c r="L2002" t="s">
        <v>836</v>
      </c>
      <c r="M2002">
        <v>14</v>
      </c>
    </row>
    <row r="2003" spans="1:18" hidden="1">
      <c r="A2003" t="s">
        <v>4003</v>
      </c>
      <c r="B2003" t="s">
        <v>4004</v>
      </c>
      <c r="I2003" s="3" t="str">
        <f>+IFERROR(VLOOKUP(C2003,'Mov 2023 hasta ahora '!$C$2:$D$314,2,FALSE),"NO")</f>
        <v>NO</v>
      </c>
      <c r="K2003">
        <v>5</v>
      </c>
      <c r="L2003" t="s">
        <v>836</v>
      </c>
      <c r="M2003">
        <v>18</v>
      </c>
    </row>
    <row r="2004" spans="1:18" hidden="1">
      <c r="A2004" s="23" t="s">
        <v>4005</v>
      </c>
      <c r="B2004" s="23" t="s">
        <v>4006</v>
      </c>
      <c r="C2004" s="23">
        <v>2018</v>
      </c>
      <c r="I2004" s="3" t="str">
        <f>+IFERROR(VLOOKUP(C2004,'Mov 2023 hasta ahora '!$C$2:$D$314,2,FALSE),"NO")</f>
        <v>NO</v>
      </c>
      <c r="K2004">
        <v>6</v>
      </c>
      <c r="L2004" t="s">
        <v>836</v>
      </c>
      <c r="M2004">
        <v>24</v>
      </c>
      <c r="O2004" s="29" t="s">
        <v>8794</v>
      </c>
      <c r="P2004" s="25" t="s">
        <v>8982</v>
      </c>
      <c r="Q2004" s="25">
        <v>1441</v>
      </c>
      <c r="R2004" t="s">
        <v>436</v>
      </c>
    </row>
    <row r="2005" spans="1:18" hidden="1">
      <c r="A2005" s="23" t="s">
        <v>4007</v>
      </c>
      <c r="B2005" s="23" t="s">
        <v>4008</v>
      </c>
      <c r="C2005" s="23">
        <v>2019</v>
      </c>
      <c r="I2005" s="3" t="str">
        <f>+IFERROR(VLOOKUP(C2005,'Mov 2023 hasta ahora '!$C$2:$D$314,2,FALSE),"NO")</f>
        <v>NO</v>
      </c>
      <c r="K2005">
        <v>6</v>
      </c>
      <c r="L2005" t="s">
        <v>836</v>
      </c>
      <c r="M2005">
        <v>24</v>
      </c>
      <c r="O2005" s="29" t="s">
        <v>8809</v>
      </c>
      <c r="P2005" s="25" t="s">
        <v>8983</v>
      </c>
      <c r="Q2005" s="25">
        <v>1448</v>
      </c>
      <c r="R2005" t="s">
        <v>436</v>
      </c>
    </row>
    <row r="2006" spans="1:18" hidden="1">
      <c r="A2006" t="s">
        <v>4009</v>
      </c>
      <c r="B2006" t="s">
        <v>4010</v>
      </c>
      <c r="I2006" s="3" t="str">
        <f>+IFERROR(VLOOKUP(C2006,'Mov 2023 hasta ahora '!$C$2:$D$314,2,FALSE),"NO")</f>
        <v>NO</v>
      </c>
      <c r="K2006">
        <v>5</v>
      </c>
      <c r="L2006" t="s">
        <v>836</v>
      </c>
      <c r="M2006">
        <v>18</v>
      </c>
    </row>
    <row r="2007" spans="1:18" hidden="1">
      <c r="A2007" s="23" t="s">
        <v>4011</v>
      </c>
      <c r="B2007" s="23" t="s">
        <v>4012</v>
      </c>
      <c r="C2007" s="23">
        <v>2016</v>
      </c>
      <c r="I2007" s="3" t="str">
        <f>+IFERROR(VLOOKUP(C2007,'Mov 2023 hasta ahora '!$C$2:$D$314,2,FALSE),"NO")</f>
        <v>NO</v>
      </c>
      <c r="K2007">
        <v>6</v>
      </c>
      <c r="L2007" t="s">
        <v>836</v>
      </c>
      <c r="M2007">
        <v>24</v>
      </c>
      <c r="O2007" s="29" t="s">
        <v>8794</v>
      </c>
      <c r="P2007" s="25" t="s">
        <v>8982</v>
      </c>
      <c r="Q2007" s="25">
        <v>1441</v>
      </c>
      <c r="R2007" t="s">
        <v>436</v>
      </c>
    </row>
    <row r="2008" spans="1:18" hidden="1">
      <c r="A2008" s="23" t="s">
        <v>4013</v>
      </c>
      <c r="B2008" s="23" t="s">
        <v>4014</v>
      </c>
      <c r="C2008" s="23">
        <v>2017</v>
      </c>
      <c r="I2008" s="3" t="str">
        <f>+IFERROR(VLOOKUP(C2008,'Mov 2023 hasta ahora '!$C$2:$D$314,2,FALSE),"NO")</f>
        <v>NO</v>
      </c>
      <c r="K2008">
        <v>6</v>
      </c>
      <c r="L2008" t="s">
        <v>836</v>
      </c>
      <c r="M2008">
        <v>24</v>
      </c>
      <c r="O2008" s="29" t="s">
        <v>8809</v>
      </c>
      <c r="P2008" s="25" t="s">
        <v>8983</v>
      </c>
      <c r="Q2008" s="25">
        <v>1448</v>
      </c>
      <c r="R2008" t="s">
        <v>436</v>
      </c>
    </row>
    <row r="2009" spans="1:18" hidden="1">
      <c r="A2009" t="s">
        <v>4015</v>
      </c>
      <c r="B2009" t="s">
        <v>4016</v>
      </c>
      <c r="I2009" s="3" t="str">
        <f>+IFERROR(VLOOKUP(C2009,'Mov 2023 hasta ahora '!$C$2:$D$314,2,FALSE),"NO")</f>
        <v>NO</v>
      </c>
      <c r="K2009">
        <v>4</v>
      </c>
      <c r="L2009" t="s">
        <v>836</v>
      </c>
      <c r="M2009">
        <v>14</v>
      </c>
    </row>
    <row r="2010" spans="1:18" hidden="1">
      <c r="A2010" t="s">
        <v>4017</v>
      </c>
      <c r="B2010" t="s">
        <v>4018</v>
      </c>
      <c r="I2010" s="3" t="str">
        <f>+IFERROR(VLOOKUP(C2010,'Mov 2023 hasta ahora '!$C$2:$D$314,2,FALSE),"NO")</f>
        <v>NO</v>
      </c>
      <c r="K2010">
        <v>5</v>
      </c>
      <c r="L2010" t="s">
        <v>836</v>
      </c>
      <c r="M2010">
        <v>18</v>
      </c>
    </row>
    <row r="2011" spans="1:18" s="13" customFormat="1" hidden="1">
      <c r="A2011" s="23" t="s">
        <v>4019</v>
      </c>
      <c r="B2011" s="23" t="s">
        <v>4020</v>
      </c>
      <c r="C2011" s="23">
        <v>1990</v>
      </c>
      <c r="G2011"/>
      <c r="I2011" s="14" t="str">
        <f>+IFERROR(VLOOKUP(C2011,'Mov 2023 hasta ahora '!$C$2:$D$314,2,FALSE),"NO")</f>
        <v>NO</v>
      </c>
      <c r="K2011">
        <v>6</v>
      </c>
      <c r="L2011" t="s">
        <v>836</v>
      </c>
      <c r="M2011">
        <v>24</v>
      </c>
      <c r="O2011" s="29" t="s">
        <v>8794</v>
      </c>
      <c r="P2011" s="25" t="s">
        <v>8982</v>
      </c>
      <c r="Q2011" s="25">
        <v>1441</v>
      </c>
      <c r="R2011" t="s">
        <v>436</v>
      </c>
    </row>
    <row r="2012" spans="1:18" s="13" customFormat="1" hidden="1">
      <c r="A2012" s="23" t="s">
        <v>4021</v>
      </c>
      <c r="B2012" s="23" t="s">
        <v>4022</v>
      </c>
      <c r="C2012" s="23">
        <v>1991</v>
      </c>
      <c r="G2012"/>
      <c r="I2012" s="14" t="str">
        <f>+IFERROR(VLOOKUP(C2012,'Mov 2023 hasta ahora '!$C$2:$D$314,2,FALSE),"NO")</f>
        <v>NO</v>
      </c>
      <c r="K2012">
        <v>6</v>
      </c>
      <c r="L2012" t="s">
        <v>836</v>
      </c>
      <c r="M2012">
        <v>24</v>
      </c>
      <c r="O2012" s="29" t="s">
        <v>8809</v>
      </c>
      <c r="P2012" s="25" t="s">
        <v>8983</v>
      </c>
      <c r="Q2012" s="25">
        <v>1448</v>
      </c>
      <c r="R2012" t="s">
        <v>436</v>
      </c>
    </row>
    <row r="2013" spans="1:18" hidden="1">
      <c r="A2013" t="s">
        <v>4023</v>
      </c>
      <c r="B2013" t="s">
        <v>4024</v>
      </c>
      <c r="I2013" s="3" t="str">
        <f>+IFERROR(VLOOKUP(C2013,'Mov 2023 hasta ahora '!$C$2:$D$314,2,FALSE),"NO")</f>
        <v>NO</v>
      </c>
      <c r="K2013">
        <v>4</v>
      </c>
      <c r="L2013" t="s">
        <v>836</v>
      </c>
      <c r="M2013">
        <v>14</v>
      </c>
    </row>
    <row r="2014" spans="1:18" hidden="1">
      <c r="A2014" t="s">
        <v>4025</v>
      </c>
      <c r="B2014" t="s">
        <v>4026</v>
      </c>
      <c r="I2014" s="3" t="str">
        <f>+IFERROR(VLOOKUP(C2014,'Mov 2023 hasta ahora '!$C$2:$D$314,2,FALSE),"NO")</f>
        <v>NO</v>
      </c>
      <c r="K2014">
        <v>5</v>
      </c>
      <c r="L2014" t="s">
        <v>836</v>
      </c>
      <c r="M2014">
        <v>18</v>
      </c>
    </row>
    <row r="2015" spans="1:18" s="13" customFormat="1" hidden="1">
      <c r="A2015" s="23" t="s">
        <v>4027</v>
      </c>
      <c r="B2015" s="23" t="s">
        <v>4028</v>
      </c>
      <c r="C2015" s="23">
        <v>1992</v>
      </c>
      <c r="G2015"/>
      <c r="I2015" s="14" t="str">
        <f>+IFERROR(VLOOKUP(C2015,'Mov 2023 hasta ahora '!$C$2:$D$314,2,FALSE),"NO")</f>
        <v>NO</v>
      </c>
      <c r="K2015">
        <v>6</v>
      </c>
      <c r="L2015" t="s">
        <v>836</v>
      </c>
      <c r="M2015">
        <v>24</v>
      </c>
      <c r="O2015" s="29" t="s">
        <v>8800</v>
      </c>
      <c r="P2015" s="25" t="s">
        <v>8988</v>
      </c>
      <c r="Q2015" s="25">
        <v>1457</v>
      </c>
      <c r="R2015" t="s">
        <v>436</v>
      </c>
    </row>
    <row r="2016" spans="1:18" s="13" customFormat="1" hidden="1">
      <c r="A2016" s="23" t="s">
        <v>4029</v>
      </c>
      <c r="B2016" s="23" t="s">
        <v>4030</v>
      </c>
      <c r="C2016" s="23">
        <v>1993</v>
      </c>
      <c r="G2016"/>
      <c r="I2016" s="14" t="str">
        <f>+IFERROR(VLOOKUP(C2016,'Mov 2023 hasta ahora '!$C$2:$D$314,2,FALSE),"NO")</f>
        <v>NO</v>
      </c>
      <c r="K2016">
        <v>6</v>
      </c>
      <c r="L2016" t="s">
        <v>836</v>
      </c>
      <c r="M2016">
        <v>24</v>
      </c>
      <c r="O2016" s="29" t="s">
        <v>8810</v>
      </c>
      <c r="P2016" s="25" t="s">
        <v>8989</v>
      </c>
      <c r="Q2016" s="25">
        <v>1465</v>
      </c>
      <c r="R2016" t="s">
        <v>436</v>
      </c>
    </row>
    <row r="2017" spans="1:18" hidden="1">
      <c r="A2017" t="s">
        <v>4031</v>
      </c>
      <c r="B2017" t="s">
        <v>4032</v>
      </c>
      <c r="I2017" s="3" t="str">
        <f>+IFERROR(VLOOKUP(C2017,'Mov 2023 hasta ahora '!$C$2:$D$314,2,FALSE),"NO")</f>
        <v>NO</v>
      </c>
      <c r="K2017">
        <v>4</v>
      </c>
      <c r="L2017" t="s">
        <v>836</v>
      </c>
      <c r="M2017">
        <v>14</v>
      </c>
    </row>
    <row r="2018" spans="1:18" hidden="1">
      <c r="A2018" t="s">
        <v>4033</v>
      </c>
      <c r="B2018" t="s">
        <v>4034</v>
      </c>
      <c r="I2018" s="3" t="str">
        <f>+IFERROR(VLOOKUP(C2018,'Mov 2023 hasta ahora '!$C$2:$D$314,2,FALSE),"NO")</f>
        <v>NO</v>
      </c>
      <c r="K2018">
        <v>5</v>
      </c>
      <c r="L2018" t="s">
        <v>836</v>
      </c>
      <c r="M2018">
        <v>18</v>
      </c>
    </row>
    <row r="2019" spans="1:18" s="13" customFormat="1" hidden="1">
      <c r="A2019" s="23" t="s">
        <v>4035</v>
      </c>
      <c r="B2019" s="23" t="s">
        <v>4036</v>
      </c>
      <c r="C2019" s="23">
        <v>1994</v>
      </c>
      <c r="G2019"/>
      <c r="I2019" s="14" t="str">
        <f>+IFERROR(VLOOKUP(C2019,'Mov 2023 hasta ahora '!$C$2:$D$314,2,FALSE),"NO")</f>
        <v>NO</v>
      </c>
      <c r="K2019">
        <v>6</v>
      </c>
      <c r="L2019" t="s">
        <v>836</v>
      </c>
      <c r="M2019">
        <v>24</v>
      </c>
      <c r="O2019" s="29" t="s">
        <v>8815</v>
      </c>
      <c r="P2019" s="25" t="s">
        <v>8796</v>
      </c>
      <c r="Q2019" s="25">
        <v>1579</v>
      </c>
      <c r="R2019" t="s">
        <v>436</v>
      </c>
    </row>
    <row r="2020" spans="1:18" s="13" customFormat="1" hidden="1">
      <c r="A2020" s="23" t="s">
        <v>4037</v>
      </c>
      <c r="B2020" s="23" t="s">
        <v>4038</v>
      </c>
      <c r="C2020" s="23">
        <v>1995</v>
      </c>
      <c r="G2020"/>
      <c r="I2020" s="14" t="str">
        <f>+IFERROR(VLOOKUP(C2020,'Mov 2023 hasta ahora '!$C$2:$D$314,2,FALSE),"NO")</f>
        <v>NO</v>
      </c>
      <c r="K2020">
        <v>6</v>
      </c>
      <c r="L2020" t="s">
        <v>836</v>
      </c>
      <c r="M2020">
        <v>24</v>
      </c>
      <c r="O2020" s="29" t="s">
        <v>8816</v>
      </c>
      <c r="P2020" s="25" t="s">
        <v>8806</v>
      </c>
      <c r="Q2020" s="25">
        <v>1589</v>
      </c>
      <c r="R2020" t="s">
        <v>436</v>
      </c>
    </row>
    <row r="2021" spans="1:18" hidden="1">
      <c r="A2021" t="s">
        <v>4039</v>
      </c>
      <c r="B2021" t="s">
        <v>4040</v>
      </c>
      <c r="I2021" s="3" t="str">
        <f>+IFERROR(VLOOKUP(C2021,'Mov 2023 hasta ahora '!$C$2:$D$314,2,FALSE),"NO")</f>
        <v>NO</v>
      </c>
      <c r="K2021">
        <v>4</v>
      </c>
      <c r="L2021" t="s">
        <v>836</v>
      </c>
      <c r="M2021">
        <v>14</v>
      </c>
    </row>
    <row r="2022" spans="1:18" hidden="1">
      <c r="A2022" t="s">
        <v>4041</v>
      </c>
      <c r="B2022" t="s">
        <v>4042</v>
      </c>
      <c r="I2022" s="3" t="str">
        <f>+IFERROR(VLOOKUP(C2022,'Mov 2023 hasta ahora '!$C$2:$D$314,2,FALSE),"NO")</f>
        <v>NO</v>
      </c>
      <c r="K2022">
        <v>5</v>
      </c>
      <c r="L2022" t="s">
        <v>836</v>
      </c>
      <c r="M2022">
        <v>18</v>
      </c>
    </row>
    <row r="2023" spans="1:18" s="13" customFormat="1" hidden="1">
      <c r="A2023" s="23" t="s">
        <v>4043</v>
      </c>
      <c r="B2023" s="23" t="s">
        <v>4044</v>
      </c>
      <c r="C2023" s="23">
        <v>1996</v>
      </c>
      <c r="G2023"/>
      <c r="I2023" s="14" t="str">
        <f>+IFERROR(VLOOKUP(C2023,'Mov 2023 hasta ahora '!$C$2:$D$314,2,FALSE),"NO")</f>
        <v>NO</v>
      </c>
      <c r="K2023">
        <v>6</v>
      </c>
      <c r="L2023" t="s">
        <v>836</v>
      </c>
      <c r="M2023">
        <v>24</v>
      </c>
      <c r="O2023" s="29" t="s">
        <v>8752</v>
      </c>
      <c r="P2023" s="25" t="s">
        <v>8995</v>
      </c>
      <c r="Q2023" s="25">
        <v>1481</v>
      </c>
      <c r="R2023" t="s">
        <v>436</v>
      </c>
    </row>
    <row r="2024" spans="1:18" s="13" customFormat="1" hidden="1">
      <c r="A2024" s="23" t="s">
        <v>4045</v>
      </c>
      <c r="B2024" s="23" t="s">
        <v>4046</v>
      </c>
      <c r="C2024" s="23">
        <v>1997</v>
      </c>
      <c r="G2024"/>
      <c r="I2024" s="14" t="str">
        <f>+IFERROR(VLOOKUP(C2024,'Mov 2023 hasta ahora '!$C$2:$D$314,2,FALSE),"NO")</f>
        <v>NO</v>
      </c>
      <c r="K2024">
        <v>6</v>
      </c>
      <c r="L2024" t="s">
        <v>836</v>
      </c>
      <c r="M2024">
        <v>24</v>
      </c>
      <c r="O2024" s="29" t="s">
        <v>8766</v>
      </c>
      <c r="P2024" s="25" t="s">
        <v>8996</v>
      </c>
      <c r="Q2024" s="25">
        <v>1473</v>
      </c>
      <c r="R2024" t="s">
        <v>436</v>
      </c>
    </row>
    <row r="2025" spans="1:18" hidden="1">
      <c r="A2025" t="s">
        <v>4047</v>
      </c>
      <c r="B2025" t="s">
        <v>4048</v>
      </c>
      <c r="I2025" s="3" t="str">
        <f>+IFERROR(VLOOKUP(C2025,'Mov 2023 hasta ahora '!$C$2:$D$314,2,FALSE),"NO")</f>
        <v>NO</v>
      </c>
      <c r="K2025">
        <v>4</v>
      </c>
      <c r="L2025" t="s">
        <v>836</v>
      </c>
      <c r="M2025">
        <v>14</v>
      </c>
    </row>
    <row r="2026" spans="1:18" hidden="1">
      <c r="A2026" t="s">
        <v>4049</v>
      </c>
      <c r="B2026" t="s">
        <v>4050</v>
      </c>
      <c r="I2026" s="3" t="str">
        <f>+IFERROR(VLOOKUP(C2026,'Mov 2023 hasta ahora '!$C$2:$D$314,2,FALSE),"NO")</f>
        <v>NO</v>
      </c>
      <c r="K2026">
        <v>5</v>
      </c>
      <c r="L2026" t="s">
        <v>836</v>
      </c>
      <c r="M2026">
        <v>18</v>
      </c>
    </row>
    <row r="2027" spans="1:18" s="13" customFormat="1" hidden="1">
      <c r="A2027" s="23" t="s">
        <v>4051</v>
      </c>
      <c r="B2027" s="23" t="s">
        <v>4052</v>
      </c>
      <c r="C2027" s="23">
        <v>1998</v>
      </c>
      <c r="G2027"/>
      <c r="I2027" s="14" t="str">
        <f>+IFERROR(VLOOKUP(C2027,'Mov 2023 hasta ahora '!$C$2:$D$314,2,FALSE),"NO")</f>
        <v>NO</v>
      </c>
      <c r="K2027">
        <v>6</v>
      </c>
      <c r="L2027" t="s">
        <v>836</v>
      </c>
      <c r="M2027">
        <v>24</v>
      </c>
      <c r="O2027" s="29" t="s">
        <v>8795</v>
      </c>
      <c r="P2027" s="25" t="s">
        <v>8798</v>
      </c>
      <c r="Q2027" s="25">
        <v>1489</v>
      </c>
      <c r="R2027" t="s">
        <v>436</v>
      </c>
    </row>
    <row r="2028" spans="1:18" s="13" customFormat="1" hidden="1">
      <c r="A2028" s="23" t="s">
        <v>4053</v>
      </c>
      <c r="B2028" s="23" t="s">
        <v>4054</v>
      </c>
      <c r="C2028" s="23">
        <v>1999</v>
      </c>
      <c r="G2028"/>
      <c r="I2028" s="14" t="str">
        <f>+IFERROR(VLOOKUP(C2028,'Mov 2023 hasta ahora '!$C$2:$D$314,2,FALSE),"NO")</f>
        <v>NO</v>
      </c>
      <c r="K2028">
        <v>6</v>
      </c>
      <c r="L2028" t="s">
        <v>836</v>
      </c>
      <c r="M2028">
        <v>24</v>
      </c>
      <c r="O2028" s="29" t="s">
        <v>8804</v>
      </c>
      <c r="P2028" s="25" t="s">
        <v>8808</v>
      </c>
      <c r="Q2028" s="25">
        <v>1497</v>
      </c>
      <c r="R2028" s="13" t="s">
        <v>436</v>
      </c>
    </row>
    <row r="2029" spans="1:18" hidden="1">
      <c r="A2029" t="s">
        <v>4055</v>
      </c>
      <c r="B2029" t="s">
        <v>4056</v>
      </c>
      <c r="I2029" s="3" t="str">
        <f>+IFERROR(VLOOKUP(C2029,'Mov 2023 hasta ahora '!$C$2:$D$314,2,FALSE),"NO")</f>
        <v>NO</v>
      </c>
      <c r="K2029">
        <v>4</v>
      </c>
      <c r="L2029" t="s">
        <v>836</v>
      </c>
      <c r="M2029">
        <v>14</v>
      </c>
    </row>
    <row r="2030" spans="1:18" hidden="1">
      <c r="A2030" t="s">
        <v>4057</v>
      </c>
      <c r="B2030" t="s">
        <v>4058</v>
      </c>
      <c r="I2030" s="3" t="str">
        <f>+IFERROR(VLOOKUP(C2030,'Mov 2023 hasta ahora '!$C$2:$D$314,2,FALSE),"NO")</f>
        <v>NO</v>
      </c>
      <c r="K2030">
        <v>5</v>
      </c>
      <c r="L2030" t="s">
        <v>836</v>
      </c>
      <c r="M2030">
        <v>18</v>
      </c>
    </row>
    <row r="2031" spans="1:18" s="13" customFormat="1" hidden="1">
      <c r="A2031" s="23" t="s">
        <v>4059</v>
      </c>
      <c r="B2031" s="23" t="s">
        <v>4060</v>
      </c>
      <c r="C2031" s="23">
        <v>2000</v>
      </c>
      <c r="G2031"/>
      <c r="I2031" s="14" t="str">
        <f>+IFERROR(VLOOKUP(C2031,'Mov 2023 hasta ahora '!$C$2:$D$314,2,FALSE),"NO")</f>
        <v>NO</v>
      </c>
      <c r="K2031">
        <v>6</v>
      </c>
      <c r="L2031" t="s">
        <v>836</v>
      </c>
      <c r="M2031">
        <v>24</v>
      </c>
      <c r="O2031" s="29" t="s">
        <v>9002</v>
      </c>
      <c r="P2031" s="25" t="s">
        <v>8799</v>
      </c>
      <c r="Q2031" s="25">
        <v>1513</v>
      </c>
      <c r="R2031" t="s">
        <v>436</v>
      </c>
    </row>
    <row r="2032" spans="1:18" s="13" customFormat="1" hidden="1">
      <c r="A2032" s="23" t="s">
        <v>4061</v>
      </c>
      <c r="B2032" s="23" t="s">
        <v>4062</v>
      </c>
      <c r="C2032" s="23">
        <v>2001</v>
      </c>
      <c r="G2032"/>
      <c r="I2032" s="14" t="str">
        <f>+IFERROR(VLOOKUP(C2032,'Mov 2023 hasta ahora '!$C$2:$D$314,2,FALSE),"NO")</f>
        <v>NO</v>
      </c>
      <c r="K2032">
        <v>6</v>
      </c>
      <c r="L2032" t="s">
        <v>836</v>
      </c>
      <c r="M2032">
        <v>24</v>
      </c>
      <c r="O2032" s="29" t="s">
        <v>9003</v>
      </c>
      <c r="P2032" s="25" t="s">
        <v>8803</v>
      </c>
      <c r="Q2032" s="25">
        <v>1505</v>
      </c>
      <c r="R2032" t="s">
        <v>436</v>
      </c>
    </row>
    <row r="2033" spans="1:18" hidden="1">
      <c r="A2033" t="s">
        <v>4063</v>
      </c>
      <c r="B2033" t="s">
        <v>4064</v>
      </c>
      <c r="I2033" s="3" t="str">
        <f>+IFERROR(VLOOKUP(C2033,'Mov 2023 hasta ahora '!$C$2:$D$314,2,FALSE),"NO")</f>
        <v>NO</v>
      </c>
      <c r="K2033">
        <v>4</v>
      </c>
      <c r="L2033" t="s">
        <v>836</v>
      </c>
      <c r="M2033">
        <v>14</v>
      </c>
    </row>
    <row r="2034" spans="1:18" hidden="1">
      <c r="A2034" t="s">
        <v>4065</v>
      </c>
      <c r="B2034" t="s">
        <v>4066</v>
      </c>
      <c r="I2034" s="3" t="str">
        <f>+IFERROR(VLOOKUP(C2034,'Mov 2023 hasta ahora '!$C$2:$D$314,2,FALSE),"NO")</f>
        <v>NO</v>
      </c>
      <c r="K2034">
        <v>5</v>
      </c>
      <c r="L2034" t="s">
        <v>836</v>
      </c>
      <c r="M2034">
        <v>18</v>
      </c>
    </row>
    <row r="2035" spans="1:18" hidden="1">
      <c r="A2035" s="23" t="s">
        <v>4067</v>
      </c>
      <c r="B2035" s="23" t="s">
        <v>4068</v>
      </c>
      <c r="C2035" s="23">
        <v>2036</v>
      </c>
      <c r="I2035" s="3" t="str">
        <f>+IFERROR(VLOOKUP(C2035,'Mov 2023 hasta ahora '!$C$2:$D$314,2,FALSE),"NO")</f>
        <v>NO</v>
      </c>
      <c r="K2035">
        <v>6</v>
      </c>
      <c r="L2035" t="s">
        <v>836</v>
      </c>
      <c r="M2035">
        <v>24</v>
      </c>
      <c r="O2035" s="29" t="s">
        <v>8742</v>
      </c>
      <c r="P2035" s="25" t="s">
        <v>9063</v>
      </c>
      <c r="Q2035" s="25">
        <v>176</v>
      </c>
      <c r="R2035" t="s">
        <v>436</v>
      </c>
    </row>
    <row r="2036" spans="1:18" hidden="1">
      <c r="A2036" s="23" t="s">
        <v>4069</v>
      </c>
      <c r="B2036" s="23" t="s">
        <v>4070</v>
      </c>
      <c r="C2036" s="23">
        <v>2002</v>
      </c>
      <c r="I2036" s="3" t="str">
        <f>+IFERROR(VLOOKUP(C2036,'Mov 2023 hasta ahora '!$C$2:$D$314,2,FALSE),"NO")</f>
        <v>NO</v>
      </c>
      <c r="K2036">
        <v>6</v>
      </c>
      <c r="L2036" t="s">
        <v>836</v>
      </c>
      <c r="M2036">
        <v>24</v>
      </c>
      <c r="O2036" s="29" t="s">
        <v>8861</v>
      </c>
      <c r="P2036" s="25" t="s">
        <v>8868</v>
      </c>
      <c r="Q2036" s="25">
        <v>1419</v>
      </c>
      <c r="R2036" t="s">
        <v>436</v>
      </c>
    </row>
    <row r="2037" spans="1:18" hidden="1">
      <c r="A2037" t="s">
        <v>4071</v>
      </c>
      <c r="B2037" t="s">
        <v>4072</v>
      </c>
      <c r="I2037" s="3" t="str">
        <f>+IFERROR(VLOOKUP(C2037,'Mov 2023 hasta ahora '!$C$2:$D$314,2,FALSE),"NO")</f>
        <v>NO</v>
      </c>
      <c r="K2037">
        <v>5</v>
      </c>
      <c r="L2037" t="s">
        <v>836</v>
      </c>
      <c r="M2037">
        <v>18</v>
      </c>
    </row>
    <row r="2038" spans="1:18" hidden="1">
      <c r="A2038" s="23" t="s">
        <v>4073</v>
      </c>
      <c r="B2038" s="23" t="s">
        <v>4074</v>
      </c>
      <c r="C2038" s="23">
        <v>2003</v>
      </c>
      <c r="I2038" s="3" t="str">
        <f>+IFERROR(VLOOKUP(C2038,'Mov 2023 hasta ahora '!$C$2:$D$314,2,FALSE),"NO")</f>
        <v>NO</v>
      </c>
      <c r="K2038">
        <v>6</v>
      </c>
      <c r="L2038" t="s">
        <v>836</v>
      </c>
      <c r="M2038">
        <v>24</v>
      </c>
      <c r="O2038" s="29" t="s">
        <v>9049</v>
      </c>
      <c r="P2038" s="25" t="s">
        <v>9050</v>
      </c>
      <c r="Q2038" s="25">
        <v>1363</v>
      </c>
      <c r="R2038" t="s">
        <v>436</v>
      </c>
    </row>
    <row r="2039" spans="1:18" hidden="1">
      <c r="A2039" s="23" t="s">
        <v>4075</v>
      </c>
      <c r="B2039" s="23" t="s">
        <v>4076</v>
      </c>
      <c r="C2039" s="23">
        <v>2004</v>
      </c>
      <c r="I2039" s="3" t="str">
        <f>+IFERROR(VLOOKUP(C2039,'Mov 2023 hasta ahora '!$C$2:$D$314,2,FALSE),"NO")</f>
        <v>NO</v>
      </c>
      <c r="K2039">
        <v>6</v>
      </c>
      <c r="L2039" t="s">
        <v>836</v>
      </c>
      <c r="M2039">
        <v>24</v>
      </c>
      <c r="O2039" s="29" t="s">
        <v>9014</v>
      </c>
      <c r="P2039" s="25" t="s">
        <v>8890</v>
      </c>
      <c r="Q2039" s="25">
        <v>1244</v>
      </c>
      <c r="R2039" t="s">
        <v>436</v>
      </c>
    </row>
    <row r="2040" spans="1:18" hidden="1">
      <c r="A2040" s="23" t="s">
        <v>4077</v>
      </c>
      <c r="B2040" s="23" t="s">
        <v>4078</v>
      </c>
      <c r="C2040" s="23">
        <v>2005</v>
      </c>
      <c r="I2040" s="3" t="str">
        <f>+IFERROR(VLOOKUP(C2040,'Mov 2023 hasta ahora '!$C$2:$D$314,2,FALSE),"NO")</f>
        <v>NO</v>
      </c>
      <c r="K2040">
        <v>6</v>
      </c>
      <c r="L2040" t="s">
        <v>836</v>
      </c>
      <c r="M2040">
        <v>24</v>
      </c>
      <c r="O2040" s="29" t="s">
        <v>9030</v>
      </c>
      <c r="P2040" s="25" t="s">
        <v>9029</v>
      </c>
      <c r="Q2040" s="25">
        <v>3817</v>
      </c>
      <c r="R2040" t="s">
        <v>436</v>
      </c>
    </row>
    <row r="2041" spans="1:18" s="13" customFormat="1" hidden="1">
      <c r="A2041" s="23" t="s">
        <v>4079</v>
      </c>
      <c r="B2041" s="23" t="s">
        <v>4080</v>
      </c>
      <c r="C2041" s="23">
        <v>2006</v>
      </c>
      <c r="G2041"/>
      <c r="I2041" s="14" t="str">
        <f>+IFERROR(VLOOKUP(C2041,'Mov 2023 hasta ahora '!$C$2:$D$314,2,FALSE),"NO")</f>
        <v>NO</v>
      </c>
      <c r="K2041">
        <v>6</v>
      </c>
      <c r="L2041" t="s">
        <v>836</v>
      </c>
      <c r="M2041">
        <v>24</v>
      </c>
      <c r="O2041" s="29" t="s">
        <v>8825</v>
      </c>
      <c r="P2041" s="25" t="s">
        <v>8832</v>
      </c>
      <c r="Q2041" s="25">
        <v>3601</v>
      </c>
      <c r="R2041" t="s">
        <v>436</v>
      </c>
    </row>
    <row r="2042" spans="1:18" s="13" customFormat="1" hidden="1">
      <c r="A2042" s="23" t="s">
        <v>4081</v>
      </c>
      <c r="B2042" s="23" t="s">
        <v>4082</v>
      </c>
      <c r="C2042" s="23">
        <v>2007</v>
      </c>
      <c r="G2042"/>
      <c r="I2042" s="14" t="str">
        <f>+IFERROR(VLOOKUP(C2042,'Mov 2023 hasta ahora '!$C$2:$D$314,2,FALSE),"NO")</f>
        <v>NO</v>
      </c>
      <c r="K2042">
        <v>6</v>
      </c>
      <c r="L2042" t="s">
        <v>836</v>
      </c>
      <c r="M2042">
        <v>24</v>
      </c>
      <c r="O2042" s="29" t="s">
        <v>8992</v>
      </c>
      <c r="P2042" s="25" t="s">
        <v>8836</v>
      </c>
      <c r="Q2042" s="25">
        <v>3603</v>
      </c>
      <c r="R2042" t="s">
        <v>436</v>
      </c>
    </row>
    <row r="2043" spans="1:18" hidden="1">
      <c r="A2043" t="s">
        <v>4083</v>
      </c>
      <c r="B2043" t="s">
        <v>1241</v>
      </c>
      <c r="I2043" s="3" t="str">
        <f>+IFERROR(VLOOKUP(C2043,'Mov 2023 hasta ahora '!$C$2:$D$314,2,FALSE),"NO")</f>
        <v>NO</v>
      </c>
      <c r="K2043">
        <v>4</v>
      </c>
      <c r="L2043" t="s">
        <v>836</v>
      </c>
      <c r="M2043">
        <v>14</v>
      </c>
    </row>
    <row r="2044" spans="1:18" hidden="1">
      <c r="A2044" t="s">
        <v>4084</v>
      </c>
      <c r="B2044" t="s">
        <v>4085</v>
      </c>
      <c r="I2044" s="3" t="str">
        <f>+IFERROR(VLOOKUP(C2044,'Mov 2023 hasta ahora '!$C$2:$D$314,2,FALSE),"NO")</f>
        <v>NO</v>
      </c>
      <c r="K2044">
        <v>5</v>
      </c>
      <c r="L2044" t="s">
        <v>836</v>
      </c>
      <c r="M2044">
        <v>18</v>
      </c>
    </row>
    <row r="2045" spans="1:18" s="13" customFormat="1" hidden="1">
      <c r="A2045" s="23" t="s">
        <v>4086</v>
      </c>
      <c r="B2045" s="23" t="s">
        <v>4087</v>
      </c>
      <c r="C2045" s="23">
        <v>2058</v>
      </c>
      <c r="G2045"/>
      <c r="I2045" s="14" t="str">
        <f>+IFERROR(VLOOKUP(C2045,'Mov 2023 hasta ahora '!$C$2:$D$314,2,FALSE),"NO")</f>
        <v>NO</v>
      </c>
      <c r="K2045">
        <v>6</v>
      </c>
      <c r="L2045" t="s">
        <v>836</v>
      </c>
      <c r="M2045">
        <v>24</v>
      </c>
      <c r="O2045" s="29" t="s">
        <v>8825</v>
      </c>
      <c r="P2045" s="25" t="s">
        <v>8832</v>
      </c>
      <c r="Q2045" s="25">
        <v>3601</v>
      </c>
      <c r="R2045" t="s">
        <v>436</v>
      </c>
    </row>
    <row r="2046" spans="1:18" s="13" customFormat="1" hidden="1">
      <c r="A2046" s="23" t="s">
        <v>4088</v>
      </c>
      <c r="B2046" s="23" t="s">
        <v>4089</v>
      </c>
      <c r="C2046" s="23">
        <v>2059</v>
      </c>
      <c r="G2046"/>
      <c r="I2046" s="14" t="str">
        <f>+IFERROR(VLOOKUP(C2046,'Mov 2023 hasta ahora '!$C$2:$D$314,2,FALSE),"NO")</f>
        <v>NO</v>
      </c>
      <c r="K2046">
        <v>6</v>
      </c>
      <c r="L2046" t="s">
        <v>836</v>
      </c>
      <c r="M2046">
        <v>24</v>
      </c>
      <c r="O2046" s="29" t="s">
        <v>8992</v>
      </c>
      <c r="P2046" s="25" t="s">
        <v>8836</v>
      </c>
      <c r="Q2046" s="25">
        <v>3603</v>
      </c>
      <c r="R2046" t="s">
        <v>436</v>
      </c>
    </row>
    <row r="2047" spans="1:18" hidden="1">
      <c r="A2047" t="s">
        <v>4090</v>
      </c>
      <c r="B2047" t="s">
        <v>1269</v>
      </c>
      <c r="I2047" s="3" t="str">
        <f>+IFERROR(VLOOKUP(C2047,'Mov 2023 hasta ahora '!$C$2:$D$314,2,FALSE),"NO")</f>
        <v>NO</v>
      </c>
      <c r="K2047">
        <v>3</v>
      </c>
      <c r="L2047" t="s">
        <v>836</v>
      </c>
      <c r="M2047">
        <v>10</v>
      </c>
    </row>
    <row r="2048" spans="1:18" hidden="1">
      <c r="A2048" t="s">
        <v>4091</v>
      </c>
      <c r="B2048" t="s">
        <v>4092</v>
      </c>
      <c r="I2048" s="3" t="str">
        <f>+IFERROR(VLOOKUP(C2048,'Mov 2023 hasta ahora '!$C$2:$D$314,2,FALSE),"NO")</f>
        <v>NO</v>
      </c>
      <c r="K2048">
        <v>4</v>
      </c>
      <c r="L2048" t="s">
        <v>836</v>
      </c>
      <c r="M2048">
        <v>14</v>
      </c>
    </row>
    <row r="2049" spans="1:18" hidden="1">
      <c r="A2049" t="s">
        <v>4093</v>
      </c>
      <c r="B2049" t="s">
        <v>4094</v>
      </c>
      <c r="I2049" s="3" t="str">
        <f>+IFERROR(VLOOKUP(C2049,'Mov 2023 hasta ahora '!$C$2:$D$314,2,FALSE),"NO")</f>
        <v>NO</v>
      </c>
      <c r="K2049">
        <v>5</v>
      </c>
      <c r="L2049" t="s">
        <v>836</v>
      </c>
      <c r="M2049">
        <v>18</v>
      </c>
    </row>
    <row r="2050" spans="1:18" hidden="1">
      <c r="A2050" s="23" t="s">
        <v>4095</v>
      </c>
      <c r="B2050" s="23" t="s">
        <v>4096</v>
      </c>
      <c r="C2050" s="23">
        <v>2099</v>
      </c>
      <c r="I2050" s="3" t="str">
        <f>+IFERROR(VLOOKUP(C2050,'Mov 2023 hasta ahora '!$C$2:$D$314,2,FALSE),"NO")</f>
        <v>NO</v>
      </c>
      <c r="K2050">
        <v>6</v>
      </c>
      <c r="L2050" t="s">
        <v>836</v>
      </c>
      <c r="M2050">
        <v>24</v>
      </c>
      <c r="O2050" s="29" t="s">
        <v>8794</v>
      </c>
      <c r="P2050" s="25" t="s">
        <v>8982</v>
      </c>
      <c r="Q2050" s="25">
        <v>1441</v>
      </c>
      <c r="R2050" t="s">
        <v>436</v>
      </c>
    </row>
    <row r="2051" spans="1:18" hidden="1">
      <c r="A2051" s="23" t="s">
        <v>4097</v>
      </c>
      <c r="B2051" s="23" t="s">
        <v>4098</v>
      </c>
      <c r="C2051" s="23">
        <v>2100</v>
      </c>
      <c r="I2051" s="3" t="str">
        <f>+IFERROR(VLOOKUP(C2051,'Mov 2023 hasta ahora '!$C$2:$D$314,2,FALSE),"NO")</f>
        <v>NO</v>
      </c>
      <c r="K2051">
        <v>6</v>
      </c>
      <c r="L2051" t="s">
        <v>836</v>
      </c>
      <c r="M2051">
        <v>24</v>
      </c>
      <c r="O2051" s="29" t="s">
        <v>8809</v>
      </c>
      <c r="P2051" s="25" t="s">
        <v>8983</v>
      </c>
      <c r="Q2051" s="25">
        <v>1448</v>
      </c>
      <c r="R2051" t="s">
        <v>436</v>
      </c>
    </row>
    <row r="2052" spans="1:18" hidden="1">
      <c r="A2052" t="s">
        <v>4099</v>
      </c>
      <c r="B2052" t="s">
        <v>4100</v>
      </c>
      <c r="I2052" s="3" t="str">
        <f>+IFERROR(VLOOKUP(C2052,'Mov 2023 hasta ahora '!$C$2:$D$314,2,FALSE),"NO")</f>
        <v>NO</v>
      </c>
      <c r="K2052">
        <v>5</v>
      </c>
      <c r="L2052" t="s">
        <v>836</v>
      </c>
      <c r="M2052">
        <v>18</v>
      </c>
    </row>
    <row r="2053" spans="1:18" hidden="1">
      <c r="A2053" s="23" t="s">
        <v>4101</v>
      </c>
      <c r="B2053" s="23" t="s">
        <v>4102</v>
      </c>
      <c r="C2053" s="23">
        <v>2101</v>
      </c>
      <c r="I2053" s="3" t="str">
        <f>+IFERROR(VLOOKUP(C2053,'Mov 2023 hasta ahora '!$C$2:$D$314,2,FALSE),"NO")</f>
        <v>NO</v>
      </c>
      <c r="K2053">
        <v>6</v>
      </c>
      <c r="L2053" t="s">
        <v>836</v>
      </c>
      <c r="M2053">
        <v>24</v>
      </c>
      <c r="O2053" s="29" t="s">
        <v>8794</v>
      </c>
      <c r="P2053" s="25" t="s">
        <v>8982</v>
      </c>
      <c r="Q2053" s="25">
        <v>1441</v>
      </c>
      <c r="R2053" t="s">
        <v>436</v>
      </c>
    </row>
    <row r="2054" spans="1:18" hidden="1">
      <c r="A2054" s="23" t="s">
        <v>4103</v>
      </c>
      <c r="B2054" s="23" t="s">
        <v>4104</v>
      </c>
      <c r="C2054" s="23">
        <v>2102</v>
      </c>
      <c r="I2054" s="3" t="str">
        <f>+IFERROR(VLOOKUP(C2054,'Mov 2023 hasta ahora '!$C$2:$D$314,2,FALSE),"NO")</f>
        <v>NO</v>
      </c>
      <c r="K2054">
        <v>6</v>
      </c>
      <c r="L2054" t="s">
        <v>836</v>
      </c>
      <c r="M2054">
        <v>24</v>
      </c>
      <c r="O2054" s="29" t="s">
        <v>8809</v>
      </c>
      <c r="P2054" s="25" t="s">
        <v>8983</v>
      </c>
      <c r="Q2054" s="25">
        <v>1448</v>
      </c>
      <c r="R2054" t="s">
        <v>436</v>
      </c>
    </row>
    <row r="2055" spans="1:18" hidden="1">
      <c r="A2055" t="s">
        <v>4105</v>
      </c>
      <c r="B2055" t="s">
        <v>4106</v>
      </c>
      <c r="I2055" s="3" t="str">
        <f>+IFERROR(VLOOKUP(C2055,'Mov 2023 hasta ahora '!$C$2:$D$314,2,FALSE),"NO")</f>
        <v>NO</v>
      </c>
      <c r="K2055">
        <v>4</v>
      </c>
      <c r="L2055" t="s">
        <v>836</v>
      </c>
      <c r="M2055">
        <v>14</v>
      </c>
    </row>
    <row r="2056" spans="1:18" hidden="1">
      <c r="A2056" t="s">
        <v>4107</v>
      </c>
      <c r="B2056" t="s">
        <v>4108</v>
      </c>
      <c r="I2056" s="3" t="str">
        <f>+IFERROR(VLOOKUP(C2056,'Mov 2023 hasta ahora '!$C$2:$D$314,2,FALSE),"NO")</f>
        <v>NO</v>
      </c>
      <c r="K2056">
        <v>5</v>
      </c>
      <c r="L2056" t="s">
        <v>836</v>
      </c>
      <c r="M2056">
        <v>18</v>
      </c>
    </row>
    <row r="2057" spans="1:18" s="13" customFormat="1" hidden="1">
      <c r="A2057" s="23" t="s">
        <v>4109</v>
      </c>
      <c r="B2057" s="23" t="s">
        <v>4110</v>
      </c>
      <c r="C2057" s="23">
        <v>2103</v>
      </c>
      <c r="G2057"/>
      <c r="I2057" s="14" t="str">
        <f>+IFERROR(VLOOKUP(C2057,'Mov 2023 hasta ahora '!$C$2:$D$314,2,FALSE),"NO")</f>
        <v>NO</v>
      </c>
      <c r="K2057">
        <v>6</v>
      </c>
      <c r="L2057" t="s">
        <v>836</v>
      </c>
      <c r="M2057">
        <v>24</v>
      </c>
      <c r="O2057" s="29" t="s">
        <v>8794</v>
      </c>
      <c r="P2057" s="25" t="s">
        <v>8982</v>
      </c>
      <c r="Q2057" s="25">
        <v>1441</v>
      </c>
      <c r="R2057" t="s">
        <v>436</v>
      </c>
    </row>
    <row r="2058" spans="1:18" s="13" customFormat="1" hidden="1">
      <c r="A2058" s="23" t="s">
        <v>4111</v>
      </c>
      <c r="B2058" s="23" t="s">
        <v>4112</v>
      </c>
      <c r="C2058" s="23">
        <v>2104</v>
      </c>
      <c r="G2058"/>
      <c r="I2058" s="14" t="str">
        <f>+IFERROR(VLOOKUP(C2058,'Mov 2023 hasta ahora '!$C$2:$D$314,2,FALSE),"NO")</f>
        <v>NO</v>
      </c>
      <c r="K2058">
        <v>6</v>
      </c>
      <c r="L2058" t="s">
        <v>836</v>
      </c>
      <c r="M2058">
        <v>24</v>
      </c>
      <c r="O2058" s="29" t="s">
        <v>8809</v>
      </c>
      <c r="P2058" s="25" t="s">
        <v>8983</v>
      </c>
      <c r="Q2058" s="25">
        <v>1448</v>
      </c>
      <c r="R2058" t="s">
        <v>436</v>
      </c>
    </row>
    <row r="2059" spans="1:18" hidden="1">
      <c r="A2059" t="s">
        <v>4113</v>
      </c>
      <c r="B2059" t="s">
        <v>4114</v>
      </c>
      <c r="I2059" s="3" t="str">
        <f>+IFERROR(VLOOKUP(C2059,'Mov 2023 hasta ahora '!$C$2:$D$314,2,FALSE),"NO")</f>
        <v>NO</v>
      </c>
      <c r="K2059">
        <v>4</v>
      </c>
      <c r="L2059" t="s">
        <v>836</v>
      </c>
      <c r="M2059">
        <v>14</v>
      </c>
    </row>
    <row r="2060" spans="1:18" hidden="1">
      <c r="A2060" t="s">
        <v>4115</v>
      </c>
      <c r="B2060" t="s">
        <v>4116</v>
      </c>
      <c r="I2060" s="3" t="str">
        <f>+IFERROR(VLOOKUP(C2060,'Mov 2023 hasta ahora '!$C$2:$D$314,2,FALSE),"NO")</f>
        <v>NO</v>
      </c>
      <c r="K2060">
        <v>5</v>
      </c>
      <c r="L2060" t="s">
        <v>836</v>
      </c>
      <c r="M2060">
        <v>18</v>
      </c>
    </row>
    <row r="2061" spans="1:18" s="13" customFormat="1" hidden="1">
      <c r="A2061" s="23" t="s">
        <v>4117</v>
      </c>
      <c r="B2061" s="23" t="s">
        <v>4118</v>
      </c>
      <c r="C2061" s="23">
        <v>2027</v>
      </c>
      <c r="G2061"/>
      <c r="I2061" s="14" t="str">
        <f>+IFERROR(VLOOKUP(C2061,'Mov 2023 hasta ahora '!$C$2:$D$314,2,FALSE),"NO")</f>
        <v>NO</v>
      </c>
      <c r="K2061">
        <v>6</v>
      </c>
      <c r="L2061" t="s">
        <v>836</v>
      </c>
      <c r="M2061">
        <v>24</v>
      </c>
      <c r="O2061" s="29" t="s">
        <v>8800</v>
      </c>
      <c r="P2061" s="25" t="s">
        <v>8988</v>
      </c>
      <c r="Q2061" s="25">
        <v>1457</v>
      </c>
      <c r="R2061" t="s">
        <v>436</v>
      </c>
    </row>
    <row r="2062" spans="1:18" s="13" customFormat="1" hidden="1">
      <c r="A2062" s="23" t="s">
        <v>4119</v>
      </c>
      <c r="B2062" s="23" t="s">
        <v>4120</v>
      </c>
      <c r="C2062" s="23">
        <v>2028</v>
      </c>
      <c r="G2062"/>
      <c r="I2062" s="14" t="str">
        <f>+IFERROR(VLOOKUP(C2062,'Mov 2023 hasta ahora '!$C$2:$D$314,2,FALSE),"NO")</f>
        <v>NO</v>
      </c>
      <c r="K2062">
        <v>6</v>
      </c>
      <c r="L2062" t="s">
        <v>836</v>
      </c>
      <c r="M2062">
        <v>24</v>
      </c>
      <c r="O2062" s="29" t="s">
        <v>8810</v>
      </c>
      <c r="P2062" s="25" t="s">
        <v>8989</v>
      </c>
      <c r="Q2062" s="25">
        <v>1465</v>
      </c>
      <c r="R2062" t="s">
        <v>436</v>
      </c>
    </row>
    <row r="2063" spans="1:18" hidden="1">
      <c r="A2063" t="s">
        <v>4121</v>
      </c>
      <c r="B2063" t="s">
        <v>4122</v>
      </c>
      <c r="I2063" s="3" t="str">
        <f>+IFERROR(VLOOKUP(C2063,'Mov 2023 hasta ahora '!$C$2:$D$314,2,FALSE),"NO")</f>
        <v>NO</v>
      </c>
      <c r="K2063">
        <v>4</v>
      </c>
      <c r="L2063" t="s">
        <v>836</v>
      </c>
      <c r="M2063">
        <v>14</v>
      </c>
    </row>
    <row r="2064" spans="1:18" hidden="1">
      <c r="A2064" t="s">
        <v>4123</v>
      </c>
      <c r="B2064" t="s">
        <v>4124</v>
      </c>
      <c r="I2064" s="3" t="str">
        <f>+IFERROR(VLOOKUP(C2064,'Mov 2023 hasta ahora '!$C$2:$D$314,2,FALSE),"NO")</f>
        <v>NO</v>
      </c>
      <c r="K2064">
        <v>5</v>
      </c>
      <c r="L2064" t="s">
        <v>836</v>
      </c>
      <c r="M2064">
        <v>18</v>
      </c>
    </row>
    <row r="2065" spans="1:18" s="13" customFormat="1" hidden="1">
      <c r="A2065" s="23" t="s">
        <v>4125</v>
      </c>
      <c r="B2065" s="23" t="s">
        <v>4126</v>
      </c>
      <c r="C2065" s="23">
        <v>2105</v>
      </c>
      <c r="G2065"/>
      <c r="I2065" s="14" t="str">
        <f>+IFERROR(VLOOKUP(C2065,'Mov 2023 hasta ahora '!$C$2:$D$314,2,FALSE),"NO")</f>
        <v>NO</v>
      </c>
      <c r="K2065">
        <v>6</v>
      </c>
      <c r="L2065" t="s">
        <v>836</v>
      </c>
      <c r="M2065">
        <v>24</v>
      </c>
      <c r="O2065" s="29" t="s">
        <v>8815</v>
      </c>
      <c r="P2065" s="25" t="s">
        <v>8796</v>
      </c>
      <c r="Q2065" s="25">
        <v>1579</v>
      </c>
      <c r="R2065" t="s">
        <v>436</v>
      </c>
    </row>
    <row r="2066" spans="1:18" s="13" customFormat="1" hidden="1">
      <c r="A2066" s="23" t="s">
        <v>4127</v>
      </c>
      <c r="B2066" s="23" t="s">
        <v>4128</v>
      </c>
      <c r="C2066" s="23">
        <v>2106</v>
      </c>
      <c r="G2066"/>
      <c r="I2066" s="14" t="str">
        <f>+IFERROR(VLOOKUP(C2066,'Mov 2023 hasta ahora '!$C$2:$D$314,2,FALSE),"NO")</f>
        <v>NO</v>
      </c>
      <c r="K2066">
        <v>6</v>
      </c>
      <c r="L2066" t="s">
        <v>836</v>
      </c>
      <c r="M2066">
        <v>24</v>
      </c>
      <c r="O2066" s="29" t="s">
        <v>8816</v>
      </c>
      <c r="P2066" s="25" t="s">
        <v>8806</v>
      </c>
      <c r="Q2066" s="25">
        <v>1589</v>
      </c>
      <c r="R2066" t="s">
        <v>436</v>
      </c>
    </row>
    <row r="2067" spans="1:18" hidden="1">
      <c r="A2067" t="s">
        <v>4129</v>
      </c>
      <c r="B2067" t="s">
        <v>4130</v>
      </c>
      <c r="I2067" s="3" t="str">
        <f>+IFERROR(VLOOKUP(C2067,'Mov 2023 hasta ahora '!$C$2:$D$314,2,FALSE),"NO")</f>
        <v>NO</v>
      </c>
      <c r="K2067">
        <v>4</v>
      </c>
      <c r="L2067" t="s">
        <v>836</v>
      </c>
      <c r="M2067">
        <v>14</v>
      </c>
    </row>
    <row r="2068" spans="1:18" hidden="1">
      <c r="A2068" t="s">
        <v>4131</v>
      </c>
      <c r="B2068" t="s">
        <v>4132</v>
      </c>
      <c r="I2068" s="3" t="str">
        <f>+IFERROR(VLOOKUP(C2068,'Mov 2023 hasta ahora '!$C$2:$D$314,2,FALSE),"NO")</f>
        <v>NO</v>
      </c>
      <c r="K2068">
        <v>5</v>
      </c>
      <c r="L2068" t="s">
        <v>836</v>
      </c>
      <c r="M2068">
        <v>18</v>
      </c>
    </row>
    <row r="2069" spans="1:18" s="13" customFormat="1" hidden="1">
      <c r="A2069" s="23" t="s">
        <v>4133</v>
      </c>
      <c r="B2069" s="23" t="s">
        <v>4134</v>
      </c>
      <c r="C2069" s="23">
        <v>2107</v>
      </c>
      <c r="G2069"/>
      <c r="I2069" s="14" t="str">
        <f>+IFERROR(VLOOKUP(C2069,'Mov 2023 hasta ahora '!$C$2:$D$314,2,FALSE),"NO")</f>
        <v>NO</v>
      </c>
      <c r="K2069">
        <v>6</v>
      </c>
      <c r="L2069" t="s">
        <v>836</v>
      </c>
      <c r="M2069">
        <v>24</v>
      </c>
      <c r="O2069" s="29" t="s">
        <v>8752</v>
      </c>
      <c r="P2069" s="25" t="s">
        <v>8995</v>
      </c>
      <c r="Q2069" s="25">
        <v>1481</v>
      </c>
      <c r="R2069" t="s">
        <v>436</v>
      </c>
    </row>
    <row r="2070" spans="1:18" s="13" customFormat="1" hidden="1">
      <c r="A2070" s="23" t="s">
        <v>4135</v>
      </c>
      <c r="B2070" s="23" t="s">
        <v>4136</v>
      </c>
      <c r="C2070" s="23">
        <v>2108</v>
      </c>
      <c r="G2070"/>
      <c r="I2070" s="14" t="str">
        <f>+IFERROR(VLOOKUP(C2070,'Mov 2023 hasta ahora '!$C$2:$D$314,2,FALSE),"NO")</f>
        <v>NO</v>
      </c>
      <c r="K2070">
        <v>6</v>
      </c>
      <c r="L2070" t="s">
        <v>836</v>
      </c>
      <c r="M2070">
        <v>24</v>
      </c>
      <c r="O2070" s="29" t="s">
        <v>8766</v>
      </c>
      <c r="P2070" s="25" t="s">
        <v>8996</v>
      </c>
      <c r="Q2070" s="25">
        <v>1473</v>
      </c>
      <c r="R2070" t="s">
        <v>436</v>
      </c>
    </row>
    <row r="2071" spans="1:18" hidden="1">
      <c r="A2071" t="s">
        <v>4137</v>
      </c>
      <c r="B2071" t="s">
        <v>4138</v>
      </c>
      <c r="I2071" s="3" t="str">
        <f>+IFERROR(VLOOKUP(C2071,'Mov 2023 hasta ahora '!$C$2:$D$314,2,FALSE),"NO")</f>
        <v>NO</v>
      </c>
      <c r="K2071">
        <v>4</v>
      </c>
      <c r="L2071" t="s">
        <v>836</v>
      </c>
      <c r="M2071">
        <v>14</v>
      </c>
    </row>
    <row r="2072" spans="1:18" hidden="1">
      <c r="A2072" t="s">
        <v>4139</v>
      </c>
      <c r="B2072" t="s">
        <v>4140</v>
      </c>
      <c r="I2072" s="3" t="str">
        <f>+IFERROR(VLOOKUP(C2072,'Mov 2023 hasta ahora '!$C$2:$D$314,2,FALSE),"NO")</f>
        <v>NO</v>
      </c>
      <c r="K2072">
        <v>5</v>
      </c>
      <c r="L2072" t="s">
        <v>836</v>
      </c>
      <c r="M2072">
        <v>18</v>
      </c>
    </row>
    <row r="2073" spans="1:18" s="13" customFormat="1" hidden="1">
      <c r="A2073" s="23" t="s">
        <v>4141</v>
      </c>
      <c r="B2073" s="23" t="s">
        <v>4142</v>
      </c>
      <c r="C2073" s="23">
        <v>2109</v>
      </c>
      <c r="G2073"/>
      <c r="I2073" s="14" t="str">
        <f>+IFERROR(VLOOKUP(C2073,'Mov 2023 hasta ahora '!$C$2:$D$314,2,FALSE),"NO")</f>
        <v>NO</v>
      </c>
      <c r="K2073">
        <v>6</v>
      </c>
      <c r="L2073" t="s">
        <v>836</v>
      </c>
      <c r="M2073">
        <v>24</v>
      </c>
      <c r="O2073" s="29" t="s">
        <v>8795</v>
      </c>
      <c r="P2073" s="25" t="s">
        <v>8798</v>
      </c>
      <c r="Q2073" s="25">
        <v>1489</v>
      </c>
      <c r="R2073" t="s">
        <v>436</v>
      </c>
    </row>
    <row r="2074" spans="1:18" s="13" customFormat="1" hidden="1">
      <c r="A2074" s="23" t="s">
        <v>4143</v>
      </c>
      <c r="B2074" s="23" t="s">
        <v>4144</v>
      </c>
      <c r="C2074" s="23">
        <v>2110</v>
      </c>
      <c r="G2074"/>
      <c r="I2074" s="14" t="str">
        <f>+IFERROR(VLOOKUP(C2074,'Mov 2023 hasta ahora '!$C$2:$D$314,2,FALSE),"NO")</f>
        <v>NO</v>
      </c>
      <c r="K2074">
        <v>6</v>
      </c>
      <c r="L2074" t="s">
        <v>836</v>
      </c>
      <c r="M2074">
        <v>24</v>
      </c>
      <c r="O2074" s="29" t="s">
        <v>8804</v>
      </c>
      <c r="P2074" s="25" t="s">
        <v>8808</v>
      </c>
      <c r="Q2074" s="25">
        <v>1497</v>
      </c>
      <c r="R2074" s="13" t="s">
        <v>436</v>
      </c>
    </row>
    <row r="2075" spans="1:18" hidden="1">
      <c r="A2075" t="s">
        <v>4145</v>
      </c>
      <c r="B2075" t="s">
        <v>4146</v>
      </c>
      <c r="I2075" s="3" t="str">
        <f>+IFERROR(VLOOKUP(C2075,'Mov 2023 hasta ahora '!$C$2:$D$314,2,FALSE),"NO")</f>
        <v>NO</v>
      </c>
      <c r="K2075">
        <v>4</v>
      </c>
      <c r="L2075" t="s">
        <v>836</v>
      </c>
      <c r="M2075">
        <v>14</v>
      </c>
    </row>
    <row r="2076" spans="1:18" hidden="1">
      <c r="A2076" t="s">
        <v>4147</v>
      </c>
      <c r="B2076" t="s">
        <v>4148</v>
      </c>
      <c r="I2076" s="3" t="str">
        <f>+IFERROR(VLOOKUP(C2076,'Mov 2023 hasta ahora '!$C$2:$D$314,2,FALSE),"NO")</f>
        <v>NO</v>
      </c>
      <c r="K2076">
        <v>5</v>
      </c>
      <c r="L2076" t="s">
        <v>836</v>
      </c>
      <c r="M2076">
        <v>18</v>
      </c>
    </row>
    <row r="2077" spans="1:18" s="13" customFormat="1" hidden="1">
      <c r="A2077" s="23" t="s">
        <v>4149</v>
      </c>
      <c r="B2077" s="23" t="s">
        <v>4150</v>
      </c>
      <c r="C2077" s="23">
        <v>2111</v>
      </c>
      <c r="G2077"/>
      <c r="I2077" s="14" t="str">
        <f>+IFERROR(VLOOKUP(C2077,'Mov 2023 hasta ahora '!$C$2:$D$314,2,FALSE),"NO")</f>
        <v>NO</v>
      </c>
      <c r="K2077">
        <v>6</v>
      </c>
      <c r="L2077" t="s">
        <v>836</v>
      </c>
      <c r="M2077">
        <v>24</v>
      </c>
      <c r="O2077" s="29" t="s">
        <v>9002</v>
      </c>
      <c r="P2077" s="25" t="s">
        <v>8799</v>
      </c>
      <c r="Q2077" s="25">
        <v>1513</v>
      </c>
      <c r="R2077" t="s">
        <v>436</v>
      </c>
    </row>
    <row r="2078" spans="1:18" s="13" customFormat="1" hidden="1">
      <c r="A2078" s="23" t="s">
        <v>4151</v>
      </c>
      <c r="B2078" s="23" t="s">
        <v>4152</v>
      </c>
      <c r="C2078" s="23">
        <v>2112</v>
      </c>
      <c r="G2078"/>
      <c r="I2078" s="14" t="str">
        <f>+IFERROR(VLOOKUP(C2078,'Mov 2023 hasta ahora '!$C$2:$D$314,2,FALSE),"NO")</f>
        <v>NO</v>
      </c>
      <c r="K2078">
        <v>6</v>
      </c>
      <c r="L2078" t="s">
        <v>836</v>
      </c>
      <c r="M2078">
        <v>24</v>
      </c>
      <c r="O2078" s="29" t="s">
        <v>9003</v>
      </c>
      <c r="P2078" s="25" t="s">
        <v>8803</v>
      </c>
      <c r="Q2078" s="25">
        <v>1505</v>
      </c>
      <c r="R2078" t="s">
        <v>436</v>
      </c>
    </row>
    <row r="2079" spans="1:18" hidden="1">
      <c r="A2079" t="s">
        <v>4153</v>
      </c>
      <c r="B2079" t="s">
        <v>4154</v>
      </c>
      <c r="I2079" s="3" t="str">
        <f>+IFERROR(VLOOKUP(C2079,'Mov 2023 hasta ahora '!$C$2:$D$314,2,FALSE),"NO")</f>
        <v>NO</v>
      </c>
      <c r="K2079">
        <v>4</v>
      </c>
      <c r="L2079" t="s">
        <v>836</v>
      </c>
      <c r="M2079">
        <v>14</v>
      </c>
    </row>
    <row r="2080" spans="1:18" hidden="1">
      <c r="A2080" t="s">
        <v>4155</v>
      </c>
      <c r="B2080" t="s">
        <v>4156</v>
      </c>
      <c r="I2080" s="3" t="str">
        <f>+IFERROR(VLOOKUP(C2080,'Mov 2023 hasta ahora '!$C$2:$D$314,2,FALSE),"NO")</f>
        <v>NO</v>
      </c>
      <c r="K2080">
        <v>5</v>
      </c>
      <c r="L2080" t="s">
        <v>836</v>
      </c>
      <c r="M2080">
        <v>18</v>
      </c>
    </row>
    <row r="2081" spans="1:18" hidden="1">
      <c r="A2081" s="23" t="s">
        <v>4157</v>
      </c>
      <c r="B2081" s="23" t="s">
        <v>4158</v>
      </c>
      <c r="C2081" s="23">
        <v>2113</v>
      </c>
      <c r="I2081" s="3" t="str">
        <f>+IFERROR(VLOOKUP(C2081,'Mov 2023 hasta ahora '!$C$2:$D$314,2,FALSE),"NO")</f>
        <v>NO</v>
      </c>
      <c r="K2081">
        <v>6</v>
      </c>
      <c r="L2081" t="s">
        <v>836</v>
      </c>
      <c r="M2081">
        <v>24</v>
      </c>
      <c r="O2081" s="29" t="s">
        <v>8861</v>
      </c>
      <c r="P2081" s="25" t="s">
        <v>8868</v>
      </c>
      <c r="Q2081" s="25">
        <v>1419</v>
      </c>
      <c r="R2081" t="s">
        <v>436</v>
      </c>
    </row>
    <row r="2082" spans="1:18" hidden="1">
      <c r="A2082" t="s">
        <v>4159</v>
      </c>
      <c r="B2082" t="s">
        <v>4160</v>
      </c>
      <c r="I2082" s="3" t="str">
        <f>+IFERROR(VLOOKUP(C2082,'Mov 2023 hasta ahora '!$C$2:$D$314,2,FALSE),"NO")</f>
        <v>NO</v>
      </c>
      <c r="K2082">
        <v>5</v>
      </c>
      <c r="L2082" t="s">
        <v>836</v>
      </c>
      <c r="M2082">
        <v>18</v>
      </c>
    </row>
    <row r="2083" spans="1:18" hidden="1">
      <c r="A2083" s="23" t="s">
        <v>4161</v>
      </c>
      <c r="B2083" s="23" t="s">
        <v>4162</v>
      </c>
      <c r="C2083" s="23">
        <v>2114</v>
      </c>
      <c r="I2083" s="3" t="str">
        <f>+IFERROR(VLOOKUP(C2083,'Mov 2023 hasta ahora '!$C$2:$D$314,2,FALSE),"NO")</f>
        <v>NO</v>
      </c>
      <c r="K2083">
        <v>6</v>
      </c>
      <c r="L2083" t="s">
        <v>836</v>
      </c>
      <c r="M2083">
        <v>24</v>
      </c>
      <c r="O2083" s="29" t="s">
        <v>9049</v>
      </c>
      <c r="P2083" s="25" t="s">
        <v>9050</v>
      </c>
      <c r="Q2083" s="25">
        <v>1363</v>
      </c>
      <c r="R2083" t="s">
        <v>436</v>
      </c>
    </row>
    <row r="2084" spans="1:18" hidden="1">
      <c r="A2084" s="23" t="s">
        <v>4163</v>
      </c>
      <c r="B2084" s="23" t="s">
        <v>4164</v>
      </c>
      <c r="C2084" s="23">
        <v>2115</v>
      </c>
      <c r="I2084" s="3" t="str">
        <f>+IFERROR(VLOOKUP(C2084,'Mov 2023 hasta ahora '!$C$2:$D$314,2,FALSE),"NO")</f>
        <v>NO</v>
      </c>
      <c r="K2084">
        <v>6</v>
      </c>
      <c r="L2084" t="s">
        <v>836</v>
      </c>
      <c r="M2084">
        <v>24</v>
      </c>
      <c r="O2084" s="29" t="s">
        <v>9014</v>
      </c>
      <c r="P2084" s="25" t="s">
        <v>8890</v>
      </c>
      <c r="Q2084" s="25">
        <v>1244</v>
      </c>
      <c r="R2084" t="s">
        <v>436</v>
      </c>
    </row>
    <row r="2085" spans="1:18" hidden="1">
      <c r="A2085" s="23" t="s">
        <v>4165</v>
      </c>
      <c r="B2085" s="23" t="s">
        <v>4166</v>
      </c>
      <c r="C2085" s="23">
        <v>2116</v>
      </c>
      <c r="I2085" s="3" t="str">
        <f>+IFERROR(VLOOKUP(C2085,'Mov 2023 hasta ahora '!$C$2:$D$314,2,FALSE),"NO")</f>
        <v>NO</v>
      </c>
      <c r="K2085">
        <v>6</v>
      </c>
      <c r="L2085" t="s">
        <v>836</v>
      </c>
      <c r="M2085">
        <v>24</v>
      </c>
      <c r="O2085" s="29" t="s">
        <v>9030</v>
      </c>
      <c r="P2085" s="25" t="s">
        <v>9029</v>
      </c>
      <c r="Q2085" s="25">
        <v>3817</v>
      </c>
      <c r="R2085" t="s">
        <v>436</v>
      </c>
    </row>
    <row r="2086" spans="1:18" s="13" customFormat="1" hidden="1">
      <c r="A2086" s="23" t="s">
        <v>4167</v>
      </c>
      <c r="B2086" s="23" t="s">
        <v>4168</v>
      </c>
      <c r="C2086" s="23">
        <v>2117</v>
      </c>
      <c r="G2086"/>
      <c r="I2086" s="14" t="str">
        <f>+IFERROR(VLOOKUP(C2086,'Mov 2023 hasta ahora '!$C$2:$D$314,2,FALSE),"NO")</f>
        <v>NO</v>
      </c>
      <c r="K2086">
        <v>6</v>
      </c>
      <c r="L2086" t="s">
        <v>836</v>
      </c>
      <c r="M2086">
        <v>24</v>
      </c>
      <c r="O2086" s="29" t="s">
        <v>8825</v>
      </c>
      <c r="P2086" s="25" t="s">
        <v>8832</v>
      </c>
      <c r="Q2086" s="25">
        <v>3601</v>
      </c>
      <c r="R2086" t="s">
        <v>436</v>
      </c>
    </row>
    <row r="2087" spans="1:18" s="13" customFormat="1" hidden="1">
      <c r="A2087" s="23" t="s">
        <v>4169</v>
      </c>
      <c r="B2087" s="23" t="s">
        <v>4170</v>
      </c>
      <c r="C2087" s="23">
        <v>2118</v>
      </c>
      <c r="G2087"/>
      <c r="I2087" s="14" t="str">
        <f>+IFERROR(VLOOKUP(C2087,'Mov 2023 hasta ahora '!$C$2:$D$314,2,FALSE),"NO")</f>
        <v>NO</v>
      </c>
      <c r="K2087">
        <v>6</v>
      </c>
      <c r="L2087" t="s">
        <v>836</v>
      </c>
      <c r="M2087">
        <v>24</v>
      </c>
      <c r="O2087" s="29" t="s">
        <v>8992</v>
      </c>
      <c r="P2087" s="25" t="s">
        <v>8836</v>
      </c>
      <c r="Q2087" s="25">
        <v>3603</v>
      </c>
      <c r="R2087" t="s">
        <v>436</v>
      </c>
    </row>
    <row r="2088" spans="1:18" hidden="1">
      <c r="A2088" t="s">
        <v>4171</v>
      </c>
      <c r="B2088" t="s">
        <v>1297</v>
      </c>
      <c r="I2088" s="3" t="str">
        <f>+IFERROR(VLOOKUP(C2088,'Mov 2023 hasta ahora '!$C$2:$D$314,2,FALSE),"NO")</f>
        <v>NO</v>
      </c>
      <c r="K2088">
        <v>3</v>
      </c>
      <c r="L2088" t="s">
        <v>836</v>
      </c>
      <c r="M2088">
        <v>10</v>
      </c>
    </row>
    <row r="2089" spans="1:18" hidden="1">
      <c r="A2089" t="s">
        <v>4172</v>
      </c>
      <c r="B2089" t="s">
        <v>4173</v>
      </c>
      <c r="I2089" s="3" t="str">
        <f>+IFERROR(VLOOKUP(C2089,'Mov 2023 hasta ahora '!$C$2:$D$314,2,FALSE),"NO")</f>
        <v>NO</v>
      </c>
      <c r="K2089">
        <v>4</v>
      </c>
      <c r="L2089" t="s">
        <v>836</v>
      </c>
      <c r="M2089">
        <v>14</v>
      </c>
    </row>
    <row r="2090" spans="1:18" hidden="1">
      <c r="A2090" t="s">
        <v>4174</v>
      </c>
      <c r="B2090" t="s">
        <v>4175</v>
      </c>
      <c r="I2090" s="3" t="str">
        <f>+IFERROR(VLOOKUP(C2090,'Mov 2023 hasta ahora '!$C$2:$D$314,2,FALSE),"NO")</f>
        <v>NO</v>
      </c>
      <c r="K2090">
        <v>5</v>
      </c>
      <c r="L2090" t="s">
        <v>836</v>
      </c>
      <c r="M2090">
        <v>18</v>
      </c>
    </row>
    <row r="2091" spans="1:18" hidden="1">
      <c r="A2091" s="23" t="s">
        <v>4176</v>
      </c>
      <c r="B2091" s="23" t="s">
        <v>4177</v>
      </c>
      <c r="C2091" s="23">
        <v>2038</v>
      </c>
      <c r="I2091" s="3" t="str">
        <f>+IFERROR(VLOOKUP(C2091,'Mov 2023 hasta ahora '!$C$2:$D$314,2,FALSE),"NO")</f>
        <v>NO</v>
      </c>
      <c r="K2091">
        <v>6</v>
      </c>
      <c r="L2091" t="s">
        <v>836</v>
      </c>
      <c r="M2091">
        <v>24</v>
      </c>
      <c r="O2091" s="29" t="s">
        <v>8794</v>
      </c>
      <c r="P2091" s="25" t="s">
        <v>8982</v>
      </c>
      <c r="Q2091" s="25">
        <v>1441</v>
      </c>
      <c r="R2091" t="s">
        <v>436</v>
      </c>
    </row>
    <row r="2092" spans="1:18" hidden="1">
      <c r="A2092" s="23" t="s">
        <v>4178</v>
      </c>
      <c r="B2092" s="23" t="s">
        <v>4179</v>
      </c>
      <c r="C2092" s="23">
        <v>2039</v>
      </c>
      <c r="I2092" s="3" t="str">
        <f>+IFERROR(VLOOKUP(C2092,'Mov 2023 hasta ahora '!$C$2:$D$314,2,FALSE),"NO")</f>
        <v>NO</v>
      </c>
      <c r="K2092">
        <v>6</v>
      </c>
      <c r="L2092" t="s">
        <v>836</v>
      </c>
      <c r="M2092">
        <v>24</v>
      </c>
      <c r="O2092" s="29" t="s">
        <v>8809</v>
      </c>
      <c r="P2092" s="25" t="s">
        <v>8983</v>
      </c>
      <c r="Q2092" s="25">
        <v>1448</v>
      </c>
      <c r="R2092" t="s">
        <v>436</v>
      </c>
    </row>
    <row r="2093" spans="1:18" hidden="1">
      <c r="A2093" t="s">
        <v>4180</v>
      </c>
      <c r="B2093" t="s">
        <v>4181</v>
      </c>
      <c r="I2093" s="3" t="str">
        <f>+IFERROR(VLOOKUP(C2093,'Mov 2023 hasta ahora '!$C$2:$D$314,2,FALSE),"NO")</f>
        <v>NO</v>
      </c>
      <c r="K2093">
        <v>5</v>
      </c>
      <c r="L2093" t="s">
        <v>836</v>
      </c>
      <c r="M2093">
        <v>18</v>
      </c>
    </row>
    <row r="2094" spans="1:18" hidden="1">
      <c r="A2094" s="23" t="s">
        <v>4182</v>
      </c>
      <c r="B2094" s="23" t="s">
        <v>4183</v>
      </c>
      <c r="C2094" s="23">
        <v>2040</v>
      </c>
      <c r="I2094" s="3" t="str">
        <f>+IFERROR(VLOOKUP(C2094,'Mov 2023 hasta ahora '!$C$2:$D$314,2,FALSE),"NO")</f>
        <v>NO</v>
      </c>
      <c r="K2094">
        <v>6</v>
      </c>
      <c r="L2094" t="s">
        <v>836</v>
      </c>
      <c r="M2094">
        <v>24</v>
      </c>
      <c r="O2094" s="29" t="s">
        <v>8794</v>
      </c>
      <c r="P2094" s="25" t="s">
        <v>8982</v>
      </c>
      <c r="Q2094" s="25">
        <v>1441</v>
      </c>
      <c r="R2094" t="s">
        <v>436</v>
      </c>
    </row>
    <row r="2095" spans="1:18" hidden="1">
      <c r="A2095" s="23" t="s">
        <v>4184</v>
      </c>
      <c r="B2095" s="23" t="s">
        <v>4185</v>
      </c>
      <c r="C2095" s="23">
        <v>2041</v>
      </c>
      <c r="I2095" s="3" t="str">
        <f>+IFERROR(VLOOKUP(C2095,'Mov 2023 hasta ahora '!$C$2:$D$314,2,FALSE),"NO")</f>
        <v>NO</v>
      </c>
      <c r="K2095">
        <v>6</v>
      </c>
      <c r="L2095" t="s">
        <v>836</v>
      </c>
      <c r="M2095">
        <v>24</v>
      </c>
      <c r="O2095" s="29" t="s">
        <v>8809</v>
      </c>
      <c r="P2095" s="25" t="s">
        <v>8983</v>
      </c>
      <c r="Q2095" s="25">
        <v>1448</v>
      </c>
      <c r="R2095" t="s">
        <v>436</v>
      </c>
    </row>
    <row r="2096" spans="1:18" hidden="1">
      <c r="A2096" t="s">
        <v>4186</v>
      </c>
      <c r="B2096" t="s">
        <v>4187</v>
      </c>
      <c r="I2096" s="3" t="str">
        <f>+IFERROR(VLOOKUP(C2096,'Mov 2023 hasta ahora '!$C$2:$D$314,2,FALSE),"NO")</f>
        <v>NO</v>
      </c>
      <c r="K2096">
        <v>4</v>
      </c>
      <c r="L2096" t="s">
        <v>836</v>
      </c>
      <c r="M2096">
        <v>14</v>
      </c>
    </row>
    <row r="2097" spans="1:18" hidden="1">
      <c r="A2097" t="s">
        <v>4188</v>
      </c>
      <c r="B2097" t="s">
        <v>4189</v>
      </c>
      <c r="I2097" s="3" t="str">
        <f>+IFERROR(VLOOKUP(C2097,'Mov 2023 hasta ahora '!$C$2:$D$314,2,FALSE),"NO")</f>
        <v>NO</v>
      </c>
      <c r="K2097">
        <v>5</v>
      </c>
      <c r="L2097" t="s">
        <v>836</v>
      </c>
      <c r="M2097">
        <v>18</v>
      </c>
    </row>
    <row r="2098" spans="1:18" s="13" customFormat="1" hidden="1">
      <c r="A2098" s="23" t="s">
        <v>4190</v>
      </c>
      <c r="B2098" s="23" t="s">
        <v>4191</v>
      </c>
      <c r="C2098" s="23">
        <v>2042</v>
      </c>
      <c r="G2098"/>
      <c r="I2098" s="14" t="str">
        <f>+IFERROR(VLOOKUP(C2098,'Mov 2023 hasta ahora '!$C$2:$D$314,2,FALSE),"NO")</f>
        <v>NO</v>
      </c>
      <c r="K2098">
        <v>6</v>
      </c>
      <c r="L2098" t="s">
        <v>836</v>
      </c>
      <c r="M2098">
        <v>24</v>
      </c>
      <c r="O2098" s="29" t="s">
        <v>8794</v>
      </c>
      <c r="P2098" s="25" t="s">
        <v>8982</v>
      </c>
      <c r="Q2098" s="25">
        <v>1441</v>
      </c>
      <c r="R2098" t="s">
        <v>436</v>
      </c>
    </row>
    <row r="2099" spans="1:18" s="13" customFormat="1" hidden="1">
      <c r="A2099" s="23" t="s">
        <v>4192</v>
      </c>
      <c r="B2099" s="23" t="s">
        <v>4193</v>
      </c>
      <c r="C2099" s="23">
        <v>2043</v>
      </c>
      <c r="G2099"/>
      <c r="I2099" s="14" t="str">
        <f>+IFERROR(VLOOKUP(C2099,'Mov 2023 hasta ahora '!$C$2:$D$314,2,FALSE),"NO")</f>
        <v>NO</v>
      </c>
      <c r="K2099">
        <v>6</v>
      </c>
      <c r="L2099" t="s">
        <v>836</v>
      </c>
      <c r="M2099">
        <v>24</v>
      </c>
      <c r="O2099" s="29" t="s">
        <v>8809</v>
      </c>
      <c r="P2099" s="25" t="s">
        <v>8983</v>
      </c>
      <c r="Q2099" s="25">
        <v>1448</v>
      </c>
      <c r="R2099" t="s">
        <v>436</v>
      </c>
    </row>
    <row r="2100" spans="1:18" hidden="1">
      <c r="A2100" t="s">
        <v>4194</v>
      </c>
      <c r="B2100" t="s">
        <v>4195</v>
      </c>
      <c r="I2100" s="3" t="str">
        <f>+IFERROR(VLOOKUP(C2100,'Mov 2023 hasta ahora '!$C$2:$D$314,2,FALSE),"NO")</f>
        <v>NO</v>
      </c>
      <c r="K2100">
        <v>4</v>
      </c>
      <c r="L2100" t="s">
        <v>836</v>
      </c>
      <c r="M2100">
        <v>14</v>
      </c>
    </row>
    <row r="2101" spans="1:18" hidden="1">
      <c r="A2101" t="s">
        <v>4196</v>
      </c>
      <c r="B2101" t="s">
        <v>4197</v>
      </c>
      <c r="I2101" s="3" t="str">
        <f>+IFERROR(VLOOKUP(C2101,'Mov 2023 hasta ahora '!$C$2:$D$314,2,FALSE),"NO")</f>
        <v>NO</v>
      </c>
      <c r="K2101">
        <v>5</v>
      </c>
      <c r="L2101" t="s">
        <v>836</v>
      </c>
      <c r="M2101">
        <v>18</v>
      </c>
    </row>
    <row r="2102" spans="1:18" s="13" customFormat="1" hidden="1">
      <c r="A2102" s="23" t="s">
        <v>4198</v>
      </c>
      <c r="B2102" s="23" t="s">
        <v>4199</v>
      </c>
      <c r="C2102" s="23">
        <v>2044</v>
      </c>
      <c r="G2102"/>
      <c r="I2102" s="14" t="str">
        <f>+IFERROR(VLOOKUP(C2102,'Mov 2023 hasta ahora '!$C$2:$D$314,2,FALSE),"NO")</f>
        <v>NO</v>
      </c>
      <c r="K2102">
        <v>6</v>
      </c>
      <c r="L2102" t="s">
        <v>836</v>
      </c>
      <c r="M2102">
        <v>24</v>
      </c>
      <c r="O2102" s="29" t="s">
        <v>8800</v>
      </c>
      <c r="P2102" s="25" t="s">
        <v>8988</v>
      </c>
      <c r="Q2102" s="25">
        <v>1457</v>
      </c>
      <c r="R2102" t="s">
        <v>436</v>
      </c>
    </row>
    <row r="2103" spans="1:18" s="13" customFormat="1" hidden="1">
      <c r="A2103" s="23" t="s">
        <v>4200</v>
      </c>
      <c r="B2103" s="23" t="s">
        <v>4201</v>
      </c>
      <c r="C2103" s="23">
        <v>2045</v>
      </c>
      <c r="G2103"/>
      <c r="I2103" s="14" t="str">
        <f>+IFERROR(VLOOKUP(C2103,'Mov 2023 hasta ahora '!$C$2:$D$314,2,FALSE),"NO")</f>
        <v>NO</v>
      </c>
      <c r="K2103">
        <v>6</v>
      </c>
      <c r="L2103" t="s">
        <v>836</v>
      </c>
      <c r="M2103">
        <v>24</v>
      </c>
      <c r="O2103" s="29" t="s">
        <v>8810</v>
      </c>
      <c r="P2103" s="25" t="s">
        <v>8989</v>
      </c>
      <c r="Q2103" s="25">
        <v>1465</v>
      </c>
      <c r="R2103" t="s">
        <v>436</v>
      </c>
    </row>
    <row r="2104" spans="1:18" hidden="1">
      <c r="A2104" t="s">
        <v>4202</v>
      </c>
      <c r="B2104" t="s">
        <v>4203</v>
      </c>
      <c r="I2104" s="3" t="str">
        <f>+IFERROR(VLOOKUP(C2104,'Mov 2023 hasta ahora '!$C$2:$D$314,2,FALSE),"NO")</f>
        <v>NO</v>
      </c>
      <c r="K2104">
        <v>4</v>
      </c>
      <c r="L2104" t="s">
        <v>836</v>
      </c>
      <c r="M2104">
        <v>14</v>
      </c>
    </row>
    <row r="2105" spans="1:18" hidden="1">
      <c r="A2105" t="s">
        <v>4204</v>
      </c>
      <c r="B2105" t="s">
        <v>4205</v>
      </c>
      <c r="I2105" s="3" t="str">
        <f>+IFERROR(VLOOKUP(C2105,'Mov 2023 hasta ahora '!$C$2:$D$314,2,FALSE),"NO")</f>
        <v>NO</v>
      </c>
      <c r="K2105">
        <v>5</v>
      </c>
      <c r="L2105" t="s">
        <v>836</v>
      </c>
      <c r="M2105">
        <v>18</v>
      </c>
    </row>
    <row r="2106" spans="1:18" s="13" customFormat="1" hidden="1">
      <c r="A2106" s="23" t="s">
        <v>4206</v>
      </c>
      <c r="B2106" s="23" t="s">
        <v>4207</v>
      </c>
      <c r="C2106" s="23">
        <v>2046</v>
      </c>
      <c r="G2106"/>
      <c r="I2106" s="14" t="str">
        <f>+IFERROR(VLOOKUP(C2106,'Mov 2023 hasta ahora '!$C$2:$D$314,2,FALSE),"NO")</f>
        <v>NO</v>
      </c>
      <c r="K2106">
        <v>6</v>
      </c>
      <c r="L2106" t="s">
        <v>836</v>
      </c>
      <c r="M2106">
        <v>24</v>
      </c>
      <c r="O2106" s="29" t="s">
        <v>8815</v>
      </c>
      <c r="P2106" s="25" t="s">
        <v>8796</v>
      </c>
      <c r="Q2106" s="25">
        <v>1579</v>
      </c>
      <c r="R2106" t="s">
        <v>436</v>
      </c>
    </row>
    <row r="2107" spans="1:18" s="13" customFormat="1" hidden="1">
      <c r="A2107" s="23" t="s">
        <v>4208</v>
      </c>
      <c r="B2107" s="23" t="s">
        <v>4209</v>
      </c>
      <c r="C2107" s="23">
        <v>2047</v>
      </c>
      <c r="G2107"/>
      <c r="I2107" s="14" t="str">
        <f>+IFERROR(VLOOKUP(C2107,'Mov 2023 hasta ahora '!$C$2:$D$314,2,FALSE),"NO")</f>
        <v>NO</v>
      </c>
      <c r="K2107">
        <v>6</v>
      </c>
      <c r="L2107" t="s">
        <v>836</v>
      </c>
      <c r="M2107">
        <v>24</v>
      </c>
      <c r="O2107" s="29" t="s">
        <v>8816</v>
      </c>
      <c r="P2107" s="25" t="s">
        <v>8806</v>
      </c>
      <c r="Q2107" s="25">
        <v>1589</v>
      </c>
      <c r="R2107" t="s">
        <v>436</v>
      </c>
    </row>
    <row r="2108" spans="1:18" hidden="1">
      <c r="A2108" t="s">
        <v>4210</v>
      </c>
      <c r="B2108" t="s">
        <v>4211</v>
      </c>
      <c r="I2108" s="3" t="str">
        <f>+IFERROR(VLOOKUP(C2108,'Mov 2023 hasta ahora '!$C$2:$D$314,2,FALSE),"NO")</f>
        <v>NO</v>
      </c>
      <c r="K2108">
        <v>4</v>
      </c>
      <c r="L2108" t="s">
        <v>836</v>
      </c>
      <c r="M2108">
        <v>14</v>
      </c>
    </row>
    <row r="2109" spans="1:18" hidden="1">
      <c r="A2109" t="s">
        <v>4212</v>
      </c>
      <c r="B2109" t="s">
        <v>4213</v>
      </c>
      <c r="I2109" s="3" t="str">
        <f>+IFERROR(VLOOKUP(C2109,'Mov 2023 hasta ahora '!$C$2:$D$314,2,FALSE),"NO")</f>
        <v>NO</v>
      </c>
      <c r="K2109">
        <v>5</v>
      </c>
      <c r="L2109" t="s">
        <v>836</v>
      </c>
      <c r="M2109">
        <v>18</v>
      </c>
    </row>
    <row r="2110" spans="1:18" s="13" customFormat="1" hidden="1">
      <c r="A2110" s="23" t="s">
        <v>4214</v>
      </c>
      <c r="B2110" s="23" t="s">
        <v>4215</v>
      </c>
      <c r="C2110" s="23">
        <v>2048</v>
      </c>
      <c r="G2110"/>
      <c r="I2110" s="14" t="str">
        <f>+IFERROR(VLOOKUP(C2110,'Mov 2023 hasta ahora '!$C$2:$D$314,2,FALSE),"NO")</f>
        <v>NO</v>
      </c>
      <c r="K2110">
        <v>6</v>
      </c>
      <c r="L2110" t="s">
        <v>836</v>
      </c>
      <c r="M2110">
        <v>24</v>
      </c>
      <c r="O2110" s="29" t="s">
        <v>8752</v>
      </c>
      <c r="P2110" s="25" t="s">
        <v>8995</v>
      </c>
      <c r="Q2110" s="25">
        <v>1481</v>
      </c>
      <c r="R2110" t="s">
        <v>436</v>
      </c>
    </row>
    <row r="2111" spans="1:18" s="13" customFormat="1" hidden="1">
      <c r="A2111" s="23" t="s">
        <v>4216</v>
      </c>
      <c r="B2111" s="23" t="s">
        <v>4217</v>
      </c>
      <c r="C2111" s="23">
        <v>2049</v>
      </c>
      <c r="G2111"/>
      <c r="I2111" s="14" t="str">
        <f>+IFERROR(VLOOKUP(C2111,'Mov 2023 hasta ahora '!$C$2:$D$314,2,FALSE),"NO")</f>
        <v>NO</v>
      </c>
      <c r="K2111">
        <v>6</v>
      </c>
      <c r="L2111" t="s">
        <v>836</v>
      </c>
      <c r="M2111">
        <v>24</v>
      </c>
      <c r="O2111" s="29" t="s">
        <v>8766</v>
      </c>
      <c r="P2111" s="25" t="s">
        <v>8996</v>
      </c>
      <c r="Q2111" s="25">
        <v>1473</v>
      </c>
      <c r="R2111" t="s">
        <v>436</v>
      </c>
    </row>
    <row r="2112" spans="1:18" hidden="1">
      <c r="A2112" t="s">
        <v>4218</v>
      </c>
      <c r="B2112" t="s">
        <v>4219</v>
      </c>
      <c r="I2112" s="3" t="str">
        <f>+IFERROR(VLOOKUP(C2112,'Mov 2023 hasta ahora '!$C$2:$D$314,2,FALSE),"NO")</f>
        <v>NO</v>
      </c>
      <c r="K2112">
        <v>4</v>
      </c>
      <c r="L2112" t="s">
        <v>836</v>
      </c>
      <c r="M2112">
        <v>14</v>
      </c>
    </row>
    <row r="2113" spans="1:18" hidden="1">
      <c r="A2113" t="s">
        <v>4220</v>
      </c>
      <c r="B2113" t="s">
        <v>4221</v>
      </c>
      <c r="I2113" s="3" t="str">
        <f>+IFERROR(VLOOKUP(C2113,'Mov 2023 hasta ahora '!$C$2:$D$314,2,FALSE),"NO")</f>
        <v>NO</v>
      </c>
      <c r="K2113">
        <v>5</v>
      </c>
      <c r="L2113" t="s">
        <v>836</v>
      </c>
      <c r="M2113">
        <v>18</v>
      </c>
    </row>
    <row r="2114" spans="1:18" s="13" customFormat="1" hidden="1">
      <c r="A2114" s="23" t="s">
        <v>4222</v>
      </c>
      <c r="B2114" s="23" t="s">
        <v>4223</v>
      </c>
      <c r="C2114" s="23">
        <v>2050</v>
      </c>
      <c r="G2114"/>
      <c r="I2114" s="14" t="str">
        <f>+IFERROR(VLOOKUP(C2114,'Mov 2023 hasta ahora '!$C$2:$D$314,2,FALSE),"NO")</f>
        <v>NO</v>
      </c>
      <c r="K2114">
        <v>6</v>
      </c>
      <c r="L2114" t="s">
        <v>836</v>
      </c>
      <c r="M2114">
        <v>24</v>
      </c>
      <c r="O2114" s="29" t="s">
        <v>8795</v>
      </c>
      <c r="P2114" s="25" t="s">
        <v>8798</v>
      </c>
      <c r="Q2114" s="25">
        <v>1489</v>
      </c>
      <c r="R2114" t="s">
        <v>436</v>
      </c>
    </row>
    <row r="2115" spans="1:18" s="13" customFormat="1" hidden="1">
      <c r="A2115" s="23" t="s">
        <v>4224</v>
      </c>
      <c r="B2115" s="23" t="s">
        <v>4225</v>
      </c>
      <c r="C2115" s="23">
        <v>2051</v>
      </c>
      <c r="G2115"/>
      <c r="I2115" s="14" t="str">
        <f>+IFERROR(VLOOKUP(C2115,'Mov 2023 hasta ahora '!$C$2:$D$314,2,FALSE),"NO")</f>
        <v>NO</v>
      </c>
      <c r="K2115">
        <v>6</v>
      </c>
      <c r="L2115" t="s">
        <v>836</v>
      </c>
      <c r="M2115">
        <v>24</v>
      </c>
      <c r="O2115" s="29" t="s">
        <v>8804</v>
      </c>
      <c r="P2115" s="25" t="s">
        <v>8808</v>
      </c>
      <c r="Q2115" s="25">
        <v>1497</v>
      </c>
      <c r="R2115" s="13" t="s">
        <v>436</v>
      </c>
    </row>
    <row r="2116" spans="1:18" hidden="1">
      <c r="A2116" t="s">
        <v>4226</v>
      </c>
      <c r="B2116" t="s">
        <v>4227</v>
      </c>
      <c r="I2116" s="3" t="str">
        <f>+IFERROR(VLOOKUP(C2116,'Mov 2023 hasta ahora '!$C$2:$D$314,2,FALSE),"NO")</f>
        <v>NO</v>
      </c>
      <c r="K2116">
        <v>4</v>
      </c>
      <c r="L2116" t="s">
        <v>836</v>
      </c>
      <c r="M2116">
        <v>14</v>
      </c>
    </row>
    <row r="2117" spans="1:18" hidden="1">
      <c r="A2117" t="s">
        <v>4228</v>
      </c>
      <c r="B2117" t="s">
        <v>4229</v>
      </c>
      <c r="I2117" s="3" t="str">
        <f>+IFERROR(VLOOKUP(C2117,'Mov 2023 hasta ahora '!$C$2:$D$314,2,FALSE),"NO")</f>
        <v>NO</v>
      </c>
      <c r="K2117">
        <v>5</v>
      </c>
      <c r="L2117" t="s">
        <v>836</v>
      </c>
      <c r="M2117">
        <v>18</v>
      </c>
    </row>
    <row r="2118" spans="1:18" s="13" customFormat="1" hidden="1">
      <c r="A2118" s="23" t="s">
        <v>4230</v>
      </c>
      <c r="B2118" s="23" t="s">
        <v>4231</v>
      </c>
      <c r="C2118" s="23">
        <v>2052</v>
      </c>
      <c r="G2118"/>
      <c r="I2118" s="14" t="str">
        <f>+IFERROR(VLOOKUP(C2118,'Mov 2023 hasta ahora '!$C$2:$D$314,2,FALSE),"NO")</f>
        <v>NO</v>
      </c>
      <c r="K2118">
        <v>6</v>
      </c>
      <c r="L2118" t="s">
        <v>836</v>
      </c>
      <c r="M2118">
        <v>24</v>
      </c>
      <c r="O2118" s="29" t="s">
        <v>9002</v>
      </c>
      <c r="P2118" s="25" t="s">
        <v>8799</v>
      </c>
      <c r="Q2118" s="25">
        <v>1513</v>
      </c>
      <c r="R2118" t="s">
        <v>436</v>
      </c>
    </row>
    <row r="2119" spans="1:18" s="13" customFormat="1" hidden="1">
      <c r="A2119" s="23" t="s">
        <v>4232</v>
      </c>
      <c r="B2119" s="23" t="s">
        <v>4233</v>
      </c>
      <c r="C2119" s="23">
        <v>2053</v>
      </c>
      <c r="G2119"/>
      <c r="I2119" s="14" t="str">
        <f>+IFERROR(VLOOKUP(C2119,'Mov 2023 hasta ahora '!$C$2:$D$314,2,FALSE),"NO")</f>
        <v>NO</v>
      </c>
      <c r="K2119">
        <v>6</v>
      </c>
      <c r="L2119" t="s">
        <v>836</v>
      </c>
      <c r="M2119">
        <v>24</v>
      </c>
      <c r="O2119" s="29" t="s">
        <v>9003</v>
      </c>
      <c r="P2119" s="25" t="s">
        <v>8803</v>
      </c>
      <c r="Q2119" s="25">
        <v>1505</v>
      </c>
      <c r="R2119" t="s">
        <v>436</v>
      </c>
    </row>
    <row r="2120" spans="1:18" hidden="1">
      <c r="A2120" t="s">
        <v>4234</v>
      </c>
      <c r="B2120" t="s">
        <v>4235</v>
      </c>
      <c r="I2120" s="3" t="str">
        <f>+IFERROR(VLOOKUP(C2120,'Mov 2023 hasta ahora '!$C$2:$D$314,2,FALSE),"NO")</f>
        <v>NO</v>
      </c>
      <c r="K2120">
        <v>4</v>
      </c>
      <c r="L2120" t="s">
        <v>836</v>
      </c>
      <c r="M2120">
        <v>14</v>
      </c>
    </row>
    <row r="2121" spans="1:18" hidden="1">
      <c r="A2121" t="s">
        <v>4236</v>
      </c>
      <c r="B2121" t="s">
        <v>4237</v>
      </c>
      <c r="I2121" s="3" t="str">
        <f>+IFERROR(VLOOKUP(C2121,'Mov 2023 hasta ahora '!$C$2:$D$314,2,FALSE),"NO")</f>
        <v>NO</v>
      </c>
      <c r="K2121">
        <v>5</v>
      </c>
      <c r="L2121" t="s">
        <v>836</v>
      </c>
      <c r="M2121">
        <v>18</v>
      </c>
    </row>
    <row r="2122" spans="1:18" hidden="1">
      <c r="A2122" s="23" t="s">
        <v>4238</v>
      </c>
      <c r="B2122" s="23" t="s">
        <v>4239</v>
      </c>
      <c r="C2122" s="23">
        <v>2054</v>
      </c>
      <c r="I2122" s="3" t="str">
        <f>+IFERROR(VLOOKUP(C2122,'Mov 2023 hasta ahora '!$C$2:$D$314,2,FALSE),"NO")</f>
        <v>NO</v>
      </c>
      <c r="K2122">
        <v>6</v>
      </c>
      <c r="L2122" t="s">
        <v>836</v>
      </c>
      <c r="M2122">
        <v>24</v>
      </c>
      <c r="O2122" s="29" t="s">
        <v>8861</v>
      </c>
      <c r="P2122" s="25" t="s">
        <v>8868</v>
      </c>
      <c r="Q2122" s="25">
        <v>1419</v>
      </c>
      <c r="R2122" t="s">
        <v>436</v>
      </c>
    </row>
    <row r="2123" spans="1:18" hidden="1">
      <c r="A2123" t="s">
        <v>4240</v>
      </c>
      <c r="B2123" t="s">
        <v>4241</v>
      </c>
      <c r="I2123" s="3" t="str">
        <f>+IFERROR(VLOOKUP(C2123,'Mov 2023 hasta ahora '!$C$2:$D$314,2,FALSE),"NO")</f>
        <v>NO</v>
      </c>
      <c r="K2123">
        <v>5</v>
      </c>
      <c r="L2123" t="s">
        <v>836</v>
      </c>
      <c r="M2123">
        <v>18</v>
      </c>
    </row>
    <row r="2124" spans="1:18" hidden="1">
      <c r="A2124" s="23" t="s">
        <v>4242</v>
      </c>
      <c r="B2124" s="23" t="s">
        <v>4243</v>
      </c>
      <c r="C2124" s="23">
        <v>2055</v>
      </c>
      <c r="I2124" s="3" t="str">
        <f>+IFERROR(VLOOKUP(C2124,'Mov 2023 hasta ahora '!$C$2:$D$314,2,FALSE),"NO")</f>
        <v>NO</v>
      </c>
      <c r="K2124">
        <v>6</v>
      </c>
      <c r="L2124" t="s">
        <v>836</v>
      </c>
      <c r="M2124">
        <v>24</v>
      </c>
      <c r="O2124" s="29" t="s">
        <v>9049</v>
      </c>
      <c r="P2124" s="25" t="s">
        <v>9050</v>
      </c>
      <c r="Q2124" s="25">
        <v>1363</v>
      </c>
      <c r="R2124" t="s">
        <v>436</v>
      </c>
    </row>
    <row r="2125" spans="1:18" hidden="1">
      <c r="A2125" s="23" t="s">
        <v>4244</v>
      </c>
      <c r="B2125" s="23" t="s">
        <v>4245</v>
      </c>
      <c r="C2125" s="23">
        <v>2056</v>
      </c>
      <c r="I2125" s="3" t="str">
        <f>+IFERROR(VLOOKUP(C2125,'Mov 2023 hasta ahora '!$C$2:$D$314,2,FALSE),"NO")</f>
        <v>NO</v>
      </c>
      <c r="K2125">
        <v>6</v>
      </c>
      <c r="L2125" t="s">
        <v>836</v>
      </c>
      <c r="M2125">
        <v>24</v>
      </c>
      <c r="O2125" s="29" t="s">
        <v>9014</v>
      </c>
      <c r="P2125" s="25" t="s">
        <v>8890</v>
      </c>
      <c r="Q2125" s="25">
        <v>1244</v>
      </c>
      <c r="R2125" t="s">
        <v>436</v>
      </c>
    </row>
    <row r="2126" spans="1:18" hidden="1">
      <c r="A2126" s="23" t="s">
        <v>4246</v>
      </c>
      <c r="B2126" s="23" t="s">
        <v>4247</v>
      </c>
      <c r="C2126" s="23">
        <v>2057</v>
      </c>
      <c r="I2126" s="3" t="str">
        <f>+IFERROR(VLOOKUP(C2126,'Mov 2023 hasta ahora '!$C$2:$D$314,2,FALSE),"NO")</f>
        <v>NO</v>
      </c>
      <c r="K2126">
        <v>6</v>
      </c>
      <c r="L2126" t="s">
        <v>836</v>
      </c>
      <c r="M2126">
        <v>24</v>
      </c>
      <c r="O2126" s="29" t="s">
        <v>9030</v>
      </c>
      <c r="P2126" s="25" t="s">
        <v>9029</v>
      </c>
      <c r="Q2126" s="25">
        <v>3817</v>
      </c>
      <c r="R2126" t="s">
        <v>436</v>
      </c>
    </row>
    <row r="2127" spans="1:18" hidden="1">
      <c r="A2127" t="s">
        <v>4248</v>
      </c>
      <c r="B2127" t="s">
        <v>1323</v>
      </c>
      <c r="I2127" s="3" t="str">
        <f>+IFERROR(VLOOKUP(C2127,'Mov 2023 hasta ahora '!$C$2:$D$314,2,FALSE),"NO")</f>
        <v>NO</v>
      </c>
      <c r="K2127">
        <v>3</v>
      </c>
      <c r="L2127" t="s">
        <v>836</v>
      </c>
      <c r="M2127">
        <v>10</v>
      </c>
    </row>
    <row r="2128" spans="1:18" hidden="1">
      <c r="A2128" t="s">
        <v>4249</v>
      </c>
      <c r="B2128" t="s">
        <v>4250</v>
      </c>
      <c r="I2128" s="3" t="str">
        <f>+IFERROR(VLOOKUP(C2128,'Mov 2023 hasta ahora '!$C$2:$D$314,2,FALSE),"NO")</f>
        <v>NO</v>
      </c>
      <c r="K2128">
        <v>4</v>
      </c>
      <c r="L2128" t="s">
        <v>836</v>
      </c>
      <c r="M2128">
        <v>14</v>
      </c>
    </row>
    <row r="2129" spans="1:18" hidden="1">
      <c r="A2129" t="s">
        <v>4251</v>
      </c>
      <c r="B2129" t="s">
        <v>4252</v>
      </c>
      <c r="I2129" s="3" t="str">
        <f>+IFERROR(VLOOKUP(C2129,'Mov 2023 hasta ahora '!$C$2:$D$314,2,FALSE),"NO")</f>
        <v>NO</v>
      </c>
      <c r="K2129">
        <v>5</v>
      </c>
      <c r="L2129" t="s">
        <v>836</v>
      </c>
      <c r="M2129">
        <v>18</v>
      </c>
    </row>
    <row r="2130" spans="1:18" hidden="1">
      <c r="A2130" s="23" t="s">
        <v>4253</v>
      </c>
      <c r="B2130" s="23" t="s">
        <v>4254</v>
      </c>
      <c r="C2130" s="23">
        <v>2076</v>
      </c>
      <c r="I2130" s="3" t="str">
        <f>+IFERROR(VLOOKUP(C2130,'Mov 2023 hasta ahora '!$C$2:$D$314,2,FALSE),"NO")</f>
        <v>NO</v>
      </c>
      <c r="K2130">
        <v>6</v>
      </c>
      <c r="L2130" t="s">
        <v>836</v>
      </c>
      <c r="M2130">
        <v>24</v>
      </c>
      <c r="O2130" s="29" t="s">
        <v>8794</v>
      </c>
      <c r="P2130" s="25" t="s">
        <v>8982</v>
      </c>
      <c r="Q2130" s="25">
        <v>1441</v>
      </c>
      <c r="R2130" t="s">
        <v>436</v>
      </c>
    </row>
    <row r="2131" spans="1:18" hidden="1">
      <c r="A2131" s="23" t="s">
        <v>4255</v>
      </c>
      <c r="B2131" s="23" t="s">
        <v>4256</v>
      </c>
      <c r="C2131" s="23">
        <v>2077</v>
      </c>
      <c r="I2131" s="3" t="str">
        <f>+IFERROR(VLOOKUP(C2131,'Mov 2023 hasta ahora '!$C$2:$D$314,2,FALSE),"NO")</f>
        <v>NO</v>
      </c>
      <c r="K2131">
        <v>6</v>
      </c>
      <c r="L2131" t="s">
        <v>836</v>
      </c>
      <c r="M2131">
        <v>24</v>
      </c>
      <c r="O2131" s="29" t="s">
        <v>8809</v>
      </c>
      <c r="P2131" s="25" t="s">
        <v>8983</v>
      </c>
      <c r="Q2131" s="25">
        <v>1448</v>
      </c>
      <c r="R2131" t="s">
        <v>436</v>
      </c>
    </row>
    <row r="2132" spans="1:18" hidden="1">
      <c r="A2132" t="s">
        <v>4257</v>
      </c>
      <c r="B2132" t="s">
        <v>4258</v>
      </c>
      <c r="I2132" s="3" t="str">
        <f>+IFERROR(VLOOKUP(C2132,'Mov 2023 hasta ahora '!$C$2:$D$314,2,FALSE),"NO")</f>
        <v>NO</v>
      </c>
      <c r="K2132">
        <v>5</v>
      </c>
      <c r="L2132" t="s">
        <v>836</v>
      </c>
      <c r="M2132">
        <v>18</v>
      </c>
    </row>
    <row r="2133" spans="1:18" hidden="1">
      <c r="A2133" s="23" t="s">
        <v>4259</v>
      </c>
      <c r="B2133" s="23" t="s">
        <v>4260</v>
      </c>
      <c r="C2133" s="23">
        <v>2078</v>
      </c>
      <c r="I2133" s="3" t="str">
        <f>+IFERROR(VLOOKUP(C2133,'Mov 2023 hasta ahora '!$C$2:$D$314,2,FALSE),"NO")</f>
        <v>NO</v>
      </c>
      <c r="K2133">
        <v>6</v>
      </c>
      <c r="L2133" t="s">
        <v>836</v>
      </c>
      <c r="M2133">
        <v>24</v>
      </c>
      <c r="O2133" s="29" t="s">
        <v>8794</v>
      </c>
      <c r="P2133" s="25" t="s">
        <v>8982</v>
      </c>
      <c r="Q2133" s="25">
        <v>1441</v>
      </c>
      <c r="R2133" t="s">
        <v>436</v>
      </c>
    </row>
    <row r="2134" spans="1:18" hidden="1">
      <c r="A2134" s="23" t="s">
        <v>4261</v>
      </c>
      <c r="B2134" s="23" t="s">
        <v>4262</v>
      </c>
      <c r="C2134" s="23">
        <v>2079</v>
      </c>
      <c r="I2134" s="3" t="str">
        <f>+IFERROR(VLOOKUP(C2134,'Mov 2023 hasta ahora '!$C$2:$D$314,2,FALSE),"NO")</f>
        <v>NO</v>
      </c>
      <c r="K2134">
        <v>6</v>
      </c>
      <c r="L2134" t="s">
        <v>836</v>
      </c>
      <c r="M2134">
        <v>24</v>
      </c>
      <c r="O2134" s="29" t="s">
        <v>8809</v>
      </c>
      <c r="P2134" s="25" t="s">
        <v>8983</v>
      </c>
      <c r="Q2134" s="25">
        <v>1448</v>
      </c>
      <c r="R2134" t="s">
        <v>436</v>
      </c>
    </row>
    <row r="2135" spans="1:18" hidden="1">
      <c r="A2135" t="s">
        <v>4263</v>
      </c>
      <c r="B2135" t="s">
        <v>4264</v>
      </c>
      <c r="I2135" s="3" t="str">
        <f>+IFERROR(VLOOKUP(C2135,'Mov 2023 hasta ahora '!$C$2:$D$314,2,FALSE),"NO")</f>
        <v>NO</v>
      </c>
      <c r="K2135">
        <v>4</v>
      </c>
      <c r="L2135" t="s">
        <v>836</v>
      </c>
      <c r="M2135">
        <v>14</v>
      </c>
    </row>
    <row r="2136" spans="1:18" hidden="1">
      <c r="A2136" t="s">
        <v>4265</v>
      </c>
      <c r="B2136" t="s">
        <v>4266</v>
      </c>
      <c r="I2136" s="3" t="str">
        <f>+IFERROR(VLOOKUP(C2136,'Mov 2023 hasta ahora '!$C$2:$D$314,2,FALSE),"NO")</f>
        <v>NO</v>
      </c>
      <c r="K2136">
        <v>5</v>
      </c>
      <c r="L2136" t="s">
        <v>836</v>
      </c>
      <c r="M2136">
        <v>18</v>
      </c>
    </row>
    <row r="2137" spans="1:18" s="13" customFormat="1" hidden="1">
      <c r="A2137" s="23" t="s">
        <v>4267</v>
      </c>
      <c r="B2137" s="23" t="s">
        <v>4268</v>
      </c>
      <c r="C2137" s="23">
        <v>2080</v>
      </c>
      <c r="G2137"/>
      <c r="I2137" s="14" t="str">
        <f>+IFERROR(VLOOKUP(C2137,'Mov 2023 hasta ahora '!$C$2:$D$314,2,FALSE),"NO")</f>
        <v>NO</v>
      </c>
      <c r="K2137">
        <v>6</v>
      </c>
      <c r="L2137" t="s">
        <v>836</v>
      </c>
      <c r="M2137">
        <v>24</v>
      </c>
      <c r="O2137" s="29" t="s">
        <v>8794</v>
      </c>
      <c r="P2137" s="25" t="s">
        <v>8982</v>
      </c>
      <c r="Q2137" s="25">
        <v>1441</v>
      </c>
      <c r="R2137" t="s">
        <v>436</v>
      </c>
    </row>
    <row r="2138" spans="1:18" s="13" customFormat="1" hidden="1">
      <c r="A2138" s="23" t="s">
        <v>4269</v>
      </c>
      <c r="B2138" s="23" t="s">
        <v>4270</v>
      </c>
      <c r="C2138" s="23">
        <v>2081</v>
      </c>
      <c r="G2138"/>
      <c r="I2138" s="14" t="str">
        <f>+IFERROR(VLOOKUP(C2138,'Mov 2023 hasta ahora '!$C$2:$D$314,2,FALSE),"NO")</f>
        <v>NO</v>
      </c>
      <c r="K2138">
        <v>6</v>
      </c>
      <c r="L2138" t="s">
        <v>836</v>
      </c>
      <c r="M2138">
        <v>24</v>
      </c>
      <c r="O2138" s="29" t="s">
        <v>8809</v>
      </c>
      <c r="P2138" s="25" t="s">
        <v>8983</v>
      </c>
      <c r="Q2138" s="25">
        <v>1448</v>
      </c>
      <c r="R2138" t="s">
        <v>436</v>
      </c>
    </row>
    <row r="2139" spans="1:18" hidden="1">
      <c r="A2139" t="s">
        <v>4271</v>
      </c>
      <c r="B2139" t="s">
        <v>4272</v>
      </c>
      <c r="I2139" s="3" t="str">
        <f>+IFERROR(VLOOKUP(C2139,'Mov 2023 hasta ahora '!$C$2:$D$314,2,FALSE),"NO")</f>
        <v>NO</v>
      </c>
      <c r="K2139">
        <v>4</v>
      </c>
      <c r="L2139" t="s">
        <v>836</v>
      </c>
      <c r="M2139">
        <v>14</v>
      </c>
    </row>
    <row r="2140" spans="1:18" hidden="1">
      <c r="A2140" t="s">
        <v>4273</v>
      </c>
      <c r="B2140" t="s">
        <v>4274</v>
      </c>
      <c r="I2140" s="3" t="str">
        <f>+IFERROR(VLOOKUP(C2140,'Mov 2023 hasta ahora '!$C$2:$D$314,2,FALSE),"NO")</f>
        <v>NO</v>
      </c>
      <c r="K2140">
        <v>5</v>
      </c>
      <c r="L2140" t="s">
        <v>836</v>
      </c>
      <c r="M2140">
        <v>18</v>
      </c>
    </row>
    <row r="2141" spans="1:18" s="13" customFormat="1" hidden="1">
      <c r="A2141" s="23" t="s">
        <v>4275</v>
      </c>
      <c r="B2141" s="23" t="s">
        <v>4276</v>
      </c>
      <c r="C2141" s="23">
        <v>2082</v>
      </c>
      <c r="G2141"/>
      <c r="I2141" s="14" t="str">
        <f>+IFERROR(VLOOKUP(C2141,'Mov 2023 hasta ahora '!$C$2:$D$314,2,FALSE),"NO")</f>
        <v>NO</v>
      </c>
      <c r="K2141">
        <v>6</v>
      </c>
      <c r="L2141" t="s">
        <v>836</v>
      </c>
      <c r="M2141">
        <v>24</v>
      </c>
      <c r="O2141" s="29" t="s">
        <v>8800</v>
      </c>
      <c r="P2141" s="25" t="s">
        <v>8988</v>
      </c>
      <c r="Q2141" s="25">
        <v>1457</v>
      </c>
      <c r="R2141" t="s">
        <v>436</v>
      </c>
    </row>
    <row r="2142" spans="1:18" s="13" customFormat="1" hidden="1">
      <c r="A2142" s="23" t="s">
        <v>4277</v>
      </c>
      <c r="B2142" s="23" t="s">
        <v>4278</v>
      </c>
      <c r="C2142" s="23">
        <v>2083</v>
      </c>
      <c r="G2142"/>
      <c r="I2142" s="14" t="str">
        <f>+IFERROR(VLOOKUP(C2142,'Mov 2023 hasta ahora '!$C$2:$D$314,2,FALSE),"NO")</f>
        <v>NO</v>
      </c>
      <c r="K2142">
        <v>6</v>
      </c>
      <c r="L2142" t="s">
        <v>836</v>
      </c>
      <c r="M2142">
        <v>24</v>
      </c>
      <c r="O2142" s="29" t="s">
        <v>8810</v>
      </c>
      <c r="P2142" s="25" t="s">
        <v>8989</v>
      </c>
      <c r="Q2142" s="25">
        <v>1465</v>
      </c>
      <c r="R2142" t="s">
        <v>436</v>
      </c>
    </row>
    <row r="2143" spans="1:18" hidden="1">
      <c r="A2143" t="s">
        <v>4279</v>
      </c>
      <c r="B2143" t="s">
        <v>4280</v>
      </c>
      <c r="I2143" s="3" t="str">
        <f>+IFERROR(VLOOKUP(C2143,'Mov 2023 hasta ahora '!$C$2:$D$314,2,FALSE),"NO")</f>
        <v>NO</v>
      </c>
      <c r="K2143">
        <v>4</v>
      </c>
      <c r="L2143" t="s">
        <v>836</v>
      </c>
      <c r="M2143">
        <v>14</v>
      </c>
    </row>
    <row r="2144" spans="1:18" hidden="1">
      <c r="A2144" t="s">
        <v>4281</v>
      </c>
      <c r="B2144" t="s">
        <v>4282</v>
      </c>
      <c r="I2144" s="3" t="str">
        <f>+IFERROR(VLOOKUP(C2144,'Mov 2023 hasta ahora '!$C$2:$D$314,2,FALSE),"NO")</f>
        <v>NO</v>
      </c>
      <c r="K2144">
        <v>5</v>
      </c>
      <c r="L2144" t="s">
        <v>836</v>
      </c>
      <c r="M2144">
        <v>18</v>
      </c>
    </row>
    <row r="2145" spans="1:18" s="13" customFormat="1" hidden="1">
      <c r="A2145" s="23" t="s">
        <v>4283</v>
      </c>
      <c r="B2145" s="23" t="s">
        <v>4284</v>
      </c>
      <c r="C2145" s="23">
        <v>2084</v>
      </c>
      <c r="G2145"/>
      <c r="I2145" s="14" t="str">
        <f>+IFERROR(VLOOKUP(C2145,'Mov 2023 hasta ahora '!$C$2:$D$314,2,FALSE),"NO")</f>
        <v>NO</v>
      </c>
      <c r="K2145">
        <v>6</v>
      </c>
      <c r="L2145" t="s">
        <v>836</v>
      </c>
      <c r="M2145">
        <v>24</v>
      </c>
      <c r="O2145" s="29" t="s">
        <v>8815</v>
      </c>
      <c r="P2145" s="25" t="s">
        <v>8796</v>
      </c>
      <c r="Q2145" s="25">
        <v>1579</v>
      </c>
      <c r="R2145" t="s">
        <v>436</v>
      </c>
    </row>
    <row r="2146" spans="1:18" s="13" customFormat="1" hidden="1">
      <c r="A2146" s="23" t="s">
        <v>4285</v>
      </c>
      <c r="B2146" s="23" t="s">
        <v>4286</v>
      </c>
      <c r="C2146" s="23">
        <v>2085</v>
      </c>
      <c r="G2146"/>
      <c r="I2146" s="14" t="str">
        <f>+IFERROR(VLOOKUP(C2146,'Mov 2023 hasta ahora '!$C$2:$D$314,2,FALSE),"NO")</f>
        <v>NO</v>
      </c>
      <c r="K2146">
        <v>6</v>
      </c>
      <c r="L2146" t="s">
        <v>836</v>
      </c>
      <c r="M2146">
        <v>24</v>
      </c>
      <c r="O2146" s="29" t="s">
        <v>8816</v>
      </c>
      <c r="P2146" s="25" t="s">
        <v>8806</v>
      </c>
      <c r="Q2146" s="25">
        <v>1589</v>
      </c>
      <c r="R2146" t="s">
        <v>436</v>
      </c>
    </row>
    <row r="2147" spans="1:18" hidden="1">
      <c r="A2147" t="s">
        <v>4287</v>
      </c>
      <c r="B2147" t="s">
        <v>4288</v>
      </c>
      <c r="I2147" s="3" t="str">
        <f>+IFERROR(VLOOKUP(C2147,'Mov 2023 hasta ahora '!$C$2:$D$314,2,FALSE),"NO")</f>
        <v>NO</v>
      </c>
      <c r="K2147">
        <v>4</v>
      </c>
      <c r="L2147" t="s">
        <v>836</v>
      </c>
      <c r="M2147">
        <v>14</v>
      </c>
    </row>
    <row r="2148" spans="1:18" hidden="1">
      <c r="A2148" t="s">
        <v>4289</v>
      </c>
      <c r="B2148" t="s">
        <v>4290</v>
      </c>
      <c r="I2148" s="3" t="str">
        <f>+IFERROR(VLOOKUP(C2148,'Mov 2023 hasta ahora '!$C$2:$D$314,2,FALSE),"NO")</f>
        <v>NO</v>
      </c>
      <c r="K2148">
        <v>5</v>
      </c>
      <c r="L2148" t="s">
        <v>836</v>
      </c>
      <c r="M2148">
        <v>18</v>
      </c>
    </row>
    <row r="2149" spans="1:18" s="13" customFormat="1" hidden="1">
      <c r="A2149" s="23" t="s">
        <v>4291</v>
      </c>
      <c r="B2149" s="23" t="s">
        <v>4292</v>
      </c>
      <c r="C2149" s="23">
        <v>2086</v>
      </c>
      <c r="G2149"/>
      <c r="I2149" s="14" t="str">
        <f>+IFERROR(VLOOKUP(C2149,'Mov 2023 hasta ahora '!$C$2:$D$314,2,FALSE),"NO")</f>
        <v>NO</v>
      </c>
      <c r="K2149">
        <v>6</v>
      </c>
      <c r="L2149" t="s">
        <v>836</v>
      </c>
      <c r="M2149">
        <v>24</v>
      </c>
      <c r="O2149" s="29" t="s">
        <v>8752</v>
      </c>
      <c r="P2149" s="25" t="s">
        <v>8995</v>
      </c>
      <c r="Q2149" s="25">
        <v>1481</v>
      </c>
      <c r="R2149" t="s">
        <v>436</v>
      </c>
    </row>
    <row r="2150" spans="1:18" s="13" customFormat="1" hidden="1">
      <c r="A2150" s="23" t="s">
        <v>4293</v>
      </c>
      <c r="B2150" s="23" t="s">
        <v>4294</v>
      </c>
      <c r="C2150" s="23">
        <v>2087</v>
      </c>
      <c r="G2150"/>
      <c r="I2150" s="14" t="str">
        <f>+IFERROR(VLOOKUP(C2150,'Mov 2023 hasta ahora '!$C$2:$D$314,2,FALSE),"NO")</f>
        <v>NO</v>
      </c>
      <c r="K2150">
        <v>6</v>
      </c>
      <c r="L2150" t="s">
        <v>836</v>
      </c>
      <c r="M2150">
        <v>24</v>
      </c>
      <c r="O2150" s="29" t="s">
        <v>8766</v>
      </c>
      <c r="P2150" s="25" t="s">
        <v>8996</v>
      </c>
      <c r="Q2150" s="25">
        <v>1473</v>
      </c>
      <c r="R2150" t="s">
        <v>436</v>
      </c>
    </row>
    <row r="2151" spans="1:18" hidden="1">
      <c r="A2151" t="s">
        <v>4295</v>
      </c>
      <c r="B2151" t="s">
        <v>4296</v>
      </c>
      <c r="I2151" s="3" t="str">
        <f>+IFERROR(VLOOKUP(C2151,'Mov 2023 hasta ahora '!$C$2:$D$314,2,FALSE),"NO")</f>
        <v>NO</v>
      </c>
      <c r="K2151">
        <v>4</v>
      </c>
      <c r="L2151" t="s">
        <v>836</v>
      </c>
      <c r="M2151">
        <v>14</v>
      </c>
    </row>
    <row r="2152" spans="1:18" hidden="1">
      <c r="A2152" t="s">
        <v>4297</v>
      </c>
      <c r="B2152" t="s">
        <v>4298</v>
      </c>
      <c r="I2152" s="3" t="str">
        <f>+IFERROR(VLOOKUP(C2152,'Mov 2023 hasta ahora '!$C$2:$D$314,2,FALSE),"NO")</f>
        <v>NO</v>
      </c>
      <c r="K2152">
        <v>5</v>
      </c>
      <c r="L2152" t="s">
        <v>836</v>
      </c>
      <c r="M2152">
        <v>18</v>
      </c>
    </row>
    <row r="2153" spans="1:18" s="13" customFormat="1" hidden="1">
      <c r="A2153" s="23" t="s">
        <v>4299</v>
      </c>
      <c r="B2153" s="23" t="s">
        <v>4300</v>
      </c>
      <c r="C2153" s="23">
        <v>2088</v>
      </c>
      <c r="G2153"/>
      <c r="I2153" s="14" t="str">
        <f>+IFERROR(VLOOKUP(C2153,'Mov 2023 hasta ahora '!$C$2:$D$314,2,FALSE),"NO")</f>
        <v>NO</v>
      </c>
      <c r="K2153">
        <v>6</v>
      </c>
      <c r="L2153" t="s">
        <v>836</v>
      </c>
      <c r="M2153">
        <v>24</v>
      </c>
      <c r="O2153" s="29" t="s">
        <v>8795</v>
      </c>
      <c r="P2153" s="25" t="s">
        <v>8798</v>
      </c>
      <c r="Q2153" s="25">
        <v>1489</v>
      </c>
      <c r="R2153" t="s">
        <v>436</v>
      </c>
    </row>
    <row r="2154" spans="1:18" s="13" customFormat="1" hidden="1">
      <c r="A2154" s="23" t="s">
        <v>4301</v>
      </c>
      <c r="B2154" s="23" t="s">
        <v>4302</v>
      </c>
      <c r="C2154" s="23">
        <v>2089</v>
      </c>
      <c r="G2154"/>
      <c r="I2154" s="14" t="str">
        <f>+IFERROR(VLOOKUP(C2154,'Mov 2023 hasta ahora '!$C$2:$D$314,2,FALSE),"NO")</f>
        <v>NO</v>
      </c>
      <c r="K2154">
        <v>6</v>
      </c>
      <c r="L2154" t="s">
        <v>836</v>
      </c>
      <c r="M2154">
        <v>24</v>
      </c>
      <c r="O2154" s="29" t="s">
        <v>8804</v>
      </c>
      <c r="P2154" s="25" t="s">
        <v>8808</v>
      </c>
      <c r="Q2154" s="25">
        <v>1497</v>
      </c>
      <c r="R2154" s="13" t="s">
        <v>436</v>
      </c>
    </row>
    <row r="2155" spans="1:18" hidden="1">
      <c r="A2155" t="s">
        <v>4303</v>
      </c>
      <c r="B2155" t="s">
        <v>4304</v>
      </c>
      <c r="I2155" s="3" t="str">
        <f>+IFERROR(VLOOKUP(C2155,'Mov 2023 hasta ahora '!$C$2:$D$314,2,FALSE),"NO")</f>
        <v>NO</v>
      </c>
      <c r="K2155">
        <v>4</v>
      </c>
      <c r="L2155" t="s">
        <v>836</v>
      </c>
      <c r="M2155">
        <v>14</v>
      </c>
    </row>
    <row r="2156" spans="1:18" hidden="1">
      <c r="A2156" t="s">
        <v>4305</v>
      </c>
      <c r="B2156" t="s">
        <v>4306</v>
      </c>
      <c r="I2156" s="3" t="str">
        <f>+IFERROR(VLOOKUP(C2156,'Mov 2023 hasta ahora '!$C$2:$D$314,2,FALSE),"NO")</f>
        <v>NO</v>
      </c>
      <c r="K2156">
        <v>5</v>
      </c>
      <c r="L2156" t="s">
        <v>836</v>
      </c>
      <c r="M2156">
        <v>18</v>
      </c>
    </row>
    <row r="2157" spans="1:18" s="13" customFormat="1" hidden="1">
      <c r="A2157" s="23" t="s">
        <v>4307</v>
      </c>
      <c r="B2157" s="23" t="s">
        <v>4308</v>
      </c>
      <c r="C2157" s="23">
        <v>2090</v>
      </c>
      <c r="G2157"/>
      <c r="I2157" s="14" t="str">
        <f>+IFERROR(VLOOKUP(C2157,'Mov 2023 hasta ahora '!$C$2:$D$314,2,FALSE),"NO")</f>
        <v>NO</v>
      </c>
      <c r="K2157">
        <v>6</v>
      </c>
      <c r="L2157" t="s">
        <v>836</v>
      </c>
      <c r="M2157">
        <v>24</v>
      </c>
      <c r="O2157" s="29" t="s">
        <v>9002</v>
      </c>
      <c r="P2157" s="25" t="s">
        <v>8799</v>
      </c>
      <c r="Q2157" s="25">
        <v>1513</v>
      </c>
      <c r="R2157" t="s">
        <v>436</v>
      </c>
    </row>
    <row r="2158" spans="1:18" s="13" customFormat="1" hidden="1">
      <c r="A2158" s="23" t="s">
        <v>4309</v>
      </c>
      <c r="B2158" s="23" t="s">
        <v>4310</v>
      </c>
      <c r="C2158" s="23">
        <v>2091</v>
      </c>
      <c r="G2158"/>
      <c r="I2158" s="14" t="str">
        <f>+IFERROR(VLOOKUP(C2158,'Mov 2023 hasta ahora '!$C$2:$D$314,2,FALSE),"NO")</f>
        <v>NO</v>
      </c>
      <c r="K2158">
        <v>6</v>
      </c>
      <c r="L2158" t="s">
        <v>836</v>
      </c>
      <c r="M2158">
        <v>24</v>
      </c>
      <c r="O2158" s="29" t="s">
        <v>9003</v>
      </c>
      <c r="P2158" s="25" t="s">
        <v>8803</v>
      </c>
      <c r="Q2158" s="25">
        <v>1505</v>
      </c>
      <c r="R2158" t="s">
        <v>436</v>
      </c>
    </row>
    <row r="2159" spans="1:18" hidden="1">
      <c r="A2159" t="s">
        <v>4311</v>
      </c>
      <c r="B2159" t="s">
        <v>4312</v>
      </c>
      <c r="I2159" s="3" t="str">
        <f>+IFERROR(VLOOKUP(C2159,'Mov 2023 hasta ahora '!$C$2:$D$314,2,FALSE),"NO")</f>
        <v>NO</v>
      </c>
      <c r="K2159">
        <v>4</v>
      </c>
      <c r="L2159" t="s">
        <v>836</v>
      </c>
      <c r="M2159">
        <v>14</v>
      </c>
    </row>
    <row r="2160" spans="1:18" hidden="1">
      <c r="A2160" t="s">
        <v>4313</v>
      </c>
      <c r="B2160" t="s">
        <v>4314</v>
      </c>
      <c r="I2160" s="3" t="str">
        <f>+IFERROR(VLOOKUP(C2160,'Mov 2023 hasta ahora '!$C$2:$D$314,2,FALSE),"NO")</f>
        <v>NO</v>
      </c>
      <c r="K2160">
        <v>5</v>
      </c>
      <c r="L2160" t="s">
        <v>836</v>
      </c>
      <c r="M2160">
        <v>18</v>
      </c>
    </row>
    <row r="2161" spans="1:18" hidden="1">
      <c r="A2161" s="23" t="s">
        <v>4315</v>
      </c>
      <c r="B2161" s="23" t="s">
        <v>4316</v>
      </c>
      <c r="C2161" s="23">
        <v>2092</v>
      </c>
      <c r="I2161" s="3" t="str">
        <f>+IFERROR(VLOOKUP(C2161,'Mov 2023 hasta ahora '!$C$2:$D$314,2,FALSE),"NO")</f>
        <v>NO</v>
      </c>
      <c r="K2161">
        <v>6</v>
      </c>
      <c r="L2161" t="s">
        <v>836</v>
      </c>
      <c r="M2161">
        <v>24</v>
      </c>
      <c r="O2161" s="29" t="s">
        <v>8861</v>
      </c>
      <c r="P2161" s="25" t="s">
        <v>8868</v>
      </c>
      <c r="Q2161" s="25">
        <v>1419</v>
      </c>
      <c r="R2161" t="s">
        <v>436</v>
      </c>
    </row>
    <row r="2162" spans="1:18" hidden="1">
      <c r="A2162" t="s">
        <v>4317</v>
      </c>
      <c r="B2162" t="s">
        <v>4318</v>
      </c>
      <c r="I2162" s="3" t="str">
        <f>+IFERROR(VLOOKUP(C2162,'Mov 2023 hasta ahora '!$C$2:$D$314,2,FALSE),"NO")</f>
        <v>NO</v>
      </c>
      <c r="K2162">
        <v>5</v>
      </c>
      <c r="L2162" t="s">
        <v>836</v>
      </c>
      <c r="M2162">
        <v>18</v>
      </c>
    </row>
    <row r="2163" spans="1:18" hidden="1">
      <c r="A2163" s="23" t="s">
        <v>4319</v>
      </c>
      <c r="B2163" s="23" t="s">
        <v>4320</v>
      </c>
      <c r="C2163" s="23">
        <v>2093</v>
      </c>
      <c r="I2163" s="3" t="str">
        <f>+IFERROR(VLOOKUP(C2163,'Mov 2023 hasta ahora '!$C$2:$D$314,2,FALSE),"NO")</f>
        <v>NO</v>
      </c>
      <c r="K2163">
        <v>6</v>
      </c>
      <c r="L2163" t="s">
        <v>836</v>
      </c>
      <c r="M2163">
        <v>24</v>
      </c>
      <c r="O2163" s="29" t="s">
        <v>9049</v>
      </c>
      <c r="P2163" s="25" t="s">
        <v>9050</v>
      </c>
      <c r="Q2163" s="25">
        <v>1363</v>
      </c>
      <c r="R2163" t="s">
        <v>436</v>
      </c>
    </row>
    <row r="2164" spans="1:18" hidden="1">
      <c r="A2164" s="23" t="s">
        <v>4321</v>
      </c>
      <c r="B2164" s="23" t="s">
        <v>4322</v>
      </c>
      <c r="C2164" s="23">
        <v>2094</v>
      </c>
      <c r="I2164" s="3" t="str">
        <f>+IFERROR(VLOOKUP(C2164,'Mov 2023 hasta ahora '!$C$2:$D$314,2,FALSE),"NO")</f>
        <v>NO</v>
      </c>
      <c r="K2164">
        <v>6</v>
      </c>
      <c r="L2164" t="s">
        <v>836</v>
      </c>
      <c r="M2164">
        <v>24</v>
      </c>
      <c r="O2164" s="29" t="s">
        <v>9014</v>
      </c>
      <c r="P2164" s="25" t="s">
        <v>8890</v>
      </c>
      <c r="Q2164" s="25">
        <v>1244</v>
      </c>
      <c r="R2164" t="s">
        <v>436</v>
      </c>
    </row>
    <row r="2165" spans="1:18" hidden="1">
      <c r="A2165" s="23" t="s">
        <v>4323</v>
      </c>
      <c r="B2165" s="23" t="s">
        <v>4324</v>
      </c>
      <c r="C2165" s="23">
        <v>2095</v>
      </c>
      <c r="I2165" s="3" t="str">
        <f>+IFERROR(VLOOKUP(C2165,'Mov 2023 hasta ahora '!$C$2:$D$314,2,FALSE),"NO")</f>
        <v>NO</v>
      </c>
      <c r="K2165">
        <v>6</v>
      </c>
      <c r="L2165" t="s">
        <v>836</v>
      </c>
      <c r="M2165">
        <v>24</v>
      </c>
      <c r="O2165" s="29" t="s">
        <v>9030</v>
      </c>
      <c r="P2165" s="25" t="s">
        <v>9029</v>
      </c>
      <c r="Q2165" s="25">
        <v>3817</v>
      </c>
      <c r="R2165" t="s">
        <v>436</v>
      </c>
    </row>
    <row r="2166" spans="1:18" s="13" customFormat="1" hidden="1">
      <c r="A2166" s="23" t="s">
        <v>4325</v>
      </c>
      <c r="B2166" s="23" t="s">
        <v>4326</v>
      </c>
      <c r="C2166" s="23">
        <v>2128</v>
      </c>
      <c r="G2166"/>
      <c r="I2166" s="14" t="str">
        <f>+IFERROR(VLOOKUP(C2166,'Mov 2023 hasta ahora '!$C$2:$D$314,2,FALSE),"NO")</f>
        <v>NO</v>
      </c>
      <c r="K2166">
        <v>6</v>
      </c>
      <c r="L2166" t="s">
        <v>836</v>
      </c>
      <c r="M2166">
        <v>24</v>
      </c>
      <c r="O2166" s="29" t="s">
        <v>8825</v>
      </c>
      <c r="P2166" s="25" t="s">
        <v>8832</v>
      </c>
      <c r="Q2166" s="25">
        <v>3601</v>
      </c>
      <c r="R2166" t="s">
        <v>436</v>
      </c>
    </row>
    <row r="2167" spans="1:18" s="13" customFormat="1" hidden="1">
      <c r="A2167" s="23" t="s">
        <v>4327</v>
      </c>
      <c r="B2167" s="23" t="s">
        <v>4328</v>
      </c>
      <c r="C2167" s="23">
        <v>2129</v>
      </c>
      <c r="G2167"/>
      <c r="I2167" s="14" t="str">
        <f>+IFERROR(VLOOKUP(C2167,'Mov 2023 hasta ahora '!$C$2:$D$314,2,FALSE),"NO")</f>
        <v>NO</v>
      </c>
      <c r="K2167">
        <v>6</v>
      </c>
      <c r="L2167" t="s">
        <v>836</v>
      </c>
      <c r="M2167">
        <v>24</v>
      </c>
      <c r="O2167" s="29" t="s">
        <v>8992</v>
      </c>
      <c r="P2167" s="25" t="s">
        <v>8836</v>
      </c>
      <c r="Q2167" s="25">
        <v>3603</v>
      </c>
      <c r="R2167" t="s">
        <v>436</v>
      </c>
    </row>
    <row r="2168" spans="1:18" hidden="1">
      <c r="A2168" t="s">
        <v>4329</v>
      </c>
      <c r="B2168" t="s">
        <v>1349</v>
      </c>
      <c r="I2168" s="3" t="str">
        <f>+IFERROR(VLOOKUP(C2168,'Mov 2023 hasta ahora '!$C$2:$D$314,2,FALSE),"NO")</f>
        <v>NO</v>
      </c>
      <c r="K2168">
        <v>3</v>
      </c>
      <c r="L2168" t="s">
        <v>836</v>
      </c>
      <c r="M2168">
        <v>10</v>
      </c>
    </row>
    <row r="2169" spans="1:18" hidden="1">
      <c r="A2169" t="s">
        <v>4330</v>
      </c>
      <c r="B2169" t="s">
        <v>4331</v>
      </c>
      <c r="I2169" s="3" t="str">
        <f>+IFERROR(VLOOKUP(C2169,'Mov 2023 hasta ahora '!$C$2:$D$314,2,FALSE),"NO")</f>
        <v>NO</v>
      </c>
      <c r="K2169">
        <v>4</v>
      </c>
      <c r="L2169" t="s">
        <v>836</v>
      </c>
      <c r="M2169">
        <v>14</v>
      </c>
    </row>
    <row r="2170" spans="1:18" hidden="1">
      <c r="A2170" t="s">
        <v>4332</v>
      </c>
      <c r="B2170" t="s">
        <v>4333</v>
      </c>
      <c r="I2170" s="3" t="str">
        <f>+IFERROR(VLOOKUP(C2170,'Mov 2023 hasta ahora '!$C$2:$D$314,2,FALSE),"NO")</f>
        <v>NO</v>
      </c>
      <c r="K2170">
        <v>5</v>
      </c>
      <c r="L2170" t="s">
        <v>836</v>
      </c>
      <c r="M2170">
        <v>18</v>
      </c>
    </row>
    <row r="2171" spans="1:18" hidden="1">
      <c r="A2171" s="23" t="s">
        <v>4334</v>
      </c>
      <c r="B2171" s="23" t="s">
        <v>4335</v>
      </c>
      <c r="C2171" s="23">
        <v>2146</v>
      </c>
      <c r="I2171" s="3" t="str">
        <f>+IFERROR(VLOOKUP(C2171,'Mov 2023 hasta ahora '!$C$2:$D$314,2,FALSE),"NO")</f>
        <v>NO</v>
      </c>
      <c r="K2171">
        <v>6</v>
      </c>
      <c r="L2171" t="s">
        <v>836</v>
      </c>
      <c r="M2171">
        <v>24</v>
      </c>
      <c r="O2171" s="29" t="s">
        <v>8794</v>
      </c>
      <c r="P2171" s="25" t="s">
        <v>8982</v>
      </c>
      <c r="Q2171" s="25">
        <v>1441</v>
      </c>
      <c r="R2171" t="s">
        <v>436</v>
      </c>
    </row>
    <row r="2172" spans="1:18" hidden="1">
      <c r="A2172" s="23" t="s">
        <v>4336</v>
      </c>
      <c r="B2172" s="23" t="s">
        <v>4337</v>
      </c>
      <c r="C2172" s="23">
        <v>2147</v>
      </c>
      <c r="I2172" s="3" t="str">
        <f>+IFERROR(VLOOKUP(C2172,'Mov 2023 hasta ahora '!$C$2:$D$314,2,FALSE),"NO")</f>
        <v>NO</v>
      </c>
      <c r="K2172">
        <v>6</v>
      </c>
      <c r="L2172" t="s">
        <v>836</v>
      </c>
      <c r="M2172">
        <v>24</v>
      </c>
      <c r="O2172" s="29" t="s">
        <v>8809</v>
      </c>
      <c r="P2172" s="25" t="s">
        <v>8983</v>
      </c>
      <c r="Q2172" s="25">
        <v>1448</v>
      </c>
      <c r="R2172" t="s">
        <v>436</v>
      </c>
    </row>
    <row r="2173" spans="1:18" hidden="1">
      <c r="A2173" t="s">
        <v>4338</v>
      </c>
      <c r="B2173" t="s">
        <v>4339</v>
      </c>
      <c r="I2173" s="3" t="str">
        <f>+IFERROR(VLOOKUP(C2173,'Mov 2023 hasta ahora '!$C$2:$D$314,2,FALSE),"NO")</f>
        <v>NO</v>
      </c>
      <c r="K2173">
        <v>5</v>
      </c>
      <c r="L2173" t="s">
        <v>836</v>
      </c>
      <c r="M2173">
        <v>18</v>
      </c>
    </row>
    <row r="2174" spans="1:18" hidden="1">
      <c r="A2174" s="23" t="s">
        <v>4340</v>
      </c>
      <c r="B2174" s="23" t="s">
        <v>4341</v>
      </c>
      <c r="C2174" s="23">
        <v>2148</v>
      </c>
      <c r="I2174" s="3" t="str">
        <f>+IFERROR(VLOOKUP(C2174,'Mov 2023 hasta ahora '!$C$2:$D$314,2,FALSE),"NO")</f>
        <v>NO</v>
      </c>
      <c r="K2174">
        <v>6</v>
      </c>
      <c r="L2174" t="s">
        <v>836</v>
      </c>
      <c r="M2174">
        <v>24</v>
      </c>
      <c r="O2174" s="29" t="s">
        <v>8794</v>
      </c>
      <c r="P2174" s="25" t="s">
        <v>8982</v>
      </c>
      <c r="Q2174" s="25">
        <v>1441</v>
      </c>
      <c r="R2174" t="s">
        <v>436</v>
      </c>
    </row>
    <row r="2175" spans="1:18" hidden="1">
      <c r="A2175" s="23" t="s">
        <v>4342</v>
      </c>
      <c r="B2175" s="23" t="s">
        <v>4343</v>
      </c>
      <c r="C2175" s="23">
        <v>2149</v>
      </c>
      <c r="I2175" s="3" t="str">
        <f>+IFERROR(VLOOKUP(C2175,'Mov 2023 hasta ahora '!$C$2:$D$314,2,FALSE),"NO")</f>
        <v>NO</v>
      </c>
      <c r="K2175">
        <v>6</v>
      </c>
      <c r="L2175" t="s">
        <v>836</v>
      </c>
      <c r="M2175">
        <v>24</v>
      </c>
      <c r="O2175" s="29" t="s">
        <v>8809</v>
      </c>
      <c r="P2175" s="25" t="s">
        <v>8983</v>
      </c>
      <c r="Q2175" s="25">
        <v>1448</v>
      </c>
      <c r="R2175" t="s">
        <v>436</v>
      </c>
    </row>
    <row r="2176" spans="1:18" hidden="1">
      <c r="A2176" t="s">
        <v>4344</v>
      </c>
      <c r="B2176" t="s">
        <v>4345</v>
      </c>
      <c r="I2176" s="3" t="str">
        <f>+IFERROR(VLOOKUP(C2176,'Mov 2023 hasta ahora '!$C$2:$D$314,2,FALSE),"NO")</f>
        <v>NO</v>
      </c>
      <c r="K2176">
        <v>4</v>
      </c>
      <c r="L2176" t="s">
        <v>836</v>
      </c>
      <c r="M2176">
        <v>14</v>
      </c>
    </row>
    <row r="2177" spans="1:18" hidden="1">
      <c r="A2177" t="s">
        <v>4346</v>
      </c>
      <c r="B2177" t="s">
        <v>4347</v>
      </c>
      <c r="I2177" s="3" t="str">
        <f>+IFERROR(VLOOKUP(C2177,'Mov 2023 hasta ahora '!$C$2:$D$314,2,FALSE),"NO")</f>
        <v>NO</v>
      </c>
      <c r="K2177">
        <v>5</v>
      </c>
      <c r="L2177" t="s">
        <v>836</v>
      </c>
      <c r="M2177">
        <v>18</v>
      </c>
    </row>
    <row r="2178" spans="1:18" s="13" customFormat="1" hidden="1">
      <c r="A2178" s="23" t="s">
        <v>4348</v>
      </c>
      <c r="B2178" s="23" t="s">
        <v>4349</v>
      </c>
      <c r="C2178" s="23">
        <v>2150</v>
      </c>
      <c r="G2178"/>
      <c r="I2178" s="14" t="str">
        <f>+IFERROR(VLOOKUP(C2178,'Mov 2023 hasta ahora '!$C$2:$D$314,2,FALSE),"NO")</f>
        <v>NO</v>
      </c>
      <c r="K2178">
        <v>6</v>
      </c>
      <c r="L2178" t="s">
        <v>836</v>
      </c>
      <c r="M2178">
        <v>24</v>
      </c>
      <c r="O2178" s="29" t="s">
        <v>8794</v>
      </c>
      <c r="P2178" s="25" t="s">
        <v>8982</v>
      </c>
      <c r="Q2178" s="25">
        <v>1441</v>
      </c>
      <c r="R2178" t="s">
        <v>436</v>
      </c>
    </row>
    <row r="2179" spans="1:18" hidden="1">
      <c r="A2179" t="s">
        <v>4350</v>
      </c>
      <c r="B2179" t="s">
        <v>4351</v>
      </c>
      <c r="I2179" s="3" t="str">
        <f>+IFERROR(VLOOKUP(C2179,'Mov 2023 hasta ahora '!$C$2:$D$314,2,FALSE),"NO")</f>
        <v>NO</v>
      </c>
      <c r="K2179">
        <v>4</v>
      </c>
      <c r="L2179" t="s">
        <v>836</v>
      </c>
      <c r="M2179">
        <v>14</v>
      </c>
    </row>
    <row r="2180" spans="1:18" hidden="1">
      <c r="A2180" t="s">
        <v>4352</v>
      </c>
      <c r="B2180" t="s">
        <v>4353</v>
      </c>
      <c r="I2180" s="3" t="str">
        <f>+IFERROR(VLOOKUP(C2180,'Mov 2023 hasta ahora '!$C$2:$D$314,2,FALSE),"NO")</f>
        <v>NO</v>
      </c>
      <c r="K2180">
        <v>5</v>
      </c>
      <c r="L2180" t="s">
        <v>836</v>
      </c>
      <c r="M2180">
        <v>18</v>
      </c>
    </row>
    <row r="2181" spans="1:18" s="13" customFormat="1" hidden="1">
      <c r="A2181" s="23" t="s">
        <v>4354</v>
      </c>
      <c r="B2181" s="23" t="s">
        <v>4355</v>
      </c>
      <c r="C2181" s="23">
        <v>2151</v>
      </c>
      <c r="G2181"/>
      <c r="I2181" s="14" t="str">
        <f>+IFERROR(VLOOKUP(C2181,'Mov 2023 hasta ahora '!$C$2:$D$314,2,FALSE),"NO")</f>
        <v>NO</v>
      </c>
      <c r="K2181">
        <v>6</v>
      </c>
      <c r="L2181" t="s">
        <v>836</v>
      </c>
      <c r="M2181">
        <v>24</v>
      </c>
      <c r="O2181" s="29" t="s">
        <v>8800</v>
      </c>
      <c r="P2181" s="25" t="s">
        <v>8988</v>
      </c>
      <c r="Q2181" s="25">
        <v>1457</v>
      </c>
      <c r="R2181" t="s">
        <v>436</v>
      </c>
    </row>
    <row r="2182" spans="1:18" s="13" customFormat="1" hidden="1">
      <c r="A2182" s="23" t="s">
        <v>4356</v>
      </c>
      <c r="B2182" s="23" t="s">
        <v>4357</v>
      </c>
      <c r="C2182" s="23">
        <v>2152</v>
      </c>
      <c r="G2182"/>
      <c r="I2182" s="14" t="str">
        <f>+IFERROR(VLOOKUP(C2182,'Mov 2023 hasta ahora '!$C$2:$D$314,2,FALSE),"NO")</f>
        <v>NO</v>
      </c>
      <c r="K2182">
        <v>6</v>
      </c>
      <c r="L2182" t="s">
        <v>836</v>
      </c>
      <c r="M2182">
        <v>24</v>
      </c>
      <c r="O2182" s="29" t="s">
        <v>8810</v>
      </c>
      <c r="P2182" s="25" t="s">
        <v>8989</v>
      </c>
      <c r="Q2182" s="25">
        <v>1465</v>
      </c>
      <c r="R2182" t="s">
        <v>436</v>
      </c>
    </row>
    <row r="2183" spans="1:18" hidden="1">
      <c r="A2183" t="s">
        <v>4358</v>
      </c>
      <c r="B2183" t="s">
        <v>4359</v>
      </c>
      <c r="I2183" s="3" t="str">
        <f>+IFERROR(VLOOKUP(C2183,'Mov 2023 hasta ahora '!$C$2:$D$314,2,FALSE),"NO")</f>
        <v>NO</v>
      </c>
      <c r="K2183">
        <v>4</v>
      </c>
      <c r="L2183" t="s">
        <v>836</v>
      </c>
      <c r="M2183">
        <v>14</v>
      </c>
    </row>
    <row r="2184" spans="1:18" hidden="1">
      <c r="A2184" t="s">
        <v>4360</v>
      </c>
      <c r="B2184" t="s">
        <v>4361</v>
      </c>
      <c r="I2184" s="3" t="str">
        <f>+IFERROR(VLOOKUP(C2184,'Mov 2023 hasta ahora '!$C$2:$D$314,2,FALSE),"NO")</f>
        <v>NO</v>
      </c>
      <c r="K2184">
        <v>5</v>
      </c>
      <c r="L2184" t="s">
        <v>836</v>
      </c>
      <c r="M2184">
        <v>18</v>
      </c>
    </row>
    <row r="2185" spans="1:18" s="13" customFormat="1" hidden="1">
      <c r="A2185" s="23" t="s">
        <v>4362</v>
      </c>
      <c r="B2185" s="23" t="s">
        <v>4363</v>
      </c>
      <c r="C2185" s="23">
        <v>2153</v>
      </c>
      <c r="G2185"/>
      <c r="I2185" s="14" t="str">
        <f>+IFERROR(VLOOKUP(C2185,'Mov 2023 hasta ahora '!$C$2:$D$314,2,FALSE),"NO")</f>
        <v>NO</v>
      </c>
      <c r="K2185">
        <v>6</v>
      </c>
      <c r="L2185" t="s">
        <v>836</v>
      </c>
      <c r="M2185">
        <v>24</v>
      </c>
      <c r="O2185" s="29" t="s">
        <v>8815</v>
      </c>
      <c r="P2185" s="25" t="s">
        <v>8796</v>
      </c>
      <c r="Q2185" s="25">
        <v>1579</v>
      </c>
      <c r="R2185" t="s">
        <v>436</v>
      </c>
    </row>
    <row r="2186" spans="1:18" s="13" customFormat="1" hidden="1">
      <c r="A2186" s="23" t="s">
        <v>4364</v>
      </c>
      <c r="B2186" s="23" t="s">
        <v>4365</v>
      </c>
      <c r="C2186" s="23">
        <v>2154</v>
      </c>
      <c r="G2186"/>
      <c r="I2186" s="14" t="str">
        <f>+IFERROR(VLOOKUP(C2186,'Mov 2023 hasta ahora '!$C$2:$D$314,2,FALSE),"NO")</f>
        <v>NO</v>
      </c>
      <c r="K2186">
        <v>6</v>
      </c>
      <c r="L2186" t="s">
        <v>836</v>
      </c>
      <c r="M2186">
        <v>24</v>
      </c>
      <c r="O2186" s="29" t="s">
        <v>8816</v>
      </c>
      <c r="P2186" s="25" t="s">
        <v>8806</v>
      </c>
      <c r="Q2186" s="25">
        <v>1589</v>
      </c>
      <c r="R2186" t="s">
        <v>436</v>
      </c>
    </row>
    <row r="2187" spans="1:18" hidden="1">
      <c r="A2187" t="s">
        <v>4366</v>
      </c>
      <c r="B2187" t="s">
        <v>4367</v>
      </c>
      <c r="I2187" s="3" t="str">
        <f>+IFERROR(VLOOKUP(C2187,'Mov 2023 hasta ahora '!$C$2:$D$314,2,FALSE),"NO")</f>
        <v>NO</v>
      </c>
      <c r="K2187">
        <v>4</v>
      </c>
      <c r="L2187" t="s">
        <v>836</v>
      </c>
      <c r="M2187">
        <v>14</v>
      </c>
    </row>
    <row r="2188" spans="1:18" hidden="1">
      <c r="A2188" t="s">
        <v>4368</v>
      </c>
      <c r="B2188" t="s">
        <v>4369</v>
      </c>
      <c r="I2188" s="3" t="str">
        <f>+IFERROR(VLOOKUP(C2188,'Mov 2023 hasta ahora '!$C$2:$D$314,2,FALSE),"NO")</f>
        <v>NO</v>
      </c>
      <c r="K2188">
        <v>5</v>
      </c>
      <c r="L2188" t="s">
        <v>836</v>
      </c>
      <c r="M2188">
        <v>18</v>
      </c>
    </row>
    <row r="2189" spans="1:18" s="13" customFormat="1" hidden="1">
      <c r="A2189" s="23" t="s">
        <v>4370</v>
      </c>
      <c r="B2189" s="23" t="s">
        <v>4371</v>
      </c>
      <c r="C2189" s="23">
        <v>2155</v>
      </c>
      <c r="G2189"/>
      <c r="I2189" s="14" t="str">
        <f>+IFERROR(VLOOKUP(C2189,'Mov 2023 hasta ahora '!$C$2:$D$314,2,FALSE),"NO")</f>
        <v>NO</v>
      </c>
      <c r="K2189">
        <v>6</v>
      </c>
      <c r="L2189" t="s">
        <v>836</v>
      </c>
      <c r="M2189">
        <v>24</v>
      </c>
      <c r="O2189" s="29" t="s">
        <v>8752</v>
      </c>
      <c r="P2189" s="25" t="s">
        <v>8995</v>
      </c>
      <c r="Q2189" s="25">
        <v>1481</v>
      </c>
      <c r="R2189" t="s">
        <v>436</v>
      </c>
    </row>
    <row r="2190" spans="1:18" s="13" customFormat="1" hidden="1">
      <c r="A2190" s="23" t="s">
        <v>4372</v>
      </c>
      <c r="B2190" s="23" t="s">
        <v>4373</v>
      </c>
      <c r="C2190" s="23">
        <v>2156</v>
      </c>
      <c r="G2190"/>
      <c r="I2190" s="14" t="str">
        <f>+IFERROR(VLOOKUP(C2190,'Mov 2023 hasta ahora '!$C$2:$D$314,2,FALSE),"NO")</f>
        <v>NO</v>
      </c>
      <c r="K2190">
        <v>6</v>
      </c>
      <c r="L2190" t="s">
        <v>836</v>
      </c>
      <c r="M2190">
        <v>24</v>
      </c>
      <c r="O2190" s="29" t="s">
        <v>8766</v>
      </c>
      <c r="P2190" s="25" t="s">
        <v>8996</v>
      </c>
      <c r="Q2190" s="25">
        <v>1473</v>
      </c>
      <c r="R2190" t="s">
        <v>436</v>
      </c>
    </row>
    <row r="2191" spans="1:18" hidden="1">
      <c r="A2191" t="s">
        <v>4374</v>
      </c>
      <c r="B2191" t="s">
        <v>4375</v>
      </c>
      <c r="I2191" s="3" t="str">
        <f>+IFERROR(VLOOKUP(C2191,'Mov 2023 hasta ahora '!$C$2:$D$314,2,FALSE),"NO")</f>
        <v>NO</v>
      </c>
      <c r="K2191">
        <v>4</v>
      </c>
      <c r="L2191" t="s">
        <v>836</v>
      </c>
      <c r="M2191">
        <v>14</v>
      </c>
    </row>
    <row r="2192" spans="1:18" hidden="1">
      <c r="A2192" t="s">
        <v>4376</v>
      </c>
      <c r="B2192" t="s">
        <v>4377</v>
      </c>
      <c r="I2192" s="3" t="str">
        <f>+IFERROR(VLOOKUP(C2192,'Mov 2023 hasta ahora '!$C$2:$D$314,2,FALSE),"NO")</f>
        <v>NO</v>
      </c>
      <c r="K2192">
        <v>5</v>
      </c>
      <c r="L2192" t="s">
        <v>836</v>
      </c>
      <c r="M2192">
        <v>18</v>
      </c>
    </row>
    <row r="2193" spans="1:18" s="13" customFormat="1" hidden="1">
      <c r="A2193" s="23" t="s">
        <v>4378</v>
      </c>
      <c r="B2193" s="23" t="s">
        <v>4379</v>
      </c>
      <c r="C2193" s="23">
        <v>2157</v>
      </c>
      <c r="G2193"/>
      <c r="I2193" s="14" t="str">
        <f>+IFERROR(VLOOKUP(C2193,'Mov 2023 hasta ahora '!$C$2:$D$314,2,FALSE),"NO")</f>
        <v>NO</v>
      </c>
      <c r="K2193">
        <v>6</v>
      </c>
      <c r="L2193" t="s">
        <v>836</v>
      </c>
      <c r="M2193">
        <v>24</v>
      </c>
      <c r="O2193" s="29" t="s">
        <v>8795</v>
      </c>
      <c r="P2193" s="25" t="s">
        <v>8798</v>
      </c>
      <c r="Q2193" s="25">
        <v>1489</v>
      </c>
      <c r="R2193" t="s">
        <v>436</v>
      </c>
    </row>
    <row r="2194" spans="1:18" s="13" customFormat="1" hidden="1">
      <c r="A2194" s="23" t="s">
        <v>4380</v>
      </c>
      <c r="B2194" s="23" t="s">
        <v>4381</v>
      </c>
      <c r="C2194" s="23">
        <v>2158</v>
      </c>
      <c r="G2194"/>
      <c r="I2194" s="14" t="str">
        <f>+IFERROR(VLOOKUP(C2194,'Mov 2023 hasta ahora '!$C$2:$D$314,2,FALSE),"NO")</f>
        <v>NO</v>
      </c>
      <c r="K2194">
        <v>6</v>
      </c>
      <c r="L2194" t="s">
        <v>836</v>
      </c>
      <c r="M2194">
        <v>24</v>
      </c>
      <c r="O2194" s="29" t="s">
        <v>8804</v>
      </c>
      <c r="P2194" s="25" t="s">
        <v>8808</v>
      </c>
      <c r="Q2194" s="25">
        <v>1497</v>
      </c>
      <c r="R2194" s="13" t="s">
        <v>436</v>
      </c>
    </row>
    <row r="2195" spans="1:18" hidden="1">
      <c r="A2195" t="s">
        <v>4382</v>
      </c>
      <c r="B2195" t="s">
        <v>4383</v>
      </c>
      <c r="I2195" s="3" t="str">
        <f>+IFERROR(VLOOKUP(C2195,'Mov 2023 hasta ahora '!$C$2:$D$314,2,FALSE),"NO")</f>
        <v>NO</v>
      </c>
      <c r="K2195">
        <v>4</v>
      </c>
      <c r="L2195" t="s">
        <v>836</v>
      </c>
      <c r="M2195">
        <v>14</v>
      </c>
    </row>
    <row r="2196" spans="1:18" hidden="1">
      <c r="A2196" t="s">
        <v>4384</v>
      </c>
      <c r="B2196" t="s">
        <v>4385</v>
      </c>
      <c r="I2196" s="3" t="str">
        <f>+IFERROR(VLOOKUP(C2196,'Mov 2023 hasta ahora '!$C$2:$D$314,2,FALSE),"NO")</f>
        <v>NO</v>
      </c>
      <c r="K2196">
        <v>5</v>
      </c>
      <c r="L2196" t="s">
        <v>836</v>
      </c>
      <c r="M2196">
        <v>18</v>
      </c>
    </row>
    <row r="2197" spans="1:18" s="13" customFormat="1" hidden="1">
      <c r="A2197" s="23" t="s">
        <v>4386</v>
      </c>
      <c r="B2197" s="23" t="s">
        <v>4387</v>
      </c>
      <c r="C2197" s="23">
        <v>2159</v>
      </c>
      <c r="G2197"/>
      <c r="I2197" s="14" t="str">
        <f>+IFERROR(VLOOKUP(C2197,'Mov 2023 hasta ahora '!$C$2:$D$314,2,FALSE),"NO")</f>
        <v>NO</v>
      </c>
      <c r="K2197">
        <v>6</v>
      </c>
      <c r="L2197" t="s">
        <v>836</v>
      </c>
      <c r="M2197">
        <v>24</v>
      </c>
      <c r="O2197" s="29" t="s">
        <v>9002</v>
      </c>
      <c r="P2197" s="25" t="s">
        <v>8799</v>
      </c>
      <c r="Q2197" s="25">
        <v>1513</v>
      </c>
      <c r="R2197" t="s">
        <v>436</v>
      </c>
    </row>
    <row r="2198" spans="1:18" s="13" customFormat="1" hidden="1">
      <c r="A2198" s="23" t="s">
        <v>4388</v>
      </c>
      <c r="B2198" s="23" t="s">
        <v>4389</v>
      </c>
      <c r="C2198" s="23">
        <v>2160</v>
      </c>
      <c r="G2198"/>
      <c r="I2198" s="14" t="str">
        <f>+IFERROR(VLOOKUP(C2198,'Mov 2023 hasta ahora '!$C$2:$D$314,2,FALSE),"NO")</f>
        <v>NO</v>
      </c>
      <c r="K2198">
        <v>6</v>
      </c>
      <c r="L2198" t="s">
        <v>836</v>
      </c>
      <c r="M2198">
        <v>24</v>
      </c>
      <c r="O2198" s="29" t="s">
        <v>9003</v>
      </c>
      <c r="P2198" s="25" t="s">
        <v>8803</v>
      </c>
      <c r="Q2198" s="25">
        <v>1505</v>
      </c>
      <c r="R2198" t="s">
        <v>436</v>
      </c>
    </row>
    <row r="2199" spans="1:18" hidden="1">
      <c r="A2199" t="s">
        <v>4390</v>
      </c>
      <c r="B2199" t="s">
        <v>4391</v>
      </c>
      <c r="I2199" s="3" t="str">
        <f>+IFERROR(VLOOKUP(C2199,'Mov 2023 hasta ahora '!$C$2:$D$314,2,FALSE),"NO")</f>
        <v>NO</v>
      </c>
      <c r="K2199">
        <v>4</v>
      </c>
      <c r="L2199" t="s">
        <v>836</v>
      </c>
      <c r="M2199">
        <v>14</v>
      </c>
    </row>
    <row r="2200" spans="1:18" hidden="1">
      <c r="A2200" t="s">
        <v>4392</v>
      </c>
      <c r="B2200" t="s">
        <v>4393</v>
      </c>
      <c r="I2200" s="3" t="str">
        <f>+IFERROR(VLOOKUP(C2200,'Mov 2023 hasta ahora '!$C$2:$D$314,2,FALSE),"NO")</f>
        <v>NO</v>
      </c>
      <c r="K2200">
        <v>5</v>
      </c>
      <c r="L2200" t="s">
        <v>836</v>
      </c>
      <c r="M2200">
        <v>18</v>
      </c>
    </row>
    <row r="2201" spans="1:18" hidden="1">
      <c r="A2201" s="23" t="s">
        <v>4394</v>
      </c>
      <c r="B2201" s="23" t="s">
        <v>4395</v>
      </c>
      <c r="C2201" s="23">
        <v>2161</v>
      </c>
      <c r="I2201" s="3">
        <f>+IFERROR(VLOOKUP(C2201,'Mov 2023 hasta ahora '!$C$2:$D$314,2,FALSE),"NO")</f>
        <v>4</v>
      </c>
      <c r="K2201">
        <v>6</v>
      </c>
      <c r="L2201" t="s">
        <v>836</v>
      </c>
      <c r="M2201">
        <v>24</v>
      </c>
      <c r="O2201" s="29" t="s">
        <v>8861</v>
      </c>
      <c r="P2201" s="25" t="s">
        <v>8868</v>
      </c>
      <c r="Q2201" s="25">
        <v>1419</v>
      </c>
      <c r="R2201" t="s">
        <v>436</v>
      </c>
    </row>
    <row r="2202" spans="1:18" hidden="1">
      <c r="A2202" t="s">
        <v>4396</v>
      </c>
      <c r="B2202" t="s">
        <v>4397</v>
      </c>
      <c r="I2202" s="3" t="str">
        <f>+IFERROR(VLOOKUP(C2202,'Mov 2023 hasta ahora '!$C$2:$D$314,2,FALSE),"NO")</f>
        <v>NO</v>
      </c>
      <c r="K2202">
        <v>5</v>
      </c>
      <c r="L2202" t="s">
        <v>836</v>
      </c>
      <c r="M2202">
        <v>18</v>
      </c>
    </row>
    <row r="2203" spans="1:18" hidden="1">
      <c r="A2203" s="23" t="s">
        <v>4398</v>
      </c>
      <c r="B2203" s="23" t="s">
        <v>4399</v>
      </c>
      <c r="C2203" s="23">
        <v>2162</v>
      </c>
      <c r="I2203" s="3" t="str">
        <f>+IFERROR(VLOOKUP(C2203,'Mov 2023 hasta ahora '!$C$2:$D$314,2,FALSE),"NO")</f>
        <v>NO</v>
      </c>
      <c r="K2203">
        <v>6</v>
      </c>
      <c r="L2203" t="s">
        <v>836</v>
      </c>
      <c r="M2203">
        <v>24</v>
      </c>
      <c r="O2203" s="29" t="s">
        <v>9049</v>
      </c>
      <c r="P2203" s="25" t="s">
        <v>9050</v>
      </c>
      <c r="Q2203" s="25">
        <v>1363</v>
      </c>
      <c r="R2203" t="s">
        <v>436</v>
      </c>
    </row>
    <row r="2204" spans="1:18" hidden="1">
      <c r="A2204" s="23" t="s">
        <v>4400</v>
      </c>
      <c r="B2204" s="23" t="s">
        <v>4401</v>
      </c>
      <c r="C2204" s="23">
        <v>2163</v>
      </c>
      <c r="I2204" s="3" t="str">
        <f>+IFERROR(VLOOKUP(C2204,'Mov 2023 hasta ahora '!$C$2:$D$314,2,FALSE),"NO")</f>
        <v>NO</v>
      </c>
      <c r="K2204">
        <v>6</v>
      </c>
      <c r="L2204" t="s">
        <v>836</v>
      </c>
      <c r="M2204">
        <v>24</v>
      </c>
      <c r="O2204" s="29" t="s">
        <v>9014</v>
      </c>
      <c r="P2204" s="25" t="s">
        <v>8890</v>
      </c>
      <c r="Q2204" s="25">
        <v>1244</v>
      </c>
      <c r="R2204" t="s">
        <v>436</v>
      </c>
    </row>
    <row r="2205" spans="1:18" hidden="1">
      <c r="A2205" s="23" t="s">
        <v>4402</v>
      </c>
      <c r="B2205" s="23" t="s">
        <v>4403</v>
      </c>
      <c r="C2205" s="23">
        <v>2164</v>
      </c>
      <c r="I2205" s="3" t="str">
        <f>+IFERROR(VLOOKUP(C2205,'Mov 2023 hasta ahora '!$C$2:$D$314,2,FALSE),"NO")</f>
        <v>NO</v>
      </c>
      <c r="K2205">
        <v>6</v>
      </c>
      <c r="L2205" t="s">
        <v>836</v>
      </c>
      <c r="M2205">
        <v>24</v>
      </c>
      <c r="O2205" s="29" t="s">
        <v>9030</v>
      </c>
      <c r="P2205" s="25" t="s">
        <v>9029</v>
      </c>
      <c r="Q2205" s="25">
        <v>3817</v>
      </c>
      <c r="R2205" t="s">
        <v>436</v>
      </c>
    </row>
    <row r="2206" spans="1:18" s="13" customFormat="1" hidden="1">
      <c r="A2206" s="23" t="s">
        <v>4404</v>
      </c>
      <c r="B2206" s="23" t="s">
        <v>4405</v>
      </c>
      <c r="C2206" s="23">
        <v>2165</v>
      </c>
      <c r="G2206"/>
      <c r="I2206" s="14">
        <f>+IFERROR(VLOOKUP(C2206,'Mov 2023 hasta ahora '!$C$2:$D$314,2,FALSE),"NO")</f>
        <v>1</v>
      </c>
      <c r="K2206">
        <v>6</v>
      </c>
      <c r="L2206" t="s">
        <v>836</v>
      </c>
      <c r="M2206">
        <v>24</v>
      </c>
      <c r="O2206" s="29" t="s">
        <v>8825</v>
      </c>
      <c r="P2206" s="25" t="s">
        <v>8832</v>
      </c>
      <c r="Q2206" s="25">
        <v>3601</v>
      </c>
      <c r="R2206" t="s">
        <v>436</v>
      </c>
    </row>
    <row r="2207" spans="1:18" s="13" customFormat="1" hidden="1">
      <c r="A2207" s="23" t="s">
        <v>4406</v>
      </c>
      <c r="B2207" s="23" t="s">
        <v>4407</v>
      </c>
      <c r="C2207" s="23">
        <v>2166</v>
      </c>
      <c r="G2207"/>
      <c r="I2207" s="14" t="str">
        <f>+IFERROR(VLOOKUP(C2207,'Mov 2023 hasta ahora '!$C$2:$D$314,2,FALSE),"NO")</f>
        <v>NO</v>
      </c>
      <c r="K2207">
        <v>6</v>
      </c>
      <c r="L2207" t="s">
        <v>836</v>
      </c>
      <c r="M2207">
        <v>24</v>
      </c>
      <c r="O2207" s="29" t="s">
        <v>8992</v>
      </c>
      <c r="P2207" s="25" t="s">
        <v>8836</v>
      </c>
      <c r="Q2207" s="25">
        <v>3603</v>
      </c>
      <c r="R2207" t="s">
        <v>436</v>
      </c>
    </row>
    <row r="2208" spans="1:18" hidden="1">
      <c r="A2208" t="s">
        <v>4408</v>
      </c>
      <c r="B2208" t="s">
        <v>4409</v>
      </c>
      <c r="I2208" s="3" t="str">
        <f>+IFERROR(VLOOKUP(C2208,'Mov 2023 hasta ahora '!$C$2:$D$314,2,FALSE),"NO")</f>
        <v>NO</v>
      </c>
      <c r="K2208">
        <v>3</v>
      </c>
      <c r="L2208" t="s">
        <v>836</v>
      </c>
      <c r="M2208">
        <v>10</v>
      </c>
    </row>
    <row r="2209" spans="1:18" hidden="1">
      <c r="A2209" t="s">
        <v>4410</v>
      </c>
      <c r="B2209" t="s">
        <v>4411</v>
      </c>
      <c r="I2209" s="3" t="str">
        <f>+IFERROR(VLOOKUP(C2209,'Mov 2023 hasta ahora '!$C$2:$D$314,2,FALSE),"NO")</f>
        <v>NO</v>
      </c>
      <c r="K2209">
        <v>4</v>
      </c>
      <c r="L2209" t="s">
        <v>836</v>
      </c>
      <c r="M2209">
        <v>14</v>
      </c>
    </row>
    <row r="2210" spans="1:18" hidden="1">
      <c r="A2210" t="s">
        <v>4412</v>
      </c>
      <c r="B2210" t="s">
        <v>4413</v>
      </c>
      <c r="I2210" s="3" t="str">
        <f>+IFERROR(VLOOKUP(C2210,'Mov 2023 hasta ahora '!$C$2:$D$314,2,FALSE),"NO")</f>
        <v>NO</v>
      </c>
      <c r="K2210">
        <v>5</v>
      </c>
      <c r="L2210" t="s">
        <v>836</v>
      </c>
      <c r="M2210">
        <v>18</v>
      </c>
    </row>
    <row r="2211" spans="1:18" hidden="1">
      <c r="A2211" s="23" t="s">
        <v>4414</v>
      </c>
      <c r="B2211" s="23" t="s">
        <v>4415</v>
      </c>
      <c r="C2211" s="23">
        <v>2167</v>
      </c>
      <c r="I2211" s="3" t="str">
        <f>+IFERROR(VLOOKUP(C2211,'Mov 2023 hasta ahora '!$C$2:$D$314,2,FALSE),"NO")</f>
        <v>NO</v>
      </c>
      <c r="K2211">
        <v>6</v>
      </c>
      <c r="L2211" t="s">
        <v>836</v>
      </c>
      <c r="M2211">
        <v>24</v>
      </c>
      <c r="O2211" s="29" t="s">
        <v>8742</v>
      </c>
      <c r="P2211" s="25" t="s">
        <v>9063</v>
      </c>
      <c r="Q2211" s="25">
        <v>176</v>
      </c>
      <c r="R2211" t="s">
        <v>436</v>
      </c>
    </row>
    <row r="2212" spans="1:18" hidden="1">
      <c r="A2212" t="s">
        <v>4416</v>
      </c>
      <c r="B2212" t="s">
        <v>4417</v>
      </c>
      <c r="I2212" s="3" t="str">
        <f>+IFERROR(VLOOKUP(C2212,'Mov 2023 hasta ahora '!$C$2:$D$314,2,FALSE),"NO")</f>
        <v>NO</v>
      </c>
      <c r="K2212">
        <v>4</v>
      </c>
      <c r="L2212" t="s">
        <v>836</v>
      </c>
      <c r="M2212">
        <v>14</v>
      </c>
    </row>
    <row r="2213" spans="1:18" hidden="1">
      <c r="A2213" t="s">
        <v>4418</v>
      </c>
      <c r="B2213" t="s">
        <v>4419</v>
      </c>
      <c r="I2213" s="3" t="str">
        <f>+IFERROR(VLOOKUP(C2213,'Mov 2023 hasta ahora '!$C$2:$D$314,2,FALSE),"NO")</f>
        <v>NO</v>
      </c>
      <c r="K2213">
        <v>5</v>
      </c>
      <c r="L2213" t="s">
        <v>836</v>
      </c>
      <c r="M2213">
        <v>18</v>
      </c>
    </row>
    <row r="2214" spans="1:18" s="13" customFormat="1" hidden="1">
      <c r="A2214" s="23" t="s">
        <v>4420</v>
      </c>
      <c r="B2214" s="23" t="s">
        <v>4421</v>
      </c>
      <c r="C2214" s="23">
        <v>2168</v>
      </c>
      <c r="G2214"/>
      <c r="I2214" s="14" t="str">
        <f>+IFERROR(VLOOKUP(C2214,'Mov 2023 hasta ahora '!$C$2:$D$314,2,FALSE),"NO")</f>
        <v>NO</v>
      </c>
      <c r="K2214">
        <v>6</v>
      </c>
      <c r="L2214" t="s">
        <v>836</v>
      </c>
      <c r="M2214">
        <v>24</v>
      </c>
      <c r="O2214" s="29" t="s">
        <v>8746</v>
      </c>
      <c r="P2214" s="25" t="s">
        <v>9054</v>
      </c>
      <c r="Q2214" s="25">
        <v>185</v>
      </c>
      <c r="R2214" t="s">
        <v>436</v>
      </c>
    </row>
    <row r="2215" spans="1:18" s="13" customFormat="1" hidden="1">
      <c r="A2215" s="23" t="s">
        <v>4422</v>
      </c>
      <c r="B2215" s="23" t="s">
        <v>4423</v>
      </c>
      <c r="C2215" s="23">
        <v>2169</v>
      </c>
      <c r="G2215"/>
      <c r="I2215" s="14" t="str">
        <f>+IFERROR(VLOOKUP(C2215,'Mov 2023 hasta ahora '!$C$2:$D$314,2,FALSE),"NO")</f>
        <v>NO</v>
      </c>
      <c r="K2215">
        <v>6</v>
      </c>
      <c r="L2215" t="s">
        <v>836</v>
      </c>
      <c r="M2215">
        <v>24</v>
      </c>
      <c r="O2215" s="29" t="s">
        <v>8748</v>
      </c>
      <c r="P2215" s="25" t="s">
        <v>9055</v>
      </c>
      <c r="Q2215" s="25">
        <v>193</v>
      </c>
      <c r="R2215" t="s">
        <v>436</v>
      </c>
    </row>
    <row r="2216" spans="1:18" s="13" customFormat="1" hidden="1">
      <c r="A2216" s="23" t="s">
        <v>4424</v>
      </c>
      <c r="B2216" s="23" t="s">
        <v>4425</v>
      </c>
      <c r="C2216" s="23">
        <v>2170</v>
      </c>
      <c r="G2216"/>
      <c r="I2216" s="14" t="str">
        <f>+IFERROR(VLOOKUP(C2216,'Mov 2023 hasta ahora '!$C$2:$D$314,2,FALSE),"NO")</f>
        <v>NO</v>
      </c>
      <c r="K2216">
        <v>6</v>
      </c>
      <c r="L2216" t="s">
        <v>836</v>
      </c>
      <c r="M2216">
        <v>24</v>
      </c>
      <c r="O2216" s="29" t="s">
        <v>8749</v>
      </c>
      <c r="P2216" s="25" t="s">
        <v>9056</v>
      </c>
      <c r="Q2216" s="25">
        <v>202</v>
      </c>
      <c r="R2216" t="s">
        <v>436</v>
      </c>
    </row>
    <row r="2217" spans="1:18" hidden="1">
      <c r="A2217" s="23" t="s">
        <v>4426</v>
      </c>
      <c r="B2217" s="23" t="s">
        <v>4427</v>
      </c>
      <c r="C2217" s="23">
        <v>2171</v>
      </c>
      <c r="I2217" s="3" t="str">
        <f>+IFERROR(VLOOKUP(C2217,'Mov 2023 hasta ahora '!$C$2:$D$314,2,FALSE),"NO")</f>
        <v>NO</v>
      </c>
      <c r="K2217">
        <v>6</v>
      </c>
      <c r="L2217" t="s">
        <v>836</v>
      </c>
      <c r="M2217">
        <v>24</v>
      </c>
      <c r="O2217" s="29" t="s">
        <v>8750</v>
      </c>
      <c r="P2217" s="25" t="s">
        <v>8968</v>
      </c>
      <c r="Q2217" s="25">
        <v>1351</v>
      </c>
      <c r="R2217" t="s">
        <v>436</v>
      </c>
    </row>
    <row r="2218" spans="1:18" hidden="1">
      <c r="A2218" t="s">
        <v>4428</v>
      </c>
      <c r="B2218" t="s">
        <v>4429</v>
      </c>
      <c r="I2218" s="3" t="str">
        <f>+IFERROR(VLOOKUP(C2218,'Mov 2023 hasta ahora '!$C$2:$D$314,2,FALSE),"NO")</f>
        <v>NO</v>
      </c>
      <c r="K2218">
        <v>4</v>
      </c>
      <c r="L2218" t="s">
        <v>836</v>
      </c>
      <c r="M2218">
        <v>14</v>
      </c>
    </row>
    <row r="2219" spans="1:18" hidden="1">
      <c r="A2219" t="s">
        <v>4430</v>
      </c>
      <c r="B2219" t="s">
        <v>4431</v>
      </c>
      <c r="I2219" s="3" t="str">
        <f>+IFERROR(VLOOKUP(C2219,'Mov 2023 hasta ahora '!$C$2:$D$314,2,FALSE),"NO")</f>
        <v>NO</v>
      </c>
      <c r="K2219">
        <v>5</v>
      </c>
      <c r="L2219" t="s">
        <v>836</v>
      </c>
      <c r="M2219">
        <v>18</v>
      </c>
    </row>
    <row r="2220" spans="1:18" hidden="1">
      <c r="A2220" s="23" t="s">
        <v>4432</v>
      </c>
      <c r="B2220" s="23" t="s">
        <v>4433</v>
      </c>
      <c r="C2220" s="23">
        <v>2172</v>
      </c>
      <c r="I2220" s="3" t="str">
        <f>+IFERROR(VLOOKUP(C2220,'Mov 2023 hasta ahora '!$C$2:$D$314,2,FALSE),"NO")</f>
        <v>NO</v>
      </c>
      <c r="K2220">
        <v>6</v>
      </c>
      <c r="L2220" t="s">
        <v>836</v>
      </c>
      <c r="M2220">
        <v>24</v>
      </c>
      <c r="O2220" s="29" t="s">
        <v>9013</v>
      </c>
      <c r="P2220" s="25" t="s">
        <v>8756</v>
      </c>
      <c r="Q2220" s="25">
        <v>212</v>
      </c>
      <c r="R2220" t="s">
        <v>436</v>
      </c>
    </row>
    <row r="2221" spans="1:18" hidden="1">
      <c r="A2221" t="s">
        <v>4434</v>
      </c>
      <c r="B2221" t="s">
        <v>4435</v>
      </c>
      <c r="I2221" s="3" t="str">
        <f>+IFERROR(VLOOKUP(C2221,'Mov 2023 hasta ahora '!$C$2:$D$314,2,FALSE),"NO")</f>
        <v>NO</v>
      </c>
      <c r="K2221">
        <v>4</v>
      </c>
      <c r="L2221" t="s">
        <v>836</v>
      </c>
      <c r="M2221">
        <v>14</v>
      </c>
    </row>
    <row r="2222" spans="1:18" hidden="1">
      <c r="A2222" t="s">
        <v>4436</v>
      </c>
      <c r="B2222" t="s">
        <v>4437</v>
      </c>
      <c r="I2222" s="3" t="str">
        <f>+IFERROR(VLOOKUP(C2222,'Mov 2023 hasta ahora '!$C$2:$D$314,2,FALSE),"NO")</f>
        <v>NO</v>
      </c>
      <c r="K2222">
        <v>5</v>
      </c>
      <c r="L2222" t="s">
        <v>836</v>
      </c>
      <c r="M2222">
        <v>18</v>
      </c>
    </row>
    <row r="2223" spans="1:18" s="15" customFormat="1" hidden="1">
      <c r="A2223" s="23" t="s">
        <v>4438</v>
      </c>
      <c r="B2223" s="23" t="s">
        <v>4439</v>
      </c>
      <c r="C2223" s="23">
        <v>2173</v>
      </c>
      <c r="G2223"/>
      <c r="I2223" s="16" t="str">
        <f>+IFERROR(VLOOKUP(C2223,'Mov 2023 hasta ahora '!$C$2:$D$314,2,FALSE),"NO")</f>
        <v>NO</v>
      </c>
      <c r="K2223">
        <v>6</v>
      </c>
      <c r="L2223" t="s">
        <v>836</v>
      </c>
      <c r="M2223">
        <v>24</v>
      </c>
      <c r="O2223" s="29" t="s">
        <v>8793</v>
      </c>
      <c r="P2223" s="25" t="s">
        <v>8975</v>
      </c>
      <c r="Q2223" s="25">
        <v>1616</v>
      </c>
      <c r="R2223" t="s">
        <v>436</v>
      </c>
    </row>
    <row r="2224" spans="1:18" s="15" customFormat="1" hidden="1">
      <c r="A2224" s="23" t="s">
        <v>4440</v>
      </c>
      <c r="B2224" s="23" t="s">
        <v>4441</v>
      </c>
      <c r="C2224" s="23">
        <v>2174</v>
      </c>
      <c r="G2224"/>
      <c r="I2224" s="16" t="str">
        <f>+IFERROR(VLOOKUP(C2224,'Mov 2023 hasta ahora '!$C$2:$D$314,2,FALSE),"NO")</f>
        <v>NO</v>
      </c>
      <c r="K2224">
        <v>6</v>
      </c>
      <c r="L2224" t="s">
        <v>836</v>
      </c>
      <c r="M2224">
        <v>24</v>
      </c>
      <c r="O2224" s="29" t="s">
        <v>8793</v>
      </c>
      <c r="P2224" s="25" t="s">
        <v>8975</v>
      </c>
      <c r="Q2224" s="25">
        <v>1616</v>
      </c>
      <c r="R2224" t="s">
        <v>436</v>
      </c>
    </row>
    <row r="2225" spans="1:18" hidden="1">
      <c r="A2225" s="23" t="s">
        <v>4442</v>
      </c>
      <c r="B2225" s="23" t="s">
        <v>4443</v>
      </c>
      <c r="C2225" s="23">
        <v>2263</v>
      </c>
      <c r="I2225" s="3" t="str">
        <f>+IFERROR(VLOOKUP(C2225,'Mov 2023 hasta ahora '!$C$2:$D$314,2,FALSE),"NO")</f>
        <v>NO</v>
      </c>
      <c r="K2225">
        <v>6</v>
      </c>
      <c r="L2225" t="s">
        <v>836</v>
      </c>
      <c r="M2225">
        <v>24</v>
      </c>
      <c r="O2225" s="29" t="s">
        <v>8809</v>
      </c>
      <c r="P2225" s="25" t="s">
        <v>8983</v>
      </c>
      <c r="Q2225" s="25">
        <v>1448</v>
      </c>
      <c r="R2225" t="s">
        <v>436</v>
      </c>
    </row>
    <row r="2226" spans="1:18" hidden="1">
      <c r="A2226" t="s">
        <v>4444</v>
      </c>
      <c r="B2226" t="s">
        <v>4445</v>
      </c>
      <c r="I2226" s="3" t="str">
        <f>+IFERROR(VLOOKUP(C2226,'Mov 2023 hasta ahora '!$C$2:$D$314,2,FALSE),"NO")</f>
        <v>NO</v>
      </c>
      <c r="K2226">
        <v>5</v>
      </c>
      <c r="L2226" t="s">
        <v>836</v>
      </c>
      <c r="M2226">
        <v>18</v>
      </c>
    </row>
    <row r="2227" spans="1:18" s="15" customFormat="1" hidden="1">
      <c r="A2227" s="23" t="s">
        <v>4446</v>
      </c>
      <c r="B2227" s="23" t="s">
        <v>4447</v>
      </c>
      <c r="C2227" s="23">
        <v>2177</v>
      </c>
      <c r="G2227"/>
      <c r="I2227" s="16" t="str">
        <f>+IFERROR(VLOOKUP(C2227,'Mov 2023 hasta ahora '!$C$2:$D$314,2,FALSE),"NO")</f>
        <v>NO</v>
      </c>
      <c r="K2227">
        <v>6</v>
      </c>
      <c r="L2227" t="s">
        <v>836</v>
      </c>
      <c r="M2227">
        <v>24</v>
      </c>
      <c r="O2227" s="29" t="s">
        <v>8864</v>
      </c>
      <c r="P2227" s="25" t="s">
        <v>8979</v>
      </c>
      <c r="Q2227" s="25">
        <v>2177</v>
      </c>
      <c r="R2227" t="s">
        <v>436</v>
      </c>
    </row>
    <row r="2228" spans="1:18" hidden="1">
      <c r="A2228" s="23" t="s">
        <v>4448</v>
      </c>
      <c r="B2228" s="23" t="s">
        <v>4449</v>
      </c>
      <c r="C2228" s="23">
        <v>2175</v>
      </c>
      <c r="I2228" s="3" t="str">
        <f>+IFERROR(VLOOKUP(C2228,'Mov 2023 hasta ahora '!$C$2:$D$314,2,FALSE),"NO")</f>
        <v>NO</v>
      </c>
      <c r="K2228">
        <v>6</v>
      </c>
      <c r="L2228" t="s">
        <v>836</v>
      </c>
      <c r="M2228">
        <v>24</v>
      </c>
      <c r="O2228" s="29" t="s">
        <v>8794</v>
      </c>
      <c r="P2228" s="25" t="s">
        <v>8982</v>
      </c>
      <c r="Q2228" s="25">
        <v>1441</v>
      </c>
      <c r="R2228" t="s">
        <v>436</v>
      </c>
    </row>
    <row r="2229" spans="1:18" hidden="1">
      <c r="A2229" s="23" t="s">
        <v>4450</v>
      </c>
      <c r="B2229" s="23" t="s">
        <v>4451</v>
      </c>
      <c r="C2229" s="23">
        <v>2176</v>
      </c>
      <c r="I2229" s="3" t="str">
        <f>+IFERROR(VLOOKUP(C2229,'Mov 2023 hasta ahora '!$C$2:$D$314,2,FALSE),"NO")</f>
        <v>NO</v>
      </c>
      <c r="K2229">
        <v>6</v>
      </c>
      <c r="L2229" t="s">
        <v>836</v>
      </c>
      <c r="M2229">
        <v>24</v>
      </c>
      <c r="O2229" s="29" t="s">
        <v>8809</v>
      </c>
      <c r="P2229" s="25" t="s">
        <v>8983</v>
      </c>
      <c r="Q2229" s="25">
        <v>1448</v>
      </c>
      <c r="R2229" t="s">
        <v>436</v>
      </c>
    </row>
    <row r="2230" spans="1:18" hidden="1">
      <c r="A2230" t="s">
        <v>4452</v>
      </c>
      <c r="B2230" t="s">
        <v>4453</v>
      </c>
      <c r="I2230" s="3" t="str">
        <f>+IFERROR(VLOOKUP(C2230,'Mov 2023 hasta ahora '!$C$2:$D$314,2,FALSE),"NO")</f>
        <v>NO</v>
      </c>
      <c r="K2230">
        <v>4</v>
      </c>
      <c r="L2230" t="s">
        <v>836</v>
      </c>
      <c r="M2230">
        <v>14</v>
      </c>
    </row>
    <row r="2231" spans="1:18" hidden="1">
      <c r="A2231" t="s">
        <v>4454</v>
      </c>
      <c r="B2231" t="s">
        <v>4455</v>
      </c>
      <c r="I2231" s="3" t="str">
        <f>+IFERROR(VLOOKUP(C2231,'Mov 2023 hasta ahora '!$C$2:$D$314,2,FALSE),"NO")</f>
        <v>NO</v>
      </c>
      <c r="K2231">
        <v>5</v>
      </c>
      <c r="L2231" t="s">
        <v>836</v>
      </c>
      <c r="M2231">
        <v>18</v>
      </c>
    </row>
    <row r="2232" spans="1:18" s="13" customFormat="1" hidden="1">
      <c r="A2232" s="23" t="s">
        <v>4456</v>
      </c>
      <c r="B2232" s="23" t="s">
        <v>4457</v>
      </c>
      <c r="C2232" s="23">
        <v>2178</v>
      </c>
      <c r="G2232"/>
      <c r="I2232" s="14" t="str">
        <f>+IFERROR(VLOOKUP(C2232,'Mov 2023 hasta ahora '!$C$2:$D$314,2,FALSE),"NO")</f>
        <v>NO</v>
      </c>
      <c r="K2232">
        <v>6</v>
      </c>
      <c r="L2232" t="s">
        <v>836</v>
      </c>
      <c r="M2232">
        <v>24</v>
      </c>
      <c r="O2232" s="29" t="s">
        <v>8857</v>
      </c>
      <c r="P2232" s="25" t="s">
        <v>8980</v>
      </c>
      <c r="Q2232" s="25">
        <v>2178</v>
      </c>
      <c r="R2232" t="s">
        <v>436</v>
      </c>
    </row>
    <row r="2233" spans="1:18" s="13" customFormat="1" hidden="1">
      <c r="A2233" s="23" t="s">
        <v>4458</v>
      </c>
      <c r="B2233" s="23" t="s">
        <v>4459</v>
      </c>
      <c r="C2233" s="23">
        <v>2179</v>
      </c>
      <c r="G2233"/>
      <c r="I2233" s="14" t="str">
        <f>+IFERROR(VLOOKUP(C2233,'Mov 2023 hasta ahora '!$C$2:$D$314,2,FALSE),"NO")</f>
        <v>NO</v>
      </c>
      <c r="K2233">
        <v>6</v>
      </c>
      <c r="L2233" t="s">
        <v>836</v>
      </c>
      <c r="M2233">
        <v>24</v>
      </c>
      <c r="O2233" s="29" t="s">
        <v>8846</v>
      </c>
      <c r="P2233" s="25" t="s">
        <v>8981</v>
      </c>
      <c r="Q2233" s="25">
        <v>2179</v>
      </c>
      <c r="R2233" t="s">
        <v>436</v>
      </c>
    </row>
    <row r="2234" spans="1:18" s="13" customFormat="1" hidden="1">
      <c r="A2234" s="23" t="s">
        <v>4460</v>
      </c>
      <c r="B2234" s="23" t="s">
        <v>4461</v>
      </c>
      <c r="C2234" s="23">
        <v>2180</v>
      </c>
      <c r="G2234"/>
      <c r="I2234" s="14" t="str">
        <f>+IFERROR(VLOOKUP(C2234,'Mov 2023 hasta ahora '!$C$2:$D$314,2,FALSE),"NO")</f>
        <v>NO</v>
      </c>
      <c r="K2234">
        <v>6</v>
      </c>
      <c r="L2234" t="s">
        <v>836</v>
      </c>
      <c r="M2234">
        <v>24</v>
      </c>
      <c r="O2234" s="29" t="s">
        <v>8794</v>
      </c>
      <c r="P2234" s="25" t="s">
        <v>8982</v>
      </c>
      <c r="Q2234" s="25">
        <v>1441</v>
      </c>
      <c r="R2234" t="s">
        <v>436</v>
      </c>
    </row>
    <row r="2235" spans="1:18" s="13" customFormat="1" hidden="1">
      <c r="A2235" s="23" t="s">
        <v>4462</v>
      </c>
      <c r="B2235" s="23" t="s">
        <v>4463</v>
      </c>
      <c r="C2235" s="23">
        <v>2181</v>
      </c>
      <c r="G2235"/>
      <c r="I2235" s="14" t="str">
        <f>+IFERROR(VLOOKUP(C2235,'Mov 2023 hasta ahora '!$C$2:$D$314,2,FALSE),"NO")</f>
        <v>NO</v>
      </c>
      <c r="K2235">
        <v>6</v>
      </c>
      <c r="L2235" t="s">
        <v>836</v>
      </c>
      <c r="M2235">
        <v>24</v>
      </c>
      <c r="O2235" s="29" t="s">
        <v>8809</v>
      </c>
      <c r="P2235" s="25" t="s">
        <v>8983</v>
      </c>
      <c r="Q2235" s="25">
        <v>1448</v>
      </c>
      <c r="R2235" t="s">
        <v>436</v>
      </c>
    </row>
    <row r="2236" spans="1:18" hidden="1">
      <c r="A2236" t="s">
        <v>4464</v>
      </c>
      <c r="B2236" t="s">
        <v>4465</v>
      </c>
      <c r="I2236" s="3" t="str">
        <f>+IFERROR(VLOOKUP(C2236,'Mov 2023 hasta ahora '!$C$2:$D$314,2,FALSE),"NO")</f>
        <v>NO</v>
      </c>
      <c r="K2236">
        <v>4</v>
      </c>
      <c r="L2236" t="s">
        <v>836</v>
      </c>
      <c r="M2236">
        <v>14</v>
      </c>
    </row>
    <row r="2237" spans="1:18" hidden="1">
      <c r="A2237" t="s">
        <v>4466</v>
      </c>
      <c r="B2237" t="s">
        <v>4467</v>
      </c>
      <c r="I2237" s="3" t="str">
        <f>+IFERROR(VLOOKUP(C2237,'Mov 2023 hasta ahora '!$C$2:$D$314,2,FALSE),"NO")</f>
        <v>NO</v>
      </c>
      <c r="K2237">
        <v>5</v>
      </c>
      <c r="L2237" t="s">
        <v>836</v>
      </c>
      <c r="M2237">
        <v>18</v>
      </c>
    </row>
    <row r="2238" spans="1:18" s="13" customFormat="1" hidden="1">
      <c r="A2238" s="23" t="s">
        <v>4468</v>
      </c>
      <c r="B2238" s="23" t="s">
        <v>4469</v>
      </c>
      <c r="C2238" s="23">
        <v>2182</v>
      </c>
      <c r="G2238"/>
      <c r="I2238" s="14" t="str">
        <f>+IFERROR(VLOOKUP(C2238,'Mov 2023 hasta ahora '!$C$2:$D$314,2,FALSE),"NO")</f>
        <v>NO</v>
      </c>
      <c r="K2238">
        <v>6</v>
      </c>
      <c r="L2238" t="s">
        <v>836</v>
      </c>
      <c r="M2238">
        <v>24</v>
      </c>
      <c r="O2238" s="29" t="s">
        <v>8853</v>
      </c>
      <c r="P2238" s="25" t="s">
        <v>8986</v>
      </c>
      <c r="Q2238" s="25">
        <v>366</v>
      </c>
      <c r="R2238" t="s">
        <v>436</v>
      </c>
    </row>
    <row r="2239" spans="1:18" hidden="1">
      <c r="A2239" t="s">
        <v>4470</v>
      </c>
      <c r="B2239" t="s">
        <v>4471</v>
      </c>
      <c r="I2239" s="3" t="str">
        <f>+IFERROR(VLOOKUP(C2239,'Mov 2023 hasta ahora '!$C$2:$D$314,2,FALSE),"NO")</f>
        <v>NO</v>
      </c>
      <c r="K2239">
        <v>5</v>
      </c>
      <c r="L2239" t="s">
        <v>836</v>
      </c>
      <c r="M2239">
        <v>18</v>
      </c>
    </row>
    <row r="2240" spans="1:18" s="13" customFormat="1" hidden="1">
      <c r="A2240" s="23" t="s">
        <v>4472</v>
      </c>
      <c r="B2240" s="23" t="s">
        <v>4473</v>
      </c>
      <c r="C2240" s="23">
        <v>2183</v>
      </c>
      <c r="G2240"/>
      <c r="I2240" s="14" t="str">
        <f>+IFERROR(VLOOKUP(C2240,'Mov 2023 hasta ahora '!$C$2:$D$314,2,FALSE),"NO")</f>
        <v>NO</v>
      </c>
      <c r="K2240">
        <v>6</v>
      </c>
      <c r="L2240" t="s">
        <v>836</v>
      </c>
      <c r="M2240">
        <v>24</v>
      </c>
      <c r="O2240" s="29" t="s">
        <v>8853</v>
      </c>
      <c r="P2240" s="25" t="s">
        <v>8986</v>
      </c>
      <c r="Q2240" s="25">
        <v>366</v>
      </c>
      <c r="R2240" t="s">
        <v>436</v>
      </c>
    </row>
    <row r="2241" spans="1:18" hidden="1">
      <c r="A2241" t="s">
        <v>4474</v>
      </c>
      <c r="B2241" t="s">
        <v>4475</v>
      </c>
      <c r="I2241" s="3" t="str">
        <f>+IFERROR(VLOOKUP(C2241,'Mov 2023 hasta ahora '!$C$2:$D$314,2,FALSE),"NO")</f>
        <v>NO</v>
      </c>
      <c r="K2241">
        <v>5</v>
      </c>
      <c r="L2241" t="s">
        <v>836</v>
      </c>
      <c r="M2241">
        <v>18</v>
      </c>
    </row>
    <row r="2242" spans="1:18" s="13" customFormat="1" hidden="1">
      <c r="A2242" s="23" t="s">
        <v>4476</v>
      </c>
      <c r="B2242" s="23" t="s">
        <v>4477</v>
      </c>
      <c r="C2242" s="23">
        <v>2184</v>
      </c>
      <c r="G2242"/>
      <c r="I2242" s="14" t="str">
        <f>+IFERROR(VLOOKUP(C2242,'Mov 2023 hasta ahora '!$C$2:$D$314,2,FALSE),"NO")</f>
        <v>NO</v>
      </c>
      <c r="K2242">
        <v>6</v>
      </c>
      <c r="L2242" t="s">
        <v>836</v>
      </c>
      <c r="M2242">
        <v>24</v>
      </c>
      <c r="O2242" s="29" t="s">
        <v>8853</v>
      </c>
      <c r="P2242" s="25" t="s">
        <v>8986</v>
      </c>
      <c r="Q2242" s="25">
        <v>366</v>
      </c>
      <c r="R2242" t="s">
        <v>436</v>
      </c>
    </row>
    <row r="2243" spans="1:18" hidden="1">
      <c r="A2243" t="s">
        <v>4478</v>
      </c>
      <c r="B2243" t="s">
        <v>4479</v>
      </c>
      <c r="I2243" s="3" t="str">
        <f>+IFERROR(VLOOKUP(C2243,'Mov 2023 hasta ahora '!$C$2:$D$314,2,FALSE),"NO")</f>
        <v>NO</v>
      </c>
      <c r="K2243">
        <v>5</v>
      </c>
      <c r="L2243" t="s">
        <v>836</v>
      </c>
      <c r="M2243">
        <v>18</v>
      </c>
    </row>
    <row r="2244" spans="1:18" s="13" customFormat="1" hidden="1">
      <c r="A2244" s="23" t="s">
        <v>4480</v>
      </c>
      <c r="B2244" s="23" t="s">
        <v>4481</v>
      </c>
      <c r="C2244" s="23">
        <v>2185</v>
      </c>
      <c r="G2244"/>
      <c r="I2244" s="14" t="str">
        <f>+IFERROR(VLOOKUP(C2244,'Mov 2023 hasta ahora '!$C$2:$D$314,2,FALSE),"NO")</f>
        <v>NO</v>
      </c>
      <c r="K2244">
        <v>6</v>
      </c>
      <c r="L2244" t="s">
        <v>836</v>
      </c>
      <c r="M2244">
        <v>24</v>
      </c>
      <c r="O2244" s="29" t="s">
        <v>8853</v>
      </c>
      <c r="P2244" s="25" t="s">
        <v>8986</v>
      </c>
      <c r="Q2244" s="25">
        <v>366</v>
      </c>
      <c r="R2244" t="s">
        <v>436</v>
      </c>
    </row>
    <row r="2245" spans="1:18" hidden="1">
      <c r="A2245" t="s">
        <v>4482</v>
      </c>
      <c r="B2245" t="s">
        <v>4483</v>
      </c>
      <c r="I2245" s="3" t="str">
        <f>+IFERROR(VLOOKUP(C2245,'Mov 2023 hasta ahora '!$C$2:$D$314,2,FALSE),"NO")</f>
        <v>NO</v>
      </c>
      <c r="K2245">
        <v>5</v>
      </c>
      <c r="L2245" t="s">
        <v>836</v>
      </c>
      <c r="M2245">
        <v>18</v>
      </c>
    </row>
    <row r="2246" spans="1:18" s="13" customFormat="1" hidden="1">
      <c r="A2246" s="23" t="s">
        <v>4484</v>
      </c>
      <c r="B2246" s="23" t="s">
        <v>4485</v>
      </c>
      <c r="C2246" s="23">
        <v>2186</v>
      </c>
      <c r="G2246"/>
      <c r="I2246" s="14" t="str">
        <f>+IFERROR(VLOOKUP(C2246,'Mov 2023 hasta ahora '!$C$2:$D$314,2,FALSE),"NO")</f>
        <v>NO</v>
      </c>
      <c r="K2246">
        <v>6</v>
      </c>
      <c r="L2246" t="s">
        <v>836</v>
      </c>
      <c r="M2246">
        <v>24</v>
      </c>
      <c r="O2246" s="29" t="s">
        <v>8867</v>
      </c>
      <c r="P2246" s="25" t="s">
        <v>8987</v>
      </c>
      <c r="Q2246" s="25">
        <v>456</v>
      </c>
      <c r="R2246" t="s">
        <v>436</v>
      </c>
    </row>
    <row r="2247" spans="1:18" s="13" customFormat="1" hidden="1">
      <c r="A2247" s="23" t="s">
        <v>4486</v>
      </c>
      <c r="B2247" s="23" t="s">
        <v>4487</v>
      </c>
      <c r="C2247" s="23">
        <v>2187</v>
      </c>
      <c r="G2247"/>
      <c r="I2247" s="14" t="str">
        <f>+IFERROR(VLOOKUP(C2247,'Mov 2023 hasta ahora '!$C$2:$D$314,2,FALSE),"NO")</f>
        <v>NO</v>
      </c>
      <c r="K2247">
        <v>6</v>
      </c>
      <c r="L2247" t="s">
        <v>836</v>
      </c>
      <c r="M2247">
        <v>24</v>
      </c>
      <c r="O2247" s="29" t="s">
        <v>8853</v>
      </c>
      <c r="P2247" s="25" t="s">
        <v>8986</v>
      </c>
      <c r="Q2247" s="25">
        <v>366</v>
      </c>
      <c r="R2247" t="s">
        <v>436</v>
      </c>
    </row>
    <row r="2248" spans="1:18" hidden="1">
      <c r="A2248" t="s">
        <v>4488</v>
      </c>
      <c r="B2248" t="s">
        <v>4489</v>
      </c>
      <c r="I2248" s="3" t="str">
        <f>+IFERROR(VLOOKUP(C2248,'Mov 2023 hasta ahora '!$C$2:$D$314,2,FALSE),"NO")</f>
        <v>NO</v>
      </c>
      <c r="K2248">
        <v>5</v>
      </c>
      <c r="L2248" t="s">
        <v>836</v>
      </c>
      <c r="M2248">
        <v>18</v>
      </c>
    </row>
    <row r="2249" spans="1:18" s="13" customFormat="1" hidden="1">
      <c r="A2249" s="23" t="s">
        <v>4490</v>
      </c>
      <c r="B2249" s="23" t="s">
        <v>4491</v>
      </c>
      <c r="C2249" s="23">
        <v>2188</v>
      </c>
      <c r="G2249"/>
      <c r="I2249" s="14" t="str">
        <f>+IFERROR(VLOOKUP(C2249,'Mov 2023 hasta ahora '!$C$2:$D$314,2,FALSE),"NO")</f>
        <v>NO</v>
      </c>
      <c r="K2249">
        <v>6</v>
      </c>
      <c r="L2249" t="s">
        <v>836</v>
      </c>
      <c r="M2249">
        <v>24</v>
      </c>
      <c r="O2249" s="29" t="s">
        <v>8800</v>
      </c>
      <c r="P2249" s="25" t="s">
        <v>8988</v>
      </c>
      <c r="Q2249" s="25">
        <v>1457</v>
      </c>
      <c r="R2249" t="s">
        <v>436</v>
      </c>
    </row>
    <row r="2250" spans="1:18" s="13" customFormat="1" hidden="1">
      <c r="A2250" s="23" t="s">
        <v>4492</v>
      </c>
      <c r="B2250" s="23" t="s">
        <v>4493</v>
      </c>
      <c r="C2250" s="23">
        <v>2189</v>
      </c>
      <c r="G2250"/>
      <c r="I2250" s="14" t="str">
        <f>+IFERROR(VLOOKUP(C2250,'Mov 2023 hasta ahora '!$C$2:$D$314,2,FALSE),"NO")</f>
        <v>NO</v>
      </c>
      <c r="K2250">
        <v>6</v>
      </c>
      <c r="L2250" t="s">
        <v>836</v>
      </c>
      <c r="M2250">
        <v>24</v>
      </c>
      <c r="O2250" s="29" t="s">
        <v>8810</v>
      </c>
      <c r="P2250" s="25" t="s">
        <v>8989</v>
      </c>
      <c r="Q2250" s="25">
        <v>1465</v>
      </c>
      <c r="R2250" t="s">
        <v>436</v>
      </c>
    </row>
    <row r="2251" spans="1:18" hidden="1">
      <c r="A2251" t="s">
        <v>4494</v>
      </c>
      <c r="B2251" t="s">
        <v>4495</v>
      </c>
      <c r="I2251" s="3" t="str">
        <f>+IFERROR(VLOOKUP(C2251,'Mov 2023 hasta ahora '!$C$2:$D$314,2,FALSE),"NO")</f>
        <v>NO</v>
      </c>
      <c r="K2251">
        <v>4</v>
      </c>
      <c r="L2251" t="s">
        <v>836</v>
      </c>
      <c r="M2251">
        <v>14</v>
      </c>
    </row>
    <row r="2252" spans="1:18" hidden="1">
      <c r="A2252" t="s">
        <v>4496</v>
      </c>
      <c r="B2252" t="s">
        <v>4497</v>
      </c>
      <c r="I2252" s="3" t="str">
        <f>+IFERROR(VLOOKUP(C2252,'Mov 2023 hasta ahora '!$C$2:$D$314,2,FALSE),"NO")</f>
        <v>NO</v>
      </c>
      <c r="K2252">
        <v>5</v>
      </c>
      <c r="L2252" t="s">
        <v>836</v>
      </c>
      <c r="M2252">
        <v>18</v>
      </c>
    </row>
    <row r="2253" spans="1:18" s="13" customFormat="1" hidden="1">
      <c r="A2253" s="23" t="s">
        <v>4498</v>
      </c>
      <c r="B2253" s="23" t="s">
        <v>4499</v>
      </c>
      <c r="C2253" s="23">
        <v>2190</v>
      </c>
      <c r="G2253"/>
      <c r="I2253" s="14" t="str">
        <f>+IFERROR(VLOOKUP(C2253,'Mov 2023 hasta ahora '!$C$2:$D$314,2,FALSE),"NO")</f>
        <v>NO</v>
      </c>
      <c r="K2253">
        <v>6</v>
      </c>
      <c r="L2253" t="s">
        <v>836</v>
      </c>
      <c r="M2253">
        <v>24</v>
      </c>
      <c r="O2253" s="29" t="s">
        <v>8867</v>
      </c>
      <c r="P2253" s="25" t="s">
        <v>8987</v>
      </c>
      <c r="Q2253" s="25">
        <v>456</v>
      </c>
      <c r="R2253" t="s">
        <v>436</v>
      </c>
    </row>
    <row r="2254" spans="1:18" s="13" customFormat="1" hidden="1">
      <c r="A2254" s="23" t="s">
        <v>4500</v>
      </c>
      <c r="B2254" s="23" t="s">
        <v>4501</v>
      </c>
      <c r="C2254" s="23">
        <v>2191</v>
      </c>
      <c r="G2254"/>
      <c r="I2254" s="14" t="str">
        <f>+IFERROR(VLOOKUP(C2254,'Mov 2023 hasta ahora '!$C$2:$D$314,2,FALSE),"NO")</f>
        <v>NO</v>
      </c>
      <c r="K2254">
        <v>6</v>
      </c>
      <c r="L2254" t="s">
        <v>836</v>
      </c>
      <c r="M2254">
        <v>24</v>
      </c>
      <c r="O2254" s="29" t="s">
        <v>8853</v>
      </c>
      <c r="P2254" s="25" t="s">
        <v>8986</v>
      </c>
      <c r="Q2254" s="25">
        <v>366</v>
      </c>
      <c r="R2254" t="s">
        <v>436</v>
      </c>
    </row>
    <row r="2255" spans="1:18" hidden="1">
      <c r="A2255" t="s">
        <v>4502</v>
      </c>
      <c r="B2255" t="s">
        <v>4503</v>
      </c>
      <c r="I2255" s="3" t="str">
        <f>+IFERROR(VLOOKUP(C2255,'Mov 2023 hasta ahora '!$C$2:$D$314,2,FALSE),"NO")</f>
        <v>NO</v>
      </c>
      <c r="K2255">
        <v>5</v>
      </c>
      <c r="L2255" t="s">
        <v>836</v>
      </c>
      <c r="M2255">
        <v>18</v>
      </c>
    </row>
    <row r="2256" spans="1:18" s="13" customFormat="1" hidden="1">
      <c r="A2256" s="23" t="s">
        <v>4504</v>
      </c>
      <c r="B2256" s="23" t="s">
        <v>4505</v>
      </c>
      <c r="C2256" s="23">
        <v>2192</v>
      </c>
      <c r="G2256"/>
      <c r="I2256" s="14" t="str">
        <f>+IFERROR(VLOOKUP(C2256,'Mov 2023 hasta ahora '!$C$2:$D$314,2,FALSE),"NO")</f>
        <v>NO</v>
      </c>
      <c r="K2256">
        <v>6</v>
      </c>
      <c r="L2256" t="s">
        <v>836</v>
      </c>
      <c r="M2256">
        <v>24</v>
      </c>
      <c r="O2256" s="29" t="s">
        <v>8867</v>
      </c>
      <c r="P2256" s="25" t="s">
        <v>8987</v>
      </c>
      <c r="Q2256" s="25">
        <v>456</v>
      </c>
      <c r="R2256" t="s">
        <v>436</v>
      </c>
    </row>
    <row r="2257" spans="1:18" s="13" customFormat="1" hidden="1">
      <c r="A2257" s="23" t="s">
        <v>4506</v>
      </c>
      <c r="B2257" s="23" t="s">
        <v>4507</v>
      </c>
      <c r="C2257" s="23">
        <v>2193</v>
      </c>
      <c r="G2257"/>
      <c r="I2257" s="14" t="str">
        <f>+IFERROR(VLOOKUP(C2257,'Mov 2023 hasta ahora '!$C$2:$D$314,2,FALSE),"NO")</f>
        <v>NO</v>
      </c>
      <c r="K2257">
        <v>6</v>
      </c>
      <c r="L2257" t="s">
        <v>836</v>
      </c>
      <c r="M2257">
        <v>24</v>
      </c>
      <c r="O2257" s="29" t="s">
        <v>8853</v>
      </c>
      <c r="P2257" s="25" t="s">
        <v>8986</v>
      </c>
      <c r="Q2257" s="25">
        <v>366</v>
      </c>
      <c r="R2257" t="s">
        <v>436</v>
      </c>
    </row>
    <row r="2258" spans="1:18" hidden="1">
      <c r="A2258" t="s">
        <v>4508</v>
      </c>
      <c r="B2258" t="s">
        <v>4509</v>
      </c>
      <c r="I2258" s="3" t="str">
        <f>+IFERROR(VLOOKUP(C2258,'Mov 2023 hasta ahora '!$C$2:$D$314,2,FALSE),"NO")</f>
        <v>NO</v>
      </c>
      <c r="K2258">
        <v>5</v>
      </c>
      <c r="L2258" t="s">
        <v>836</v>
      </c>
      <c r="M2258">
        <v>18</v>
      </c>
    </row>
    <row r="2259" spans="1:18" s="13" customFormat="1" hidden="1">
      <c r="A2259" s="23" t="s">
        <v>4510</v>
      </c>
      <c r="B2259" s="23" t="s">
        <v>4511</v>
      </c>
      <c r="C2259" s="23">
        <v>2194</v>
      </c>
      <c r="G2259"/>
      <c r="I2259" s="14" t="str">
        <f>+IFERROR(VLOOKUP(C2259,'Mov 2023 hasta ahora '!$C$2:$D$314,2,FALSE),"NO")</f>
        <v>NO</v>
      </c>
      <c r="K2259">
        <v>6</v>
      </c>
      <c r="L2259" t="s">
        <v>836</v>
      </c>
      <c r="M2259">
        <v>24</v>
      </c>
      <c r="O2259" s="29" t="s">
        <v>8867</v>
      </c>
      <c r="P2259" s="25" t="s">
        <v>8987</v>
      </c>
      <c r="Q2259" s="25">
        <v>456</v>
      </c>
      <c r="R2259" t="s">
        <v>436</v>
      </c>
    </row>
    <row r="2260" spans="1:18" s="13" customFormat="1" hidden="1">
      <c r="A2260" s="23" t="s">
        <v>4512</v>
      </c>
      <c r="B2260" s="23" t="s">
        <v>4513</v>
      </c>
      <c r="C2260" s="23">
        <v>2195</v>
      </c>
      <c r="G2260"/>
      <c r="I2260" s="14" t="str">
        <f>+IFERROR(VLOOKUP(C2260,'Mov 2023 hasta ahora '!$C$2:$D$314,2,FALSE),"NO")</f>
        <v>NO</v>
      </c>
      <c r="K2260">
        <v>6</v>
      </c>
      <c r="L2260" t="s">
        <v>836</v>
      </c>
      <c r="M2260">
        <v>24</v>
      </c>
      <c r="O2260" s="29" t="s">
        <v>8853</v>
      </c>
      <c r="P2260" s="25" t="s">
        <v>8986</v>
      </c>
      <c r="Q2260" s="25">
        <v>366</v>
      </c>
      <c r="R2260" t="s">
        <v>436</v>
      </c>
    </row>
    <row r="2261" spans="1:18" hidden="1">
      <c r="A2261" t="s">
        <v>4514</v>
      </c>
      <c r="B2261" t="s">
        <v>4515</v>
      </c>
      <c r="I2261" s="3" t="str">
        <f>+IFERROR(VLOOKUP(C2261,'Mov 2023 hasta ahora '!$C$2:$D$314,2,FALSE),"NO")</f>
        <v>NO</v>
      </c>
      <c r="K2261">
        <v>5</v>
      </c>
      <c r="L2261" t="s">
        <v>836</v>
      </c>
      <c r="M2261">
        <v>18</v>
      </c>
    </row>
    <row r="2262" spans="1:18" s="13" customFormat="1" hidden="1">
      <c r="A2262" s="23" t="s">
        <v>4516</v>
      </c>
      <c r="B2262" s="23" t="s">
        <v>4517</v>
      </c>
      <c r="C2262" s="23">
        <v>2196</v>
      </c>
      <c r="G2262"/>
      <c r="I2262" s="14" t="str">
        <f>+IFERROR(VLOOKUP(C2262,'Mov 2023 hasta ahora '!$C$2:$D$314,2,FALSE),"NO")</f>
        <v>NO</v>
      </c>
      <c r="K2262">
        <v>6</v>
      </c>
      <c r="L2262" t="s">
        <v>836</v>
      </c>
      <c r="M2262">
        <v>24</v>
      </c>
      <c r="O2262" s="29" t="s">
        <v>8867</v>
      </c>
      <c r="P2262" s="25" t="s">
        <v>8987</v>
      </c>
      <c r="Q2262" s="25">
        <v>456</v>
      </c>
      <c r="R2262" t="s">
        <v>436</v>
      </c>
    </row>
    <row r="2263" spans="1:18" s="13" customFormat="1" hidden="1">
      <c r="A2263" s="23" t="s">
        <v>4518</v>
      </c>
      <c r="B2263" s="23" t="s">
        <v>4519</v>
      </c>
      <c r="C2263" s="23">
        <v>2197</v>
      </c>
      <c r="G2263"/>
      <c r="I2263" s="14" t="str">
        <f>+IFERROR(VLOOKUP(C2263,'Mov 2023 hasta ahora '!$C$2:$D$314,2,FALSE),"NO")</f>
        <v>NO</v>
      </c>
      <c r="K2263">
        <v>6</v>
      </c>
      <c r="L2263" t="s">
        <v>836</v>
      </c>
      <c r="M2263">
        <v>24</v>
      </c>
      <c r="O2263" s="29" t="s">
        <v>8853</v>
      </c>
      <c r="P2263" s="25" t="s">
        <v>8986</v>
      </c>
      <c r="Q2263" s="25">
        <v>366</v>
      </c>
      <c r="R2263" t="s">
        <v>436</v>
      </c>
    </row>
    <row r="2264" spans="1:18" hidden="1">
      <c r="A2264" t="s">
        <v>4520</v>
      </c>
      <c r="B2264" t="s">
        <v>4521</v>
      </c>
      <c r="I2264" s="3" t="str">
        <f>+IFERROR(VLOOKUP(C2264,'Mov 2023 hasta ahora '!$C$2:$D$314,2,FALSE),"NO")</f>
        <v>NO</v>
      </c>
      <c r="K2264">
        <v>5</v>
      </c>
      <c r="L2264" t="s">
        <v>836</v>
      </c>
      <c r="M2264">
        <v>18</v>
      </c>
    </row>
    <row r="2265" spans="1:18" s="13" customFormat="1" hidden="1">
      <c r="A2265" s="23" t="s">
        <v>4522</v>
      </c>
      <c r="B2265" s="23" t="s">
        <v>4523</v>
      </c>
      <c r="C2265" s="23">
        <v>2198</v>
      </c>
      <c r="G2265"/>
      <c r="I2265" s="14" t="str">
        <f>+IFERROR(VLOOKUP(C2265,'Mov 2023 hasta ahora '!$C$2:$D$314,2,FALSE),"NO")</f>
        <v>NO</v>
      </c>
      <c r="K2265">
        <v>6</v>
      </c>
      <c r="L2265" t="s">
        <v>836</v>
      </c>
      <c r="M2265">
        <v>24</v>
      </c>
      <c r="O2265" s="29" t="s">
        <v>8797</v>
      </c>
      <c r="P2265" s="25" t="s">
        <v>8801</v>
      </c>
      <c r="Q2265" s="25">
        <v>1421</v>
      </c>
      <c r="R2265" t="s">
        <v>436</v>
      </c>
    </row>
    <row r="2266" spans="1:18" s="13" customFormat="1" hidden="1">
      <c r="A2266" s="23" t="s">
        <v>4524</v>
      </c>
      <c r="B2266" s="23" t="s">
        <v>4525</v>
      </c>
      <c r="C2266" s="23">
        <v>2199</v>
      </c>
      <c r="G2266"/>
      <c r="I2266" s="14" t="str">
        <f>+IFERROR(VLOOKUP(C2266,'Mov 2023 hasta ahora '!$C$2:$D$314,2,FALSE),"NO")</f>
        <v>NO</v>
      </c>
      <c r="K2266">
        <v>6</v>
      </c>
      <c r="L2266" t="s">
        <v>836</v>
      </c>
      <c r="M2266">
        <v>24</v>
      </c>
      <c r="O2266" s="29" t="s">
        <v>8807</v>
      </c>
      <c r="P2266" s="25" t="s">
        <v>8811</v>
      </c>
      <c r="Q2266" s="25">
        <v>1422</v>
      </c>
      <c r="R2266" t="s">
        <v>436</v>
      </c>
    </row>
    <row r="2267" spans="1:18" hidden="1">
      <c r="A2267" t="s">
        <v>4526</v>
      </c>
      <c r="B2267" t="s">
        <v>4527</v>
      </c>
      <c r="I2267" s="3" t="str">
        <f>+IFERROR(VLOOKUP(C2267,'Mov 2023 hasta ahora '!$C$2:$D$314,2,FALSE),"NO")</f>
        <v>NO</v>
      </c>
      <c r="K2267">
        <v>4</v>
      </c>
      <c r="L2267" t="s">
        <v>836</v>
      </c>
      <c r="M2267">
        <v>14</v>
      </c>
    </row>
    <row r="2268" spans="1:18" hidden="1">
      <c r="A2268" t="s">
        <v>4528</v>
      </c>
      <c r="B2268" t="s">
        <v>4529</v>
      </c>
      <c r="I2268" s="3" t="str">
        <f>+IFERROR(VLOOKUP(C2268,'Mov 2023 hasta ahora '!$C$2:$D$314,2,FALSE),"NO")</f>
        <v>NO</v>
      </c>
      <c r="K2268">
        <v>5</v>
      </c>
      <c r="L2268" t="s">
        <v>836</v>
      </c>
      <c r="M2268">
        <v>18</v>
      </c>
    </row>
    <row r="2269" spans="1:18" s="13" customFormat="1" hidden="1">
      <c r="A2269" s="23" t="s">
        <v>4530</v>
      </c>
      <c r="B2269" s="23" t="s">
        <v>4531</v>
      </c>
      <c r="C2269" s="23">
        <v>2200</v>
      </c>
      <c r="G2269"/>
      <c r="I2269" s="14" t="str">
        <f>+IFERROR(VLOOKUP(C2269,'Mov 2023 hasta ahora '!$C$2:$D$314,2,FALSE),"NO")</f>
        <v>NO</v>
      </c>
      <c r="K2269">
        <v>6</v>
      </c>
      <c r="L2269" t="s">
        <v>836</v>
      </c>
      <c r="M2269">
        <v>24</v>
      </c>
      <c r="O2269" s="29" t="s">
        <v>8998</v>
      </c>
      <c r="P2269" s="25" t="s">
        <v>8859</v>
      </c>
      <c r="Q2269" s="25">
        <v>591</v>
      </c>
      <c r="R2269" t="s">
        <v>436</v>
      </c>
    </row>
    <row r="2270" spans="1:18" s="13" customFormat="1" hidden="1">
      <c r="A2270" s="23" t="s">
        <v>4532</v>
      </c>
      <c r="B2270" s="23" t="s">
        <v>4533</v>
      </c>
      <c r="C2270" s="23">
        <v>2201</v>
      </c>
      <c r="G2270"/>
      <c r="I2270" s="14" t="str">
        <f>+IFERROR(VLOOKUP(C2270,'Mov 2023 hasta ahora '!$C$2:$D$314,2,FALSE),"NO")</f>
        <v>NO</v>
      </c>
      <c r="K2270">
        <v>6</v>
      </c>
      <c r="L2270" t="s">
        <v>836</v>
      </c>
      <c r="M2270">
        <v>24</v>
      </c>
      <c r="O2270" s="29" t="s">
        <v>8999</v>
      </c>
      <c r="P2270" s="25" t="s">
        <v>8849</v>
      </c>
      <c r="Q2270" s="25">
        <v>609</v>
      </c>
      <c r="R2270" t="s">
        <v>436</v>
      </c>
    </row>
    <row r="2271" spans="1:18" hidden="1">
      <c r="A2271" t="s">
        <v>4534</v>
      </c>
      <c r="B2271" t="s">
        <v>4535</v>
      </c>
      <c r="I2271" s="3" t="str">
        <f>+IFERROR(VLOOKUP(C2271,'Mov 2023 hasta ahora '!$C$2:$D$314,2,FALSE),"NO")</f>
        <v>NO</v>
      </c>
      <c r="K2271">
        <v>5</v>
      </c>
      <c r="L2271" t="s">
        <v>836</v>
      </c>
      <c r="M2271">
        <v>18</v>
      </c>
    </row>
    <row r="2272" spans="1:18" s="13" customFormat="1" hidden="1">
      <c r="A2272" s="23" t="s">
        <v>4536</v>
      </c>
      <c r="B2272" s="23" t="s">
        <v>4537</v>
      </c>
      <c r="C2272" s="23">
        <v>2202</v>
      </c>
      <c r="G2272"/>
      <c r="I2272" s="14" t="str">
        <f>+IFERROR(VLOOKUP(C2272,'Mov 2023 hasta ahora '!$C$2:$D$314,2,FALSE),"NO")</f>
        <v>NO</v>
      </c>
      <c r="K2272">
        <v>6</v>
      </c>
      <c r="L2272" t="s">
        <v>836</v>
      </c>
      <c r="M2272">
        <v>24</v>
      </c>
      <c r="O2272" s="29" t="s">
        <v>8998</v>
      </c>
      <c r="P2272" s="25" t="s">
        <v>8859</v>
      </c>
      <c r="Q2272" s="25">
        <v>591</v>
      </c>
      <c r="R2272" t="s">
        <v>436</v>
      </c>
    </row>
    <row r="2273" spans="1:18" s="13" customFormat="1" hidden="1">
      <c r="A2273" s="23" t="s">
        <v>4538</v>
      </c>
      <c r="B2273" s="23" t="s">
        <v>4539</v>
      </c>
      <c r="C2273" s="23">
        <v>2203</v>
      </c>
      <c r="G2273"/>
      <c r="I2273" s="14" t="str">
        <f>+IFERROR(VLOOKUP(C2273,'Mov 2023 hasta ahora '!$C$2:$D$314,2,FALSE),"NO")</f>
        <v>NO</v>
      </c>
      <c r="K2273">
        <v>6</v>
      </c>
      <c r="L2273" t="s">
        <v>836</v>
      </c>
      <c r="M2273">
        <v>24</v>
      </c>
      <c r="O2273" s="29" t="s">
        <v>8999</v>
      </c>
      <c r="P2273" s="25" t="s">
        <v>8849</v>
      </c>
      <c r="Q2273" s="25">
        <v>609</v>
      </c>
      <c r="R2273" t="s">
        <v>436</v>
      </c>
    </row>
    <row r="2274" spans="1:18" hidden="1">
      <c r="A2274" t="s">
        <v>4540</v>
      </c>
      <c r="B2274" t="s">
        <v>4541</v>
      </c>
      <c r="I2274" s="3" t="str">
        <f>+IFERROR(VLOOKUP(C2274,'Mov 2023 hasta ahora '!$C$2:$D$314,2,FALSE),"NO")</f>
        <v>NO</v>
      </c>
      <c r="K2274">
        <v>5</v>
      </c>
      <c r="L2274" t="s">
        <v>836</v>
      </c>
      <c r="M2274">
        <v>18</v>
      </c>
    </row>
    <row r="2275" spans="1:18" s="13" customFormat="1" hidden="1">
      <c r="A2275" s="23" t="s">
        <v>4542</v>
      </c>
      <c r="B2275" s="23" t="s">
        <v>4543</v>
      </c>
      <c r="C2275" s="23">
        <v>2204</v>
      </c>
      <c r="G2275"/>
      <c r="I2275" s="14" t="str">
        <f>+IFERROR(VLOOKUP(C2275,'Mov 2023 hasta ahora '!$C$2:$D$314,2,FALSE),"NO")</f>
        <v>NO</v>
      </c>
      <c r="K2275">
        <v>6</v>
      </c>
      <c r="L2275" t="s">
        <v>836</v>
      </c>
      <c r="M2275">
        <v>24</v>
      </c>
      <c r="O2275" s="29" t="s">
        <v>8815</v>
      </c>
      <c r="P2275" s="25" t="s">
        <v>8796</v>
      </c>
      <c r="Q2275" s="25">
        <v>1579</v>
      </c>
      <c r="R2275" t="s">
        <v>436</v>
      </c>
    </row>
    <row r="2276" spans="1:18" s="13" customFormat="1" hidden="1">
      <c r="A2276" s="23" t="s">
        <v>4544</v>
      </c>
      <c r="B2276" s="23" t="s">
        <v>4545</v>
      </c>
      <c r="C2276" s="23">
        <v>2205</v>
      </c>
      <c r="G2276"/>
      <c r="I2276" s="14" t="str">
        <f>+IFERROR(VLOOKUP(C2276,'Mov 2023 hasta ahora '!$C$2:$D$314,2,FALSE),"NO")</f>
        <v>NO</v>
      </c>
      <c r="K2276">
        <v>6</v>
      </c>
      <c r="L2276" t="s">
        <v>836</v>
      </c>
      <c r="M2276">
        <v>24</v>
      </c>
      <c r="O2276" s="29" t="s">
        <v>8816</v>
      </c>
      <c r="P2276" s="25" t="s">
        <v>8806</v>
      </c>
      <c r="Q2276" s="25">
        <v>1589</v>
      </c>
      <c r="R2276" t="s">
        <v>436</v>
      </c>
    </row>
    <row r="2277" spans="1:18" hidden="1">
      <c r="A2277" t="s">
        <v>4546</v>
      </c>
      <c r="B2277" t="s">
        <v>4547</v>
      </c>
      <c r="I2277" s="3" t="str">
        <f>+IFERROR(VLOOKUP(C2277,'Mov 2023 hasta ahora '!$C$2:$D$314,2,FALSE),"NO")</f>
        <v>NO</v>
      </c>
      <c r="K2277">
        <v>4</v>
      </c>
      <c r="L2277" t="s">
        <v>836</v>
      </c>
      <c r="M2277">
        <v>14</v>
      </c>
    </row>
    <row r="2278" spans="1:18" hidden="1">
      <c r="A2278" t="s">
        <v>4548</v>
      </c>
      <c r="B2278" t="s">
        <v>4549</v>
      </c>
      <c r="I2278" s="3" t="str">
        <f>+IFERROR(VLOOKUP(C2278,'Mov 2023 hasta ahora '!$C$2:$D$314,2,FALSE),"NO")</f>
        <v>NO</v>
      </c>
      <c r="K2278">
        <v>5</v>
      </c>
      <c r="L2278" t="s">
        <v>836</v>
      </c>
      <c r="M2278">
        <v>18</v>
      </c>
    </row>
    <row r="2279" spans="1:18" s="13" customFormat="1" hidden="1">
      <c r="A2279" s="23" t="s">
        <v>4550</v>
      </c>
      <c r="B2279" s="23" t="s">
        <v>4551</v>
      </c>
      <c r="C2279" s="23">
        <v>2206</v>
      </c>
      <c r="G2279"/>
      <c r="I2279" s="14" t="str">
        <f>+IFERROR(VLOOKUP(C2279,'Mov 2023 hasta ahora '!$C$2:$D$314,2,FALSE),"NO")</f>
        <v>NO</v>
      </c>
      <c r="K2279">
        <v>6</v>
      </c>
      <c r="L2279" t="s">
        <v>836</v>
      </c>
      <c r="M2279">
        <v>24</v>
      </c>
      <c r="O2279" s="29" t="s">
        <v>8767</v>
      </c>
      <c r="P2279" s="25" t="s">
        <v>8993</v>
      </c>
      <c r="Q2279" s="25">
        <v>645</v>
      </c>
      <c r="R2279" t="s">
        <v>436</v>
      </c>
    </row>
    <row r="2280" spans="1:18" s="13" customFormat="1" hidden="1">
      <c r="A2280" s="23" t="s">
        <v>4552</v>
      </c>
      <c r="B2280" s="23" t="s">
        <v>4553</v>
      </c>
      <c r="C2280" s="23">
        <v>2207</v>
      </c>
      <c r="G2280"/>
      <c r="I2280" s="14" t="str">
        <f>+IFERROR(VLOOKUP(C2280,'Mov 2023 hasta ahora '!$C$2:$D$314,2,FALSE),"NO")</f>
        <v>NO</v>
      </c>
      <c r="K2280">
        <v>6</v>
      </c>
      <c r="L2280" t="s">
        <v>836</v>
      </c>
      <c r="M2280">
        <v>24</v>
      </c>
      <c r="O2280" s="30" t="s">
        <v>8768</v>
      </c>
      <c r="P2280" s="30" t="s">
        <v>8994</v>
      </c>
      <c r="Q2280" s="30">
        <v>663</v>
      </c>
      <c r="R2280" s="13" t="s">
        <v>436</v>
      </c>
    </row>
    <row r="2281" spans="1:18" hidden="1">
      <c r="A2281" t="s">
        <v>4554</v>
      </c>
      <c r="B2281" t="s">
        <v>4555</v>
      </c>
      <c r="I2281" s="3" t="str">
        <f>+IFERROR(VLOOKUP(C2281,'Mov 2023 hasta ahora '!$C$2:$D$314,2,FALSE),"NO")</f>
        <v>NO</v>
      </c>
      <c r="K2281">
        <v>5</v>
      </c>
      <c r="L2281" t="s">
        <v>836</v>
      </c>
      <c r="M2281">
        <v>18</v>
      </c>
    </row>
    <row r="2282" spans="1:18" s="13" customFormat="1" hidden="1">
      <c r="A2282" s="23" t="s">
        <v>4556</v>
      </c>
      <c r="B2282" s="23" t="s">
        <v>4557</v>
      </c>
      <c r="C2282" s="23">
        <v>2208</v>
      </c>
      <c r="G2282"/>
      <c r="I2282" s="14" t="str">
        <f>+IFERROR(VLOOKUP(C2282,'Mov 2023 hasta ahora '!$C$2:$D$314,2,FALSE),"NO")</f>
        <v>NO</v>
      </c>
      <c r="K2282">
        <v>6</v>
      </c>
      <c r="L2282" t="s">
        <v>836</v>
      </c>
      <c r="M2282">
        <v>24</v>
      </c>
      <c r="O2282" s="29" t="s">
        <v>8767</v>
      </c>
      <c r="P2282" s="25" t="s">
        <v>8993</v>
      </c>
      <c r="Q2282" s="25">
        <v>645</v>
      </c>
      <c r="R2282" t="s">
        <v>436</v>
      </c>
    </row>
    <row r="2283" spans="1:18" s="13" customFormat="1" hidden="1">
      <c r="A2283" s="23" t="s">
        <v>4558</v>
      </c>
      <c r="B2283" s="23" t="s">
        <v>4559</v>
      </c>
      <c r="C2283" s="23">
        <v>2209</v>
      </c>
      <c r="G2283"/>
      <c r="I2283" s="14" t="str">
        <f>+IFERROR(VLOOKUP(C2283,'Mov 2023 hasta ahora '!$C$2:$D$314,2,FALSE),"NO")</f>
        <v>NO</v>
      </c>
      <c r="K2283">
        <v>6</v>
      </c>
      <c r="L2283" t="s">
        <v>836</v>
      </c>
      <c r="M2283">
        <v>24</v>
      </c>
      <c r="O2283" s="30" t="s">
        <v>8768</v>
      </c>
      <c r="P2283" s="30" t="s">
        <v>8994</v>
      </c>
      <c r="Q2283" s="30">
        <v>663</v>
      </c>
      <c r="R2283" s="13" t="s">
        <v>436</v>
      </c>
    </row>
    <row r="2284" spans="1:18" hidden="1">
      <c r="A2284" t="s">
        <v>4560</v>
      </c>
      <c r="B2284" t="s">
        <v>4561</v>
      </c>
      <c r="I2284" s="3" t="str">
        <f>+IFERROR(VLOOKUP(C2284,'Mov 2023 hasta ahora '!$C$2:$D$314,2,FALSE),"NO")</f>
        <v>NO</v>
      </c>
      <c r="K2284">
        <v>5</v>
      </c>
      <c r="L2284" t="s">
        <v>836</v>
      </c>
      <c r="M2284">
        <v>18</v>
      </c>
    </row>
    <row r="2285" spans="1:18" s="13" customFormat="1" hidden="1">
      <c r="A2285" s="23" t="s">
        <v>4562</v>
      </c>
      <c r="B2285" s="23" t="s">
        <v>4563</v>
      </c>
      <c r="C2285" s="23">
        <v>2211</v>
      </c>
      <c r="G2285"/>
      <c r="I2285" s="14" t="str">
        <f>+IFERROR(VLOOKUP(C2285,'Mov 2023 hasta ahora '!$C$2:$D$314,2,FALSE),"NO")</f>
        <v>NO</v>
      </c>
      <c r="K2285">
        <v>6</v>
      </c>
      <c r="L2285" t="s">
        <v>836</v>
      </c>
      <c r="M2285">
        <v>24</v>
      </c>
      <c r="O2285" s="29" t="s">
        <v>8767</v>
      </c>
      <c r="P2285" s="25" t="s">
        <v>8993</v>
      </c>
      <c r="Q2285" s="25">
        <v>645</v>
      </c>
      <c r="R2285" t="s">
        <v>436</v>
      </c>
    </row>
    <row r="2286" spans="1:18" s="13" customFormat="1" hidden="1">
      <c r="A2286" s="23" t="s">
        <v>4564</v>
      </c>
      <c r="B2286" s="23" t="s">
        <v>4565</v>
      </c>
      <c r="C2286" s="23">
        <v>2210</v>
      </c>
      <c r="G2286"/>
      <c r="I2286" s="14" t="str">
        <f>+IFERROR(VLOOKUP(C2286,'Mov 2023 hasta ahora '!$C$2:$D$314,2,FALSE),"NO")</f>
        <v>NO</v>
      </c>
      <c r="K2286">
        <v>6</v>
      </c>
      <c r="L2286" t="s">
        <v>836</v>
      </c>
      <c r="M2286">
        <v>24</v>
      </c>
      <c r="O2286" s="30" t="s">
        <v>8768</v>
      </c>
      <c r="P2286" s="30" t="s">
        <v>8994</v>
      </c>
      <c r="Q2286" s="30">
        <v>663</v>
      </c>
      <c r="R2286" s="13" t="s">
        <v>436</v>
      </c>
    </row>
    <row r="2287" spans="1:18" hidden="1">
      <c r="A2287" t="s">
        <v>4566</v>
      </c>
      <c r="B2287" t="s">
        <v>4567</v>
      </c>
      <c r="I2287" s="3" t="str">
        <f>+IFERROR(VLOOKUP(C2287,'Mov 2023 hasta ahora '!$C$2:$D$314,2,FALSE),"NO")</f>
        <v>NO</v>
      </c>
      <c r="K2287">
        <v>5</v>
      </c>
      <c r="L2287" t="s">
        <v>836</v>
      </c>
      <c r="M2287">
        <v>18</v>
      </c>
    </row>
    <row r="2288" spans="1:18" s="13" customFormat="1" hidden="1">
      <c r="A2288" s="23" t="s">
        <v>4568</v>
      </c>
      <c r="B2288" s="23" t="s">
        <v>4569</v>
      </c>
      <c r="C2288" s="23">
        <v>2212</v>
      </c>
      <c r="G2288"/>
      <c r="I2288" s="14" t="str">
        <f>+IFERROR(VLOOKUP(C2288,'Mov 2023 hasta ahora '!$C$2:$D$314,2,FALSE),"NO")</f>
        <v>NO</v>
      </c>
      <c r="K2288">
        <v>6</v>
      </c>
      <c r="L2288" t="s">
        <v>836</v>
      </c>
      <c r="M2288">
        <v>24</v>
      </c>
      <c r="O2288" s="30" t="s">
        <v>8768</v>
      </c>
      <c r="P2288" s="30" t="s">
        <v>8994</v>
      </c>
      <c r="Q2288" s="30">
        <v>663</v>
      </c>
      <c r="R2288" s="13" t="s">
        <v>436</v>
      </c>
    </row>
    <row r="2289" spans="1:18" hidden="1">
      <c r="A2289" t="s">
        <v>4570</v>
      </c>
      <c r="B2289" t="s">
        <v>4571</v>
      </c>
      <c r="I2289" s="3" t="str">
        <f>+IFERROR(VLOOKUP(C2289,'Mov 2023 hasta ahora '!$C$2:$D$314,2,FALSE),"NO")</f>
        <v>NO</v>
      </c>
      <c r="K2289">
        <v>5</v>
      </c>
      <c r="L2289" t="s">
        <v>836</v>
      </c>
      <c r="M2289">
        <v>18</v>
      </c>
    </row>
    <row r="2290" spans="1:18" s="13" customFormat="1" hidden="1">
      <c r="A2290" s="23" t="s">
        <v>4572</v>
      </c>
      <c r="B2290" s="23" t="s">
        <v>4573</v>
      </c>
      <c r="C2290" s="23">
        <v>2214</v>
      </c>
      <c r="G2290"/>
      <c r="I2290" s="14" t="str">
        <f>+IFERROR(VLOOKUP(C2290,'Mov 2023 hasta ahora '!$C$2:$D$314,2,FALSE),"NO")</f>
        <v>NO</v>
      </c>
      <c r="K2290">
        <v>6</v>
      </c>
      <c r="L2290" t="s">
        <v>836</v>
      </c>
      <c r="M2290">
        <v>24</v>
      </c>
      <c r="O2290" s="29" t="s">
        <v>8767</v>
      </c>
      <c r="P2290" s="25" t="s">
        <v>8993</v>
      </c>
      <c r="Q2290" s="25">
        <v>645</v>
      </c>
      <c r="R2290" t="s">
        <v>436</v>
      </c>
    </row>
    <row r="2291" spans="1:18" s="13" customFormat="1" hidden="1">
      <c r="A2291" s="23" t="s">
        <v>4574</v>
      </c>
      <c r="B2291" s="23" t="s">
        <v>4575</v>
      </c>
      <c r="C2291" s="23">
        <v>2213</v>
      </c>
      <c r="G2291"/>
      <c r="I2291" s="14" t="str">
        <f>+IFERROR(VLOOKUP(C2291,'Mov 2023 hasta ahora '!$C$2:$D$314,2,FALSE),"NO")</f>
        <v>NO</v>
      </c>
      <c r="K2291">
        <v>6</v>
      </c>
      <c r="L2291" t="s">
        <v>836</v>
      </c>
      <c r="M2291">
        <v>24</v>
      </c>
      <c r="O2291" s="30" t="s">
        <v>8768</v>
      </c>
      <c r="P2291" s="30" t="s">
        <v>8994</v>
      </c>
      <c r="Q2291" s="30">
        <v>663</v>
      </c>
      <c r="R2291" s="13" t="s">
        <v>436</v>
      </c>
    </row>
    <row r="2292" spans="1:18" hidden="1">
      <c r="A2292" t="s">
        <v>4576</v>
      </c>
      <c r="B2292" t="s">
        <v>4577</v>
      </c>
      <c r="I2292" s="3" t="str">
        <f>+IFERROR(VLOOKUP(C2292,'Mov 2023 hasta ahora '!$C$2:$D$314,2,FALSE),"NO")</f>
        <v>NO</v>
      </c>
      <c r="K2292">
        <v>5</v>
      </c>
      <c r="L2292" t="s">
        <v>836</v>
      </c>
      <c r="M2292">
        <v>18</v>
      </c>
    </row>
    <row r="2293" spans="1:18" s="13" customFormat="1" hidden="1">
      <c r="A2293" s="23" t="s">
        <v>4578</v>
      </c>
      <c r="B2293" s="23" t="s">
        <v>4579</v>
      </c>
      <c r="C2293" s="23">
        <v>2215</v>
      </c>
      <c r="G2293"/>
      <c r="I2293" s="14" t="str">
        <f>+IFERROR(VLOOKUP(C2293,'Mov 2023 hasta ahora '!$C$2:$D$314,2,FALSE),"NO")</f>
        <v>NO</v>
      </c>
      <c r="K2293">
        <v>6</v>
      </c>
      <c r="L2293" t="s">
        <v>836</v>
      </c>
      <c r="M2293">
        <v>24</v>
      </c>
      <c r="O2293" s="29" t="s">
        <v>8767</v>
      </c>
      <c r="P2293" s="25" t="s">
        <v>8993</v>
      </c>
      <c r="Q2293" s="25">
        <v>645</v>
      </c>
      <c r="R2293" t="s">
        <v>436</v>
      </c>
    </row>
    <row r="2294" spans="1:18" s="13" customFormat="1" hidden="1">
      <c r="A2294" s="23" t="s">
        <v>4580</v>
      </c>
      <c r="B2294" s="23" t="s">
        <v>4581</v>
      </c>
      <c r="C2294" s="23">
        <v>2216</v>
      </c>
      <c r="G2294"/>
      <c r="I2294" s="14" t="str">
        <f>+IFERROR(VLOOKUP(C2294,'Mov 2023 hasta ahora '!$C$2:$D$314,2,FALSE),"NO")</f>
        <v>NO</v>
      </c>
      <c r="K2294">
        <v>6</v>
      </c>
      <c r="L2294" t="s">
        <v>836</v>
      </c>
      <c r="M2294">
        <v>24</v>
      </c>
      <c r="O2294" s="30" t="s">
        <v>8768</v>
      </c>
      <c r="P2294" s="30" t="s">
        <v>8994</v>
      </c>
      <c r="Q2294" s="30">
        <v>663</v>
      </c>
      <c r="R2294" s="13" t="s">
        <v>436</v>
      </c>
    </row>
    <row r="2295" spans="1:18" hidden="1">
      <c r="A2295" t="s">
        <v>4582</v>
      </c>
      <c r="B2295" t="s">
        <v>4583</v>
      </c>
      <c r="I2295" s="3" t="str">
        <f>+IFERROR(VLOOKUP(C2295,'Mov 2023 hasta ahora '!$C$2:$D$314,2,FALSE),"NO")</f>
        <v>NO</v>
      </c>
      <c r="K2295">
        <v>5</v>
      </c>
      <c r="L2295" t="s">
        <v>836</v>
      </c>
      <c r="M2295">
        <v>18</v>
      </c>
    </row>
    <row r="2296" spans="1:18" s="13" customFormat="1" hidden="1">
      <c r="A2296" s="23" t="s">
        <v>4584</v>
      </c>
      <c r="B2296" s="23" t="s">
        <v>4585</v>
      </c>
      <c r="C2296" s="23">
        <v>2218</v>
      </c>
      <c r="G2296"/>
      <c r="I2296" s="14" t="str">
        <f>+IFERROR(VLOOKUP(C2296,'Mov 2023 hasta ahora '!$C$2:$D$314,2,FALSE),"NO")</f>
        <v>NO</v>
      </c>
      <c r="K2296">
        <v>6</v>
      </c>
      <c r="L2296" t="s">
        <v>836</v>
      </c>
      <c r="M2296">
        <v>24</v>
      </c>
      <c r="O2296" s="29" t="s">
        <v>8767</v>
      </c>
      <c r="P2296" s="25" t="s">
        <v>8993</v>
      </c>
      <c r="Q2296" s="25">
        <v>645</v>
      </c>
      <c r="R2296" t="s">
        <v>436</v>
      </c>
    </row>
    <row r="2297" spans="1:18" s="13" customFormat="1" hidden="1">
      <c r="A2297" s="23" t="s">
        <v>4586</v>
      </c>
      <c r="B2297" s="23" t="s">
        <v>4587</v>
      </c>
      <c r="C2297" s="23">
        <v>2217</v>
      </c>
      <c r="G2297"/>
      <c r="I2297" s="14" t="str">
        <f>+IFERROR(VLOOKUP(C2297,'Mov 2023 hasta ahora '!$C$2:$D$314,2,FALSE),"NO")</f>
        <v>NO</v>
      </c>
      <c r="K2297">
        <v>6</v>
      </c>
      <c r="L2297" t="s">
        <v>836</v>
      </c>
      <c r="M2297">
        <v>24</v>
      </c>
      <c r="O2297" s="30" t="s">
        <v>8768</v>
      </c>
      <c r="P2297" s="30" t="s">
        <v>8994</v>
      </c>
      <c r="Q2297" s="30">
        <v>663</v>
      </c>
      <c r="R2297" s="13" t="s">
        <v>436</v>
      </c>
    </row>
    <row r="2298" spans="1:18" hidden="1">
      <c r="A2298" t="s">
        <v>4588</v>
      </c>
      <c r="B2298" t="s">
        <v>4589</v>
      </c>
      <c r="I2298" s="3" t="str">
        <f>+IFERROR(VLOOKUP(C2298,'Mov 2023 hasta ahora '!$C$2:$D$314,2,FALSE),"NO")</f>
        <v>NO</v>
      </c>
      <c r="K2298">
        <v>5</v>
      </c>
      <c r="L2298" t="s">
        <v>836</v>
      </c>
      <c r="M2298">
        <v>18</v>
      </c>
    </row>
    <row r="2299" spans="1:18" s="13" customFormat="1" hidden="1">
      <c r="A2299" s="23" t="s">
        <v>4590</v>
      </c>
      <c r="B2299" s="23" t="s">
        <v>4591</v>
      </c>
      <c r="C2299" s="23">
        <v>2219</v>
      </c>
      <c r="G2299"/>
      <c r="I2299" s="14" t="str">
        <f>+IFERROR(VLOOKUP(C2299,'Mov 2023 hasta ahora '!$C$2:$D$314,2,FALSE),"NO")</f>
        <v>NO</v>
      </c>
      <c r="K2299">
        <v>6</v>
      </c>
      <c r="L2299" t="s">
        <v>836</v>
      </c>
      <c r="M2299">
        <v>24</v>
      </c>
      <c r="O2299" s="29" t="s">
        <v>8752</v>
      </c>
      <c r="P2299" s="25" t="s">
        <v>8995</v>
      </c>
      <c r="Q2299" s="25">
        <v>1481</v>
      </c>
      <c r="R2299" t="s">
        <v>436</v>
      </c>
    </row>
    <row r="2300" spans="1:18" s="13" customFormat="1" hidden="1">
      <c r="A2300" s="23" t="s">
        <v>4592</v>
      </c>
      <c r="B2300" s="23" t="s">
        <v>4593</v>
      </c>
      <c r="C2300" s="23">
        <v>2220</v>
      </c>
      <c r="G2300"/>
      <c r="I2300" s="14" t="str">
        <f>+IFERROR(VLOOKUP(C2300,'Mov 2023 hasta ahora '!$C$2:$D$314,2,FALSE),"NO")</f>
        <v>NO</v>
      </c>
      <c r="K2300">
        <v>6</v>
      </c>
      <c r="L2300" t="s">
        <v>836</v>
      </c>
      <c r="M2300">
        <v>24</v>
      </c>
      <c r="O2300" s="29" t="s">
        <v>8766</v>
      </c>
      <c r="P2300" s="25" t="s">
        <v>8996</v>
      </c>
      <c r="Q2300" s="25">
        <v>1473</v>
      </c>
      <c r="R2300" t="s">
        <v>436</v>
      </c>
    </row>
    <row r="2301" spans="1:18" hidden="1">
      <c r="A2301" t="s">
        <v>4594</v>
      </c>
      <c r="B2301" t="s">
        <v>4595</v>
      </c>
      <c r="I2301" s="3" t="str">
        <f>+IFERROR(VLOOKUP(C2301,'Mov 2023 hasta ahora '!$C$2:$D$314,2,FALSE),"NO")</f>
        <v>NO</v>
      </c>
      <c r="K2301">
        <v>4</v>
      </c>
      <c r="L2301" t="s">
        <v>836</v>
      </c>
      <c r="M2301">
        <v>14</v>
      </c>
    </row>
    <row r="2302" spans="1:18" hidden="1">
      <c r="A2302" t="s">
        <v>4596</v>
      </c>
      <c r="B2302" t="s">
        <v>4597</v>
      </c>
      <c r="I2302" s="3" t="str">
        <f>+IFERROR(VLOOKUP(C2302,'Mov 2023 hasta ahora '!$C$2:$D$314,2,FALSE),"NO")</f>
        <v>NO</v>
      </c>
      <c r="K2302">
        <v>5</v>
      </c>
      <c r="L2302" t="s">
        <v>836</v>
      </c>
      <c r="M2302">
        <v>18</v>
      </c>
    </row>
    <row r="2303" spans="1:18" s="13" customFormat="1" hidden="1">
      <c r="A2303" s="23" t="s">
        <v>4598</v>
      </c>
      <c r="B2303" s="23" t="s">
        <v>4599</v>
      </c>
      <c r="C2303" s="23">
        <v>2221</v>
      </c>
      <c r="G2303"/>
      <c r="I2303" s="14" t="str">
        <f>+IFERROR(VLOOKUP(C2303,'Mov 2023 hasta ahora '!$C$2:$D$314,2,FALSE),"NO")</f>
        <v>NO</v>
      </c>
      <c r="K2303">
        <v>6</v>
      </c>
      <c r="L2303" t="s">
        <v>836</v>
      </c>
      <c r="M2303">
        <v>24</v>
      </c>
      <c r="O2303" s="29" t="s">
        <v>8858</v>
      </c>
      <c r="P2303" s="25" t="s">
        <v>8862</v>
      </c>
      <c r="Q2303" s="25">
        <v>834</v>
      </c>
      <c r="R2303" t="s">
        <v>436</v>
      </c>
    </row>
    <row r="2304" spans="1:18" s="13" customFormat="1" hidden="1">
      <c r="A2304" s="23" t="s">
        <v>4600</v>
      </c>
      <c r="B2304" s="23" t="s">
        <v>4601</v>
      </c>
      <c r="C2304" s="23">
        <v>2222</v>
      </c>
      <c r="G2304"/>
      <c r="I2304" s="14" t="str">
        <f>+IFERROR(VLOOKUP(C2304,'Mov 2023 hasta ahora '!$C$2:$D$314,2,FALSE),"NO")</f>
        <v>NO</v>
      </c>
      <c r="K2304">
        <v>6</v>
      </c>
      <c r="L2304" t="s">
        <v>836</v>
      </c>
      <c r="M2304">
        <v>24</v>
      </c>
      <c r="O2304" s="29" t="s">
        <v>8847</v>
      </c>
      <c r="P2304" s="25" t="s">
        <v>8851</v>
      </c>
      <c r="Q2304" s="25">
        <v>852</v>
      </c>
      <c r="R2304" t="s">
        <v>436</v>
      </c>
    </row>
    <row r="2305" spans="1:18" hidden="1">
      <c r="A2305" t="s">
        <v>4602</v>
      </c>
      <c r="B2305" t="s">
        <v>4603</v>
      </c>
      <c r="I2305" s="3" t="str">
        <f>+IFERROR(VLOOKUP(C2305,'Mov 2023 hasta ahora '!$C$2:$D$314,2,FALSE),"NO")</f>
        <v>NO</v>
      </c>
      <c r="K2305">
        <v>5</v>
      </c>
      <c r="L2305" t="s">
        <v>836</v>
      </c>
      <c r="M2305">
        <v>18</v>
      </c>
    </row>
    <row r="2306" spans="1:18" s="13" customFormat="1" hidden="1">
      <c r="A2306" s="23" t="s">
        <v>4604</v>
      </c>
      <c r="B2306" s="23" t="s">
        <v>4605</v>
      </c>
      <c r="C2306" s="23">
        <v>2223</v>
      </c>
      <c r="G2306"/>
      <c r="I2306" s="14" t="str">
        <f>+IFERROR(VLOOKUP(C2306,'Mov 2023 hasta ahora '!$C$2:$D$314,2,FALSE),"NO")</f>
        <v>NO</v>
      </c>
      <c r="K2306">
        <v>6</v>
      </c>
      <c r="L2306" t="s">
        <v>836</v>
      </c>
      <c r="M2306">
        <v>24</v>
      </c>
      <c r="O2306" s="29" t="s">
        <v>8858</v>
      </c>
      <c r="P2306" s="25" t="s">
        <v>8862</v>
      </c>
      <c r="Q2306" s="25">
        <v>834</v>
      </c>
      <c r="R2306" t="s">
        <v>436</v>
      </c>
    </row>
    <row r="2307" spans="1:18" s="13" customFormat="1" hidden="1">
      <c r="A2307" s="23" t="s">
        <v>4606</v>
      </c>
      <c r="B2307" s="23" t="s">
        <v>4607</v>
      </c>
      <c r="C2307" s="23">
        <v>2224</v>
      </c>
      <c r="G2307"/>
      <c r="I2307" s="14" t="str">
        <f>+IFERROR(VLOOKUP(C2307,'Mov 2023 hasta ahora '!$C$2:$D$314,2,FALSE),"NO")</f>
        <v>NO</v>
      </c>
      <c r="K2307">
        <v>6</v>
      </c>
      <c r="L2307" t="s">
        <v>836</v>
      </c>
      <c r="M2307">
        <v>24</v>
      </c>
      <c r="O2307" s="29" t="s">
        <v>8847</v>
      </c>
      <c r="P2307" s="25" t="s">
        <v>8851</v>
      </c>
      <c r="Q2307" s="25">
        <v>852</v>
      </c>
      <c r="R2307" t="s">
        <v>436</v>
      </c>
    </row>
    <row r="2308" spans="1:18" hidden="1">
      <c r="A2308" t="s">
        <v>4608</v>
      </c>
      <c r="B2308" t="s">
        <v>4609</v>
      </c>
      <c r="I2308" s="3" t="str">
        <f>+IFERROR(VLOOKUP(C2308,'Mov 2023 hasta ahora '!$C$2:$D$314,2,FALSE),"NO")</f>
        <v>NO</v>
      </c>
      <c r="K2308">
        <v>5</v>
      </c>
      <c r="L2308" t="s">
        <v>836</v>
      </c>
      <c r="M2308">
        <v>18</v>
      </c>
    </row>
    <row r="2309" spans="1:18" s="13" customFormat="1" hidden="1">
      <c r="A2309" s="23" t="s">
        <v>4610</v>
      </c>
      <c r="B2309" s="23" t="s">
        <v>4611</v>
      </c>
      <c r="C2309" s="23">
        <v>2225</v>
      </c>
      <c r="G2309"/>
      <c r="I2309" s="14" t="str">
        <f>+IFERROR(VLOOKUP(C2309,'Mov 2023 hasta ahora '!$C$2:$D$314,2,FALSE),"NO")</f>
        <v>NO</v>
      </c>
      <c r="K2309">
        <v>6</v>
      </c>
      <c r="L2309" t="s">
        <v>836</v>
      </c>
      <c r="M2309">
        <v>24</v>
      </c>
      <c r="O2309" s="29" t="s">
        <v>8858</v>
      </c>
      <c r="P2309" s="25" t="s">
        <v>8862</v>
      </c>
      <c r="Q2309" s="25">
        <v>834</v>
      </c>
      <c r="R2309" t="s">
        <v>436</v>
      </c>
    </row>
    <row r="2310" spans="1:18" s="13" customFormat="1" hidden="1">
      <c r="A2310" s="23" t="s">
        <v>4612</v>
      </c>
      <c r="B2310" s="23" t="s">
        <v>4613</v>
      </c>
      <c r="C2310" s="23">
        <v>2226</v>
      </c>
      <c r="G2310"/>
      <c r="I2310" s="14" t="str">
        <f>+IFERROR(VLOOKUP(C2310,'Mov 2023 hasta ahora '!$C$2:$D$314,2,FALSE),"NO")</f>
        <v>NO</v>
      </c>
      <c r="K2310">
        <v>6</v>
      </c>
      <c r="L2310" t="s">
        <v>836</v>
      </c>
      <c r="M2310">
        <v>24</v>
      </c>
      <c r="O2310" s="29" t="s">
        <v>8847</v>
      </c>
      <c r="P2310" s="25" t="s">
        <v>8851</v>
      </c>
      <c r="Q2310" s="25">
        <v>852</v>
      </c>
      <c r="R2310" t="s">
        <v>436</v>
      </c>
    </row>
    <row r="2311" spans="1:18" hidden="1">
      <c r="A2311" t="s">
        <v>4614</v>
      </c>
      <c r="B2311" t="s">
        <v>4615</v>
      </c>
      <c r="I2311" s="3" t="str">
        <f>+IFERROR(VLOOKUP(C2311,'Mov 2023 hasta ahora '!$C$2:$D$314,2,FALSE),"NO")</f>
        <v>NO</v>
      </c>
      <c r="K2311">
        <v>5</v>
      </c>
      <c r="L2311" t="s">
        <v>836</v>
      </c>
      <c r="M2311">
        <v>18</v>
      </c>
    </row>
    <row r="2312" spans="1:18" s="13" customFormat="1" hidden="1">
      <c r="A2312" s="23" t="s">
        <v>4616</v>
      </c>
      <c r="B2312" s="23" t="s">
        <v>4617</v>
      </c>
      <c r="C2312" s="23">
        <v>2227</v>
      </c>
      <c r="G2312"/>
      <c r="I2312" s="14" t="str">
        <f>+IFERROR(VLOOKUP(C2312,'Mov 2023 hasta ahora '!$C$2:$D$314,2,FALSE),"NO")</f>
        <v>NO</v>
      </c>
      <c r="K2312">
        <v>6</v>
      </c>
      <c r="L2312" t="s">
        <v>836</v>
      </c>
      <c r="M2312">
        <v>24</v>
      </c>
      <c r="O2312" s="29" t="s">
        <v>8858</v>
      </c>
      <c r="P2312" s="25" t="s">
        <v>8862</v>
      </c>
      <c r="Q2312" s="25">
        <v>834</v>
      </c>
      <c r="R2312" t="s">
        <v>436</v>
      </c>
    </row>
    <row r="2313" spans="1:18" s="13" customFormat="1" hidden="1">
      <c r="A2313" s="23" t="s">
        <v>4618</v>
      </c>
      <c r="B2313" s="23" t="s">
        <v>4619</v>
      </c>
      <c r="C2313" s="23">
        <v>2228</v>
      </c>
      <c r="G2313"/>
      <c r="I2313" s="14" t="str">
        <f>+IFERROR(VLOOKUP(C2313,'Mov 2023 hasta ahora '!$C$2:$D$314,2,FALSE),"NO")</f>
        <v>NO</v>
      </c>
      <c r="K2313">
        <v>6</v>
      </c>
      <c r="L2313" t="s">
        <v>836</v>
      </c>
      <c r="M2313">
        <v>24</v>
      </c>
      <c r="O2313" s="29" t="s">
        <v>8847</v>
      </c>
      <c r="P2313" s="25" t="s">
        <v>8851</v>
      </c>
      <c r="Q2313" s="25">
        <v>852</v>
      </c>
      <c r="R2313" t="s">
        <v>436</v>
      </c>
    </row>
    <row r="2314" spans="1:18" hidden="1">
      <c r="A2314" t="s">
        <v>4620</v>
      </c>
      <c r="B2314" t="s">
        <v>4621</v>
      </c>
      <c r="I2314" s="3" t="str">
        <f>+IFERROR(VLOOKUP(C2314,'Mov 2023 hasta ahora '!$C$2:$D$314,2,FALSE),"NO")</f>
        <v>NO</v>
      </c>
      <c r="K2314">
        <v>5</v>
      </c>
      <c r="L2314" t="s">
        <v>836</v>
      </c>
      <c r="M2314">
        <v>18</v>
      </c>
    </row>
    <row r="2315" spans="1:18" s="13" customFormat="1" hidden="1">
      <c r="A2315" s="23" t="s">
        <v>4622</v>
      </c>
      <c r="B2315" s="23" t="s">
        <v>4623</v>
      </c>
      <c r="C2315" s="23">
        <v>2229</v>
      </c>
      <c r="G2315"/>
      <c r="I2315" s="14" t="str">
        <f>+IFERROR(VLOOKUP(C2315,'Mov 2023 hasta ahora '!$C$2:$D$314,2,FALSE),"NO")</f>
        <v>NO</v>
      </c>
      <c r="K2315">
        <v>6</v>
      </c>
      <c r="L2315" t="s">
        <v>836</v>
      </c>
      <c r="M2315">
        <v>24</v>
      </c>
      <c r="O2315" s="29" t="s">
        <v>8858</v>
      </c>
      <c r="P2315" s="25" t="s">
        <v>8862</v>
      </c>
      <c r="Q2315" s="25">
        <v>834</v>
      </c>
      <c r="R2315" t="s">
        <v>436</v>
      </c>
    </row>
    <row r="2316" spans="1:18" s="13" customFormat="1" hidden="1">
      <c r="A2316" s="23" t="s">
        <v>4624</v>
      </c>
      <c r="B2316" s="23" t="s">
        <v>4625</v>
      </c>
      <c r="C2316" s="23">
        <v>2230</v>
      </c>
      <c r="G2316"/>
      <c r="I2316" s="14" t="str">
        <f>+IFERROR(VLOOKUP(C2316,'Mov 2023 hasta ahora '!$C$2:$D$314,2,FALSE),"NO")</f>
        <v>NO</v>
      </c>
      <c r="K2316">
        <v>6</v>
      </c>
      <c r="L2316" t="s">
        <v>836</v>
      </c>
      <c r="M2316">
        <v>24</v>
      </c>
      <c r="O2316" s="29" t="s">
        <v>8847</v>
      </c>
      <c r="P2316" s="25" t="s">
        <v>8851</v>
      </c>
      <c r="Q2316" s="25">
        <v>852</v>
      </c>
      <c r="R2316" t="s">
        <v>436</v>
      </c>
    </row>
    <row r="2317" spans="1:18" hidden="1">
      <c r="A2317" t="s">
        <v>4626</v>
      </c>
      <c r="B2317" t="s">
        <v>4627</v>
      </c>
      <c r="I2317" s="3" t="str">
        <f>+IFERROR(VLOOKUP(C2317,'Mov 2023 hasta ahora '!$C$2:$D$314,2,FALSE),"NO")</f>
        <v>NO</v>
      </c>
      <c r="K2317">
        <v>5</v>
      </c>
      <c r="L2317" t="s">
        <v>836</v>
      </c>
      <c r="M2317">
        <v>18</v>
      </c>
    </row>
    <row r="2318" spans="1:18" s="13" customFormat="1" hidden="1">
      <c r="A2318" s="23" t="s">
        <v>4628</v>
      </c>
      <c r="B2318" s="23" t="s">
        <v>4629</v>
      </c>
      <c r="C2318" s="23">
        <v>2231</v>
      </c>
      <c r="G2318"/>
      <c r="I2318" s="14" t="str">
        <f>+IFERROR(VLOOKUP(C2318,'Mov 2023 hasta ahora '!$C$2:$D$314,2,FALSE),"NO")</f>
        <v>NO</v>
      </c>
      <c r="K2318">
        <v>6</v>
      </c>
      <c r="L2318" t="s">
        <v>836</v>
      </c>
      <c r="M2318">
        <v>24</v>
      </c>
      <c r="O2318" s="29" t="s">
        <v>8858</v>
      </c>
      <c r="P2318" s="25" t="s">
        <v>8862</v>
      </c>
      <c r="Q2318" s="25">
        <v>834</v>
      </c>
      <c r="R2318" t="s">
        <v>436</v>
      </c>
    </row>
    <row r="2319" spans="1:18" s="13" customFormat="1" hidden="1">
      <c r="A2319" s="23" t="s">
        <v>4630</v>
      </c>
      <c r="B2319" s="23" t="s">
        <v>4631</v>
      </c>
      <c r="C2319" s="23">
        <v>2232</v>
      </c>
      <c r="G2319"/>
      <c r="I2319" s="14" t="str">
        <f>+IFERROR(VLOOKUP(C2319,'Mov 2023 hasta ahora '!$C$2:$D$314,2,FALSE),"NO")</f>
        <v>NO</v>
      </c>
      <c r="K2319">
        <v>6</v>
      </c>
      <c r="L2319" t="s">
        <v>836</v>
      </c>
      <c r="M2319">
        <v>24</v>
      </c>
      <c r="O2319" s="29" t="s">
        <v>8847</v>
      </c>
      <c r="P2319" s="25" t="s">
        <v>8851</v>
      </c>
      <c r="Q2319" s="25">
        <v>852</v>
      </c>
      <c r="R2319" t="s">
        <v>436</v>
      </c>
    </row>
    <row r="2320" spans="1:18" hidden="1">
      <c r="A2320" t="s">
        <v>4632</v>
      </c>
      <c r="B2320" t="s">
        <v>4633</v>
      </c>
      <c r="I2320" s="3" t="str">
        <f>+IFERROR(VLOOKUP(C2320,'Mov 2023 hasta ahora '!$C$2:$D$314,2,FALSE),"NO")</f>
        <v>NO</v>
      </c>
      <c r="K2320">
        <v>5</v>
      </c>
      <c r="L2320" t="s">
        <v>836</v>
      </c>
      <c r="M2320">
        <v>18</v>
      </c>
    </row>
    <row r="2321" spans="1:18" s="13" customFormat="1" hidden="1">
      <c r="A2321" s="23" t="s">
        <v>4634</v>
      </c>
      <c r="B2321" s="23" t="s">
        <v>4635</v>
      </c>
      <c r="C2321" s="23">
        <v>2233</v>
      </c>
      <c r="G2321"/>
      <c r="I2321" s="14" t="str">
        <f>+IFERROR(VLOOKUP(C2321,'Mov 2023 hasta ahora '!$C$2:$D$314,2,FALSE),"NO")</f>
        <v>NO</v>
      </c>
      <c r="K2321">
        <v>6</v>
      </c>
      <c r="L2321" t="s">
        <v>836</v>
      </c>
      <c r="M2321">
        <v>24</v>
      </c>
      <c r="O2321" s="29" t="s">
        <v>8858</v>
      </c>
      <c r="P2321" s="25" t="s">
        <v>8862</v>
      </c>
      <c r="Q2321" s="25">
        <v>834</v>
      </c>
      <c r="R2321" t="s">
        <v>436</v>
      </c>
    </row>
    <row r="2322" spans="1:18" s="13" customFormat="1" hidden="1">
      <c r="A2322" s="23" t="s">
        <v>4636</v>
      </c>
      <c r="B2322" s="23" t="s">
        <v>4637</v>
      </c>
      <c r="C2322" s="23">
        <v>2234</v>
      </c>
      <c r="G2322"/>
      <c r="I2322" s="14" t="str">
        <f>+IFERROR(VLOOKUP(C2322,'Mov 2023 hasta ahora '!$C$2:$D$314,2,FALSE),"NO")</f>
        <v>NO</v>
      </c>
      <c r="K2322">
        <v>6</v>
      </c>
      <c r="L2322" t="s">
        <v>836</v>
      </c>
      <c r="M2322">
        <v>24</v>
      </c>
      <c r="O2322" s="29" t="s">
        <v>8847</v>
      </c>
      <c r="P2322" s="25" t="s">
        <v>8851</v>
      </c>
      <c r="Q2322" s="25">
        <v>852</v>
      </c>
      <c r="R2322" t="s">
        <v>436</v>
      </c>
    </row>
    <row r="2323" spans="1:18" hidden="1">
      <c r="A2323" t="s">
        <v>4638</v>
      </c>
      <c r="B2323" t="s">
        <v>4639</v>
      </c>
      <c r="I2323" s="3" t="str">
        <f>+IFERROR(VLOOKUP(C2323,'Mov 2023 hasta ahora '!$C$2:$D$314,2,FALSE),"NO")</f>
        <v>NO</v>
      </c>
      <c r="K2323">
        <v>5</v>
      </c>
      <c r="L2323" t="s">
        <v>836</v>
      </c>
      <c r="M2323">
        <v>18</v>
      </c>
    </row>
    <row r="2324" spans="1:18" s="13" customFormat="1" hidden="1">
      <c r="A2324" s="23" t="s">
        <v>4640</v>
      </c>
      <c r="B2324" s="23" t="s">
        <v>4641</v>
      </c>
      <c r="C2324" s="23">
        <v>2235</v>
      </c>
      <c r="G2324"/>
      <c r="I2324" s="14" t="str">
        <f>+IFERROR(VLOOKUP(C2324,'Mov 2023 hasta ahora '!$C$2:$D$314,2,FALSE),"NO")</f>
        <v>NO</v>
      </c>
      <c r="K2324">
        <v>6</v>
      </c>
      <c r="L2324" t="s">
        <v>836</v>
      </c>
      <c r="M2324">
        <v>24</v>
      </c>
      <c r="O2324" s="29" t="s">
        <v>8795</v>
      </c>
      <c r="P2324" s="25" t="s">
        <v>8798</v>
      </c>
      <c r="Q2324" s="25">
        <v>1489</v>
      </c>
      <c r="R2324" t="s">
        <v>436</v>
      </c>
    </row>
    <row r="2325" spans="1:18" s="13" customFormat="1" hidden="1">
      <c r="A2325" s="23" t="s">
        <v>4642</v>
      </c>
      <c r="B2325" s="23" t="s">
        <v>4643</v>
      </c>
      <c r="C2325" s="23">
        <v>2236</v>
      </c>
      <c r="G2325"/>
      <c r="I2325" s="14" t="str">
        <f>+IFERROR(VLOOKUP(C2325,'Mov 2023 hasta ahora '!$C$2:$D$314,2,FALSE),"NO")</f>
        <v>NO</v>
      </c>
      <c r="K2325">
        <v>6</v>
      </c>
      <c r="L2325" t="s">
        <v>836</v>
      </c>
      <c r="M2325">
        <v>24</v>
      </c>
      <c r="O2325" s="29" t="s">
        <v>8804</v>
      </c>
      <c r="P2325" s="25" t="s">
        <v>8808</v>
      </c>
      <c r="Q2325" s="25">
        <v>1497</v>
      </c>
      <c r="R2325" s="13" t="s">
        <v>436</v>
      </c>
    </row>
    <row r="2326" spans="1:18" hidden="1">
      <c r="A2326" t="s">
        <v>4644</v>
      </c>
      <c r="B2326" t="s">
        <v>4645</v>
      </c>
      <c r="I2326" s="3" t="str">
        <f>+IFERROR(VLOOKUP(C2326,'Mov 2023 hasta ahora '!$C$2:$D$314,2,FALSE),"NO")</f>
        <v>NO</v>
      </c>
      <c r="K2326">
        <v>4</v>
      </c>
      <c r="L2326" t="s">
        <v>836</v>
      </c>
      <c r="M2326">
        <v>14</v>
      </c>
    </row>
    <row r="2327" spans="1:18" hidden="1">
      <c r="A2327" t="s">
        <v>4646</v>
      </c>
      <c r="B2327" t="s">
        <v>4647</v>
      </c>
      <c r="I2327" s="3" t="str">
        <f>+IFERROR(VLOOKUP(C2327,'Mov 2023 hasta ahora '!$C$2:$D$314,2,FALSE),"NO")</f>
        <v>NO</v>
      </c>
      <c r="K2327">
        <v>5</v>
      </c>
      <c r="L2327" t="s">
        <v>836</v>
      </c>
      <c r="M2327">
        <v>18</v>
      </c>
    </row>
    <row r="2328" spans="1:18" s="13" customFormat="1" hidden="1">
      <c r="A2328" s="23" t="s">
        <v>4648</v>
      </c>
      <c r="B2328" s="23" t="s">
        <v>4649</v>
      </c>
      <c r="C2328" s="23">
        <v>2237</v>
      </c>
      <c r="G2328"/>
      <c r="I2328" s="14" t="str">
        <f>+IFERROR(VLOOKUP(C2328,'Mov 2023 hasta ahora '!$C$2:$D$314,2,FALSE),"NO")</f>
        <v>NO</v>
      </c>
      <c r="K2328">
        <v>6</v>
      </c>
      <c r="L2328" t="s">
        <v>836</v>
      </c>
      <c r="M2328">
        <v>24</v>
      </c>
      <c r="O2328" s="29" t="s">
        <v>9009</v>
      </c>
      <c r="P2328" s="25" t="s">
        <v>9005</v>
      </c>
      <c r="Q2328" s="25">
        <v>1024</v>
      </c>
      <c r="R2328" t="s">
        <v>436</v>
      </c>
    </row>
    <row r="2329" spans="1:18" s="13" customFormat="1" hidden="1">
      <c r="A2329" s="23" t="s">
        <v>4650</v>
      </c>
      <c r="B2329" s="23" t="s">
        <v>4651</v>
      </c>
      <c r="C2329" s="23">
        <v>2238</v>
      </c>
      <c r="G2329"/>
      <c r="I2329" s="14" t="str">
        <f>+IFERROR(VLOOKUP(C2329,'Mov 2023 hasta ahora '!$C$2:$D$314,2,FALSE),"NO")</f>
        <v>NO</v>
      </c>
      <c r="K2329">
        <v>6</v>
      </c>
      <c r="L2329" t="s">
        <v>836</v>
      </c>
      <c r="M2329">
        <v>24</v>
      </c>
      <c r="O2329" s="29" t="s">
        <v>9010</v>
      </c>
      <c r="P2329" s="25" t="s">
        <v>9006</v>
      </c>
      <c r="Q2329" s="25">
        <v>1042</v>
      </c>
      <c r="R2329" t="s">
        <v>436</v>
      </c>
    </row>
    <row r="2330" spans="1:18" hidden="1">
      <c r="A2330" t="s">
        <v>4652</v>
      </c>
      <c r="B2330" t="s">
        <v>4653</v>
      </c>
      <c r="I2330" s="3" t="str">
        <f>+IFERROR(VLOOKUP(C2330,'Mov 2023 hasta ahora '!$C$2:$D$314,2,FALSE),"NO")</f>
        <v>NO</v>
      </c>
      <c r="K2330">
        <v>5</v>
      </c>
      <c r="L2330" t="s">
        <v>836</v>
      </c>
      <c r="M2330">
        <v>18</v>
      </c>
    </row>
    <row r="2331" spans="1:18" s="13" customFormat="1" hidden="1">
      <c r="A2331" s="23" t="s">
        <v>4654</v>
      </c>
      <c r="B2331" s="23" t="s">
        <v>4655</v>
      </c>
      <c r="C2331" s="23">
        <v>2239</v>
      </c>
      <c r="G2331"/>
      <c r="I2331" s="14" t="str">
        <f>+IFERROR(VLOOKUP(C2331,'Mov 2023 hasta ahora '!$C$2:$D$314,2,FALSE),"NO")</f>
        <v>NO</v>
      </c>
      <c r="K2331">
        <v>6</v>
      </c>
      <c r="L2331" t="s">
        <v>836</v>
      </c>
      <c r="M2331">
        <v>24</v>
      </c>
      <c r="O2331" s="29" t="s">
        <v>9009</v>
      </c>
      <c r="P2331" s="25" t="s">
        <v>9005</v>
      </c>
      <c r="Q2331" s="25">
        <v>1024</v>
      </c>
      <c r="R2331" t="s">
        <v>436</v>
      </c>
    </row>
    <row r="2332" spans="1:18" s="13" customFormat="1" hidden="1">
      <c r="A2332" s="23" t="s">
        <v>4656</v>
      </c>
      <c r="B2332" s="23" t="s">
        <v>4657</v>
      </c>
      <c r="C2332" s="23">
        <v>2240</v>
      </c>
      <c r="G2332"/>
      <c r="I2332" s="14" t="str">
        <f>+IFERROR(VLOOKUP(C2332,'Mov 2023 hasta ahora '!$C$2:$D$314,2,FALSE),"NO")</f>
        <v>NO</v>
      </c>
      <c r="K2332">
        <v>6</v>
      </c>
      <c r="L2332" t="s">
        <v>836</v>
      </c>
      <c r="M2332">
        <v>24</v>
      </c>
      <c r="O2332" s="29" t="s">
        <v>9010</v>
      </c>
      <c r="P2332" s="25" t="s">
        <v>9006</v>
      </c>
      <c r="Q2332" s="25">
        <v>1042</v>
      </c>
      <c r="R2332" t="s">
        <v>436</v>
      </c>
    </row>
    <row r="2333" spans="1:18" hidden="1">
      <c r="A2333" t="s">
        <v>4658</v>
      </c>
      <c r="B2333" t="s">
        <v>4659</v>
      </c>
      <c r="I2333" s="3" t="str">
        <f>+IFERROR(VLOOKUP(C2333,'Mov 2023 hasta ahora '!$C$2:$D$314,2,FALSE),"NO")</f>
        <v>NO</v>
      </c>
      <c r="K2333">
        <v>5</v>
      </c>
      <c r="L2333" t="s">
        <v>836</v>
      </c>
      <c r="M2333">
        <v>18</v>
      </c>
    </row>
    <row r="2334" spans="1:18" s="13" customFormat="1" hidden="1">
      <c r="A2334" s="23" t="s">
        <v>4660</v>
      </c>
      <c r="B2334" s="23" t="s">
        <v>4661</v>
      </c>
      <c r="C2334" s="23">
        <v>2241</v>
      </c>
      <c r="G2334"/>
      <c r="I2334" s="14" t="str">
        <f>+IFERROR(VLOOKUP(C2334,'Mov 2023 hasta ahora '!$C$2:$D$314,2,FALSE),"NO")</f>
        <v>NO</v>
      </c>
      <c r="K2334">
        <v>6</v>
      </c>
      <c r="L2334" t="s">
        <v>836</v>
      </c>
      <c r="M2334">
        <v>24</v>
      </c>
      <c r="O2334" s="29" t="s">
        <v>9009</v>
      </c>
      <c r="P2334" s="25" t="s">
        <v>9005</v>
      </c>
      <c r="Q2334" s="25">
        <v>1024</v>
      </c>
      <c r="R2334" t="s">
        <v>436</v>
      </c>
    </row>
    <row r="2335" spans="1:18" s="13" customFormat="1" hidden="1">
      <c r="A2335" s="23" t="s">
        <v>4662</v>
      </c>
      <c r="B2335" s="23" t="s">
        <v>4663</v>
      </c>
      <c r="C2335" s="23">
        <v>2242</v>
      </c>
      <c r="G2335"/>
      <c r="I2335" s="14" t="str">
        <f>+IFERROR(VLOOKUP(C2335,'Mov 2023 hasta ahora '!$C$2:$D$314,2,FALSE),"NO")</f>
        <v>NO</v>
      </c>
      <c r="K2335">
        <v>6</v>
      </c>
      <c r="L2335" t="s">
        <v>836</v>
      </c>
      <c r="M2335">
        <v>24</v>
      </c>
      <c r="O2335" s="29" t="s">
        <v>9010</v>
      </c>
      <c r="P2335" s="25" t="s">
        <v>9006</v>
      </c>
      <c r="Q2335" s="25">
        <v>1042</v>
      </c>
      <c r="R2335" t="s">
        <v>436</v>
      </c>
    </row>
    <row r="2336" spans="1:18" hidden="1">
      <c r="A2336" t="s">
        <v>4664</v>
      </c>
      <c r="B2336" t="s">
        <v>4665</v>
      </c>
      <c r="I2336" s="3" t="str">
        <f>+IFERROR(VLOOKUP(C2336,'Mov 2023 hasta ahora '!$C$2:$D$314,2,FALSE),"NO")</f>
        <v>NO</v>
      </c>
      <c r="K2336">
        <v>5</v>
      </c>
      <c r="L2336" t="s">
        <v>836</v>
      </c>
      <c r="M2336">
        <v>18</v>
      </c>
    </row>
    <row r="2337" spans="1:18" s="13" customFormat="1" hidden="1">
      <c r="A2337" s="23" t="s">
        <v>4666</v>
      </c>
      <c r="B2337" s="23" t="s">
        <v>4667</v>
      </c>
      <c r="C2337" s="23">
        <v>2243</v>
      </c>
      <c r="G2337"/>
      <c r="I2337" s="14" t="str">
        <f>+IFERROR(VLOOKUP(C2337,'Mov 2023 hasta ahora '!$C$2:$D$314,2,FALSE),"NO")</f>
        <v>NO</v>
      </c>
      <c r="K2337">
        <v>6</v>
      </c>
      <c r="L2337" t="s">
        <v>836</v>
      </c>
      <c r="M2337">
        <v>24</v>
      </c>
      <c r="O2337" s="29" t="s">
        <v>9011</v>
      </c>
      <c r="P2337" s="25" t="s">
        <v>9007</v>
      </c>
      <c r="Q2337" s="25">
        <v>2243</v>
      </c>
      <c r="R2337" t="s">
        <v>436</v>
      </c>
    </row>
    <row r="2338" spans="1:18" s="13" customFormat="1" hidden="1">
      <c r="A2338" s="23" t="s">
        <v>4668</v>
      </c>
      <c r="B2338" s="23" t="s">
        <v>4669</v>
      </c>
      <c r="C2338" s="23">
        <v>2244</v>
      </c>
      <c r="G2338"/>
      <c r="I2338" s="14" t="str">
        <f>+IFERROR(VLOOKUP(C2338,'Mov 2023 hasta ahora '!$C$2:$D$314,2,FALSE),"NO")</f>
        <v>NO</v>
      </c>
      <c r="K2338">
        <v>6</v>
      </c>
      <c r="L2338" t="s">
        <v>836</v>
      </c>
      <c r="M2338">
        <v>24</v>
      </c>
      <c r="O2338" s="29" t="s">
        <v>9012</v>
      </c>
      <c r="P2338" s="25" t="s">
        <v>9008</v>
      </c>
      <c r="Q2338" s="25">
        <v>2244</v>
      </c>
      <c r="R2338" t="s">
        <v>436</v>
      </c>
    </row>
    <row r="2339" spans="1:18" hidden="1">
      <c r="A2339" t="s">
        <v>4670</v>
      </c>
      <c r="B2339" t="s">
        <v>4671</v>
      </c>
      <c r="I2339" s="3" t="str">
        <f>+IFERROR(VLOOKUP(C2339,'Mov 2023 hasta ahora '!$C$2:$D$314,2,FALSE),"NO")</f>
        <v>NO</v>
      </c>
      <c r="K2339">
        <v>4</v>
      </c>
      <c r="L2339" t="s">
        <v>836</v>
      </c>
      <c r="M2339">
        <v>14</v>
      </c>
    </row>
    <row r="2340" spans="1:18" hidden="1">
      <c r="A2340" t="s">
        <v>4672</v>
      </c>
      <c r="B2340" t="s">
        <v>4673</v>
      </c>
      <c r="I2340" s="3" t="str">
        <f>+IFERROR(VLOOKUP(C2340,'Mov 2023 hasta ahora '!$C$2:$D$314,2,FALSE),"NO")</f>
        <v>NO</v>
      </c>
      <c r="K2340">
        <v>5</v>
      </c>
      <c r="L2340" t="s">
        <v>836</v>
      </c>
      <c r="M2340">
        <v>18</v>
      </c>
    </row>
    <row r="2341" spans="1:18" s="13" customFormat="1" hidden="1">
      <c r="A2341" s="23" t="s">
        <v>4674</v>
      </c>
      <c r="B2341" s="23" t="s">
        <v>4675</v>
      </c>
      <c r="C2341" s="23">
        <v>2245</v>
      </c>
      <c r="G2341"/>
      <c r="I2341" s="14" t="str">
        <f>+IFERROR(VLOOKUP(C2341,'Mov 2023 hasta ahora '!$C$2:$D$314,2,FALSE),"NO")</f>
        <v>NO</v>
      </c>
      <c r="K2341">
        <v>6</v>
      </c>
      <c r="L2341" t="s">
        <v>836</v>
      </c>
      <c r="M2341">
        <v>24</v>
      </c>
      <c r="O2341" s="29" t="s">
        <v>8861</v>
      </c>
      <c r="P2341" s="25" t="s">
        <v>8868</v>
      </c>
      <c r="Q2341" s="25">
        <v>1419</v>
      </c>
      <c r="R2341" t="s">
        <v>436</v>
      </c>
    </row>
    <row r="2342" spans="1:18" s="13" customFormat="1" hidden="1">
      <c r="A2342" s="23" t="s">
        <v>4676</v>
      </c>
      <c r="B2342" s="23" t="s">
        <v>4677</v>
      </c>
      <c r="C2342" s="23">
        <v>2246</v>
      </c>
      <c r="G2342"/>
      <c r="I2342" s="14" t="str">
        <f>+IFERROR(VLOOKUP(C2342,'Mov 2023 hasta ahora '!$C$2:$D$314,2,FALSE),"NO")</f>
        <v>NO</v>
      </c>
      <c r="K2342">
        <v>6</v>
      </c>
      <c r="L2342" t="s">
        <v>836</v>
      </c>
      <c r="M2342">
        <v>24</v>
      </c>
      <c r="O2342" s="29" t="s">
        <v>8850</v>
      </c>
      <c r="P2342" s="25" t="s">
        <v>8854</v>
      </c>
      <c r="Q2342" s="25">
        <v>1420</v>
      </c>
      <c r="R2342" t="s">
        <v>436</v>
      </c>
    </row>
    <row r="2343" spans="1:18" hidden="1">
      <c r="A2343" t="s">
        <v>4678</v>
      </c>
      <c r="B2343" t="s">
        <v>4679</v>
      </c>
      <c r="I2343" s="3" t="str">
        <f>+IFERROR(VLOOKUP(C2343,'Mov 2023 hasta ahora '!$C$2:$D$314,2,FALSE),"NO")</f>
        <v>NO</v>
      </c>
      <c r="K2343">
        <v>4</v>
      </c>
      <c r="L2343" t="s">
        <v>836</v>
      </c>
      <c r="M2343">
        <v>14</v>
      </c>
    </row>
    <row r="2344" spans="1:18" hidden="1">
      <c r="A2344" t="s">
        <v>4680</v>
      </c>
      <c r="B2344" t="s">
        <v>4681</v>
      </c>
      <c r="I2344" s="3" t="str">
        <f>+IFERROR(VLOOKUP(C2344,'Mov 2023 hasta ahora '!$C$2:$D$314,2,FALSE),"NO")</f>
        <v>NO</v>
      </c>
      <c r="K2344">
        <v>5</v>
      </c>
      <c r="L2344" t="s">
        <v>836</v>
      </c>
      <c r="M2344">
        <v>18</v>
      </c>
    </row>
    <row r="2345" spans="1:18" s="13" customFormat="1" hidden="1">
      <c r="A2345" s="23" t="s">
        <v>4682</v>
      </c>
      <c r="B2345" s="23" t="s">
        <v>4683</v>
      </c>
      <c r="C2345" s="23">
        <v>2247</v>
      </c>
      <c r="G2345"/>
      <c r="I2345" s="14" t="str">
        <f>+IFERROR(VLOOKUP(C2345,'Mov 2023 hasta ahora '!$C$2:$D$314,2,FALSE),"NO")</f>
        <v>NO</v>
      </c>
      <c r="K2345">
        <v>6</v>
      </c>
      <c r="L2345" t="s">
        <v>836</v>
      </c>
      <c r="M2345">
        <v>24</v>
      </c>
      <c r="O2345" s="29" t="s">
        <v>9000</v>
      </c>
      <c r="P2345" s="25" t="s">
        <v>8863</v>
      </c>
      <c r="Q2345" s="25">
        <v>1132</v>
      </c>
      <c r="R2345" t="s">
        <v>436</v>
      </c>
    </row>
    <row r="2346" spans="1:18" s="13" customFormat="1" hidden="1">
      <c r="A2346" s="23" t="s">
        <v>4684</v>
      </c>
      <c r="B2346" s="23" t="s">
        <v>4685</v>
      </c>
      <c r="C2346" s="23">
        <v>2248</v>
      </c>
      <c r="G2346"/>
      <c r="I2346" s="14" t="str">
        <f>+IFERROR(VLOOKUP(C2346,'Mov 2023 hasta ahora '!$C$2:$D$314,2,FALSE),"NO")</f>
        <v>NO</v>
      </c>
      <c r="K2346">
        <v>6</v>
      </c>
      <c r="L2346" t="s">
        <v>836</v>
      </c>
      <c r="M2346">
        <v>24</v>
      </c>
      <c r="O2346" s="29" t="s">
        <v>9001</v>
      </c>
      <c r="P2346" s="25" t="s">
        <v>8852</v>
      </c>
      <c r="Q2346" s="25">
        <v>1150</v>
      </c>
      <c r="R2346" t="s">
        <v>436</v>
      </c>
    </row>
    <row r="2347" spans="1:18" hidden="1">
      <c r="A2347" t="s">
        <v>4686</v>
      </c>
      <c r="B2347" t="s">
        <v>4687</v>
      </c>
      <c r="I2347" s="3" t="str">
        <f>+IFERROR(VLOOKUP(C2347,'Mov 2023 hasta ahora '!$C$2:$D$314,2,FALSE),"NO")</f>
        <v>NO</v>
      </c>
      <c r="K2347">
        <v>5</v>
      </c>
      <c r="L2347" t="s">
        <v>836</v>
      </c>
      <c r="M2347">
        <v>18</v>
      </c>
    </row>
    <row r="2348" spans="1:18" s="13" customFormat="1" hidden="1">
      <c r="A2348" s="23" t="s">
        <v>4688</v>
      </c>
      <c r="B2348" s="23" t="s">
        <v>4689</v>
      </c>
      <c r="C2348" s="23">
        <v>2249</v>
      </c>
      <c r="G2348"/>
      <c r="I2348" s="14" t="str">
        <f>+IFERROR(VLOOKUP(C2348,'Mov 2023 hasta ahora '!$C$2:$D$314,2,FALSE),"NO")</f>
        <v>NO</v>
      </c>
      <c r="K2348">
        <v>6</v>
      </c>
      <c r="L2348" t="s">
        <v>836</v>
      </c>
      <c r="M2348">
        <v>24</v>
      </c>
      <c r="O2348" s="29" t="s">
        <v>9002</v>
      </c>
      <c r="P2348" s="25" t="s">
        <v>8799</v>
      </c>
      <c r="Q2348" s="25">
        <v>1513</v>
      </c>
      <c r="R2348" t="s">
        <v>436</v>
      </c>
    </row>
    <row r="2349" spans="1:18" s="13" customFormat="1" hidden="1">
      <c r="A2349" s="23" t="s">
        <v>4690</v>
      </c>
      <c r="B2349" s="23" t="s">
        <v>4691</v>
      </c>
      <c r="C2349" s="23">
        <v>2250</v>
      </c>
      <c r="G2349"/>
      <c r="I2349" s="14" t="str">
        <f>+IFERROR(VLOOKUP(C2349,'Mov 2023 hasta ahora '!$C$2:$D$314,2,FALSE),"NO")</f>
        <v>NO</v>
      </c>
      <c r="K2349">
        <v>6</v>
      </c>
      <c r="L2349" t="s">
        <v>836</v>
      </c>
      <c r="M2349">
        <v>24</v>
      </c>
      <c r="O2349" s="29" t="s">
        <v>9003</v>
      </c>
      <c r="P2349" s="25" t="s">
        <v>8803</v>
      </c>
      <c r="Q2349" s="25">
        <v>1505</v>
      </c>
      <c r="R2349" t="s">
        <v>436</v>
      </c>
    </row>
    <row r="2350" spans="1:18" hidden="1">
      <c r="A2350" t="s">
        <v>4692</v>
      </c>
      <c r="B2350" t="s">
        <v>4693</v>
      </c>
      <c r="I2350" s="3" t="str">
        <f>+IFERROR(VLOOKUP(C2350,'Mov 2023 hasta ahora '!$C$2:$D$314,2,FALSE),"NO")</f>
        <v>NO</v>
      </c>
      <c r="K2350">
        <v>4</v>
      </c>
      <c r="L2350" t="s">
        <v>836</v>
      </c>
      <c r="M2350">
        <v>14</v>
      </c>
    </row>
    <row r="2351" spans="1:18" hidden="1">
      <c r="A2351" t="s">
        <v>4694</v>
      </c>
      <c r="B2351" t="s">
        <v>4695</v>
      </c>
      <c r="I2351" s="3" t="str">
        <f>+IFERROR(VLOOKUP(C2351,'Mov 2023 hasta ahora '!$C$2:$D$314,2,FALSE),"NO")</f>
        <v>NO</v>
      </c>
      <c r="K2351">
        <v>5</v>
      </c>
      <c r="L2351" t="s">
        <v>836</v>
      </c>
      <c r="M2351">
        <v>18</v>
      </c>
    </row>
    <row r="2352" spans="1:18" s="13" customFormat="1" hidden="1">
      <c r="A2352" s="23" t="s">
        <v>4696</v>
      </c>
      <c r="B2352" s="23" t="s">
        <v>4697</v>
      </c>
      <c r="C2352" s="23">
        <v>2251</v>
      </c>
      <c r="G2352"/>
      <c r="I2352" s="14" t="str">
        <f>+IFERROR(VLOOKUP(C2352,'Mov 2023 hasta ahora '!$C$2:$D$314,2,FALSE),"NO")</f>
        <v>NO</v>
      </c>
      <c r="K2352">
        <v>6</v>
      </c>
      <c r="L2352" t="s">
        <v>836</v>
      </c>
      <c r="M2352">
        <v>24</v>
      </c>
      <c r="O2352" s="29" t="s">
        <v>8861</v>
      </c>
      <c r="P2352" s="25" t="s">
        <v>8868</v>
      </c>
      <c r="Q2352" s="25">
        <v>1419</v>
      </c>
      <c r="R2352" t="s">
        <v>436</v>
      </c>
    </row>
    <row r="2353" spans="1:18" s="13" customFormat="1" hidden="1">
      <c r="A2353" s="23" t="s">
        <v>4698</v>
      </c>
      <c r="B2353" s="23" t="s">
        <v>4699</v>
      </c>
      <c r="C2353" s="23">
        <v>2252</v>
      </c>
      <c r="G2353"/>
      <c r="I2353" s="14" t="str">
        <f>+IFERROR(VLOOKUP(C2353,'Mov 2023 hasta ahora '!$C$2:$D$314,2,FALSE),"NO")</f>
        <v>NO</v>
      </c>
      <c r="K2353">
        <v>6</v>
      </c>
      <c r="L2353" t="s">
        <v>836</v>
      </c>
      <c r="M2353">
        <v>24</v>
      </c>
      <c r="O2353" s="29" t="s">
        <v>8850</v>
      </c>
      <c r="P2353" s="25" t="s">
        <v>8854</v>
      </c>
      <c r="Q2353" s="25">
        <v>1420</v>
      </c>
      <c r="R2353" t="s">
        <v>436</v>
      </c>
    </row>
    <row r="2354" spans="1:18" hidden="1">
      <c r="A2354" t="s">
        <v>4700</v>
      </c>
      <c r="B2354" t="s">
        <v>4701</v>
      </c>
      <c r="I2354" s="3" t="str">
        <f>+IFERROR(VLOOKUP(C2354,'Mov 2023 hasta ahora '!$C$2:$D$314,2,FALSE),"NO")</f>
        <v>NO</v>
      </c>
      <c r="K2354">
        <v>5</v>
      </c>
      <c r="L2354" t="s">
        <v>836</v>
      </c>
      <c r="M2354">
        <v>18</v>
      </c>
    </row>
    <row r="2355" spans="1:18" s="13" customFormat="1" hidden="1">
      <c r="A2355" s="23" t="s">
        <v>4702</v>
      </c>
      <c r="B2355" s="23" t="s">
        <v>4703</v>
      </c>
      <c r="C2355" s="23">
        <v>2253</v>
      </c>
      <c r="G2355"/>
      <c r="I2355" s="14" t="str">
        <f>+IFERROR(VLOOKUP(C2355,'Mov 2023 hasta ahora '!$C$2:$D$314,2,FALSE),"NO")</f>
        <v>NO</v>
      </c>
      <c r="K2355">
        <v>6</v>
      </c>
      <c r="L2355" t="s">
        <v>836</v>
      </c>
      <c r="M2355">
        <v>24</v>
      </c>
      <c r="O2355" s="29" t="s">
        <v>8861</v>
      </c>
      <c r="P2355" s="25" t="s">
        <v>8868</v>
      </c>
      <c r="Q2355" s="25">
        <v>1419</v>
      </c>
      <c r="R2355" t="s">
        <v>436</v>
      </c>
    </row>
    <row r="2356" spans="1:18" s="13" customFormat="1" hidden="1">
      <c r="A2356" s="23" t="s">
        <v>4704</v>
      </c>
      <c r="B2356" s="23" t="s">
        <v>4705</v>
      </c>
      <c r="C2356" s="23">
        <v>2254</v>
      </c>
      <c r="G2356"/>
      <c r="I2356" s="14" t="str">
        <f>+IFERROR(VLOOKUP(C2356,'Mov 2023 hasta ahora '!$C$2:$D$314,2,FALSE),"NO")</f>
        <v>NO</v>
      </c>
      <c r="K2356">
        <v>6</v>
      </c>
      <c r="L2356" t="s">
        <v>836</v>
      </c>
      <c r="M2356">
        <v>24</v>
      </c>
      <c r="O2356" s="29" t="s">
        <v>8850</v>
      </c>
      <c r="P2356" s="25" t="s">
        <v>8854</v>
      </c>
      <c r="Q2356" s="25">
        <v>1420</v>
      </c>
      <c r="R2356" t="s">
        <v>436</v>
      </c>
    </row>
    <row r="2357" spans="1:18" hidden="1">
      <c r="A2357" t="s">
        <v>4706</v>
      </c>
      <c r="B2357" t="s">
        <v>4707</v>
      </c>
      <c r="I2357" s="3" t="str">
        <f>+IFERROR(VLOOKUP(C2357,'Mov 2023 hasta ahora '!$C$2:$D$314,2,FALSE),"NO")</f>
        <v>NO</v>
      </c>
      <c r="K2357">
        <v>4</v>
      </c>
      <c r="L2357" t="s">
        <v>836</v>
      </c>
      <c r="M2357">
        <v>14</v>
      </c>
    </row>
    <row r="2358" spans="1:18" hidden="1">
      <c r="A2358" t="s">
        <v>4708</v>
      </c>
      <c r="B2358" t="s">
        <v>4709</v>
      </c>
      <c r="I2358" s="3" t="str">
        <f>+IFERROR(VLOOKUP(C2358,'Mov 2023 hasta ahora '!$C$2:$D$314,2,FALSE),"NO")</f>
        <v>NO</v>
      </c>
      <c r="K2358">
        <v>5</v>
      </c>
      <c r="L2358" t="s">
        <v>836</v>
      </c>
      <c r="M2358">
        <v>18</v>
      </c>
    </row>
    <row r="2359" spans="1:18" hidden="1">
      <c r="A2359" s="23" t="s">
        <v>4710</v>
      </c>
      <c r="B2359" s="23" t="s">
        <v>4711</v>
      </c>
      <c r="C2359" s="23">
        <v>2255</v>
      </c>
      <c r="I2359" s="3" t="str">
        <f>+IFERROR(VLOOKUP(C2359,'Mov 2023 hasta ahora '!$C$2:$D$314,2,FALSE),"NO")</f>
        <v>NO</v>
      </c>
      <c r="K2359">
        <v>6</v>
      </c>
      <c r="L2359" t="s">
        <v>836</v>
      </c>
      <c r="M2359">
        <v>24</v>
      </c>
      <c r="O2359" s="29" t="s">
        <v>9049</v>
      </c>
      <c r="P2359" s="25" t="s">
        <v>9050</v>
      </c>
      <c r="Q2359" s="25">
        <v>1363</v>
      </c>
      <c r="R2359" t="s">
        <v>436</v>
      </c>
    </row>
    <row r="2360" spans="1:18" hidden="1">
      <c r="A2360" s="23" t="s">
        <v>4712</v>
      </c>
      <c r="B2360" s="23" t="s">
        <v>4713</v>
      </c>
      <c r="C2360" s="23">
        <v>2256</v>
      </c>
      <c r="I2360" s="3" t="str">
        <f>+IFERROR(VLOOKUP(C2360,'Mov 2023 hasta ahora '!$C$2:$D$314,2,FALSE),"NO")</f>
        <v>NO</v>
      </c>
      <c r="K2360">
        <v>6</v>
      </c>
      <c r="L2360" t="s">
        <v>836</v>
      </c>
      <c r="M2360">
        <v>24</v>
      </c>
      <c r="O2360" s="29" t="s">
        <v>9014</v>
      </c>
      <c r="P2360" s="25" t="s">
        <v>8890</v>
      </c>
      <c r="Q2360" s="25">
        <v>1244</v>
      </c>
      <c r="R2360" t="s">
        <v>436</v>
      </c>
    </row>
    <row r="2361" spans="1:18" hidden="1">
      <c r="A2361" s="23" t="s">
        <v>4714</v>
      </c>
      <c r="B2361" s="23" t="s">
        <v>4715</v>
      </c>
      <c r="C2361" s="23">
        <v>2257</v>
      </c>
      <c r="I2361" s="3" t="str">
        <f>+IFERROR(VLOOKUP(C2361,'Mov 2023 hasta ahora '!$C$2:$D$314,2,FALSE),"NO")</f>
        <v>NO</v>
      </c>
      <c r="K2361">
        <v>6</v>
      </c>
      <c r="L2361" t="s">
        <v>836</v>
      </c>
      <c r="M2361">
        <v>24</v>
      </c>
      <c r="O2361" s="29" t="s">
        <v>9059</v>
      </c>
      <c r="P2361" s="25" t="s">
        <v>9060</v>
      </c>
      <c r="Q2361" s="25">
        <v>1534</v>
      </c>
      <c r="R2361" t="s">
        <v>436</v>
      </c>
    </row>
    <row r="2362" spans="1:18" hidden="1">
      <c r="A2362" s="23" t="s">
        <v>4716</v>
      </c>
      <c r="B2362" s="23" t="s">
        <v>4717</v>
      </c>
      <c r="C2362" s="23">
        <v>2258</v>
      </c>
      <c r="I2362" s="3" t="str">
        <f>+IFERROR(VLOOKUP(C2362,'Mov 2023 hasta ahora '!$C$2:$D$314,2,FALSE),"NO")</f>
        <v>NO</v>
      </c>
      <c r="K2362">
        <v>6</v>
      </c>
      <c r="L2362" t="s">
        <v>836</v>
      </c>
      <c r="M2362">
        <v>24</v>
      </c>
      <c r="O2362" s="29" t="s">
        <v>9030</v>
      </c>
      <c r="P2362" s="25" t="s">
        <v>9029</v>
      </c>
      <c r="Q2362" s="25">
        <v>3817</v>
      </c>
      <c r="R2362" t="s">
        <v>436</v>
      </c>
    </row>
    <row r="2363" spans="1:18" hidden="1">
      <c r="A2363" s="23" t="s">
        <v>4718</v>
      </c>
      <c r="B2363" s="23" t="s">
        <v>4719</v>
      </c>
      <c r="C2363" s="23">
        <v>2259</v>
      </c>
      <c r="I2363" s="3" t="str">
        <f>+IFERROR(VLOOKUP(C2363,'Mov 2023 hasta ahora '!$C$2:$D$314,2,FALSE),"NO")</f>
        <v>NO</v>
      </c>
      <c r="K2363">
        <v>6</v>
      </c>
      <c r="L2363" t="s">
        <v>836</v>
      </c>
      <c r="M2363">
        <v>24</v>
      </c>
      <c r="O2363" s="29" t="s">
        <v>9019</v>
      </c>
      <c r="P2363" s="25" t="s">
        <v>8762</v>
      </c>
      <c r="Q2363" s="25">
        <v>1758</v>
      </c>
      <c r="R2363" t="s">
        <v>436</v>
      </c>
    </row>
    <row r="2364" spans="1:18" hidden="1">
      <c r="A2364" s="23" t="s">
        <v>4720</v>
      </c>
      <c r="B2364" s="23" t="s">
        <v>4721</v>
      </c>
      <c r="C2364" s="23">
        <v>2260</v>
      </c>
      <c r="I2364" s="3" t="str">
        <f>+IFERROR(VLOOKUP(C2364,'Mov 2023 hasta ahora '!$C$2:$D$314,2,FALSE),"NO")</f>
        <v>NO</v>
      </c>
      <c r="K2364">
        <v>6</v>
      </c>
      <c r="L2364" t="s">
        <v>836</v>
      </c>
      <c r="M2364">
        <v>24</v>
      </c>
      <c r="O2364" s="29" t="s">
        <v>8861</v>
      </c>
      <c r="P2364" s="25" t="s">
        <v>8868</v>
      </c>
      <c r="Q2364" s="25">
        <v>1419</v>
      </c>
      <c r="R2364" t="s">
        <v>436</v>
      </c>
    </row>
    <row r="2365" spans="1:18" hidden="1">
      <c r="A2365" t="s">
        <v>4722</v>
      </c>
      <c r="B2365" t="s">
        <v>4723</v>
      </c>
      <c r="I2365" s="3" t="str">
        <f>+IFERROR(VLOOKUP(C2365,'Mov 2023 hasta ahora '!$C$2:$D$314,2,FALSE),"NO")</f>
        <v>NO</v>
      </c>
      <c r="K2365">
        <v>5</v>
      </c>
      <c r="L2365" t="s">
        <v>836</v>
      </c>
      <c r="M2365">
        <v>18</v>
      </c>
    </row>
    <row r="2366" spans="1:18" s="13" customFormat="1" hidden="1">
      <c r="A2366" s="23" t="s">
        <v>4724</v>
      </c>
      <c r="B2366" s="23" t="s">
        <v>4725</v>
      </c>
      <c r="C2366" s="23">
        <v>2261</v>
      </c>
      <c r="G2366"/>
      <c r="I2366" s="14" t="str">
        <f>+IFERROR(VLOOKUP(C2366,'Mov 2023 hasta ahora '!$C$2:$D$314,2,FALSE),"NO")</f>
        <v>NO</v>
      </c>
      <c r="K2366">
        <v>6</v>
      </c>
      <c r="L2366" t="s">
        <v>836</v>
      </c>
      <c r="M2366">
        <v>24</v>
      </c>
      <c r="O2366" s="29" t="s">
        <v>8825</v>
      </c>
      <c r="P2366" s="25" t="s">
        <v>8832</v>
      </c>
      <c r="Q2366" s="25">
        <v>3601</v>
      </c>
      <c r="R2366" t="s">
        <v>436</v>
      </c>
    </row>
    <row r="2367" spans="1:18" s="13" customFormat="1" hidden="1">
      <c r="A2367" s="23" t="s">
        <v>4726</v>
      </c>
      <c r="B2367" s="23" t="s">
        <v>4727</v>
      </c>
      <c r="C2367" s="23">
        <v>2262</v>
      </c>
      <c r="G2367"/>
      <c r="I2367" s="14" t="str">
        <f>+IFERROR(VLOOKUP(C2367,'Mov 2023 hasta ahora '!$C$2:$D$314,2,FALSE),"NO")</f>
        <v>NO</v>
      </c>
      <c r="K2367">
        <v>6</v>
      </c>
      <c r="L2367" t="s">
        <v>836</v>
      </c>
      <c r="M2367">
        <v>24</v>
      </c>
      <c r="O2367" s="29" t="s">
        <v>8992</v>
      </c>
      <c r="P2367" s="25" t="s">
        <v>8836</v>
      </c>
      <c r="Q2367" s="25">
        <v>3603</v>
      </c>
      <c r="R2367" t="s">
        <v>436</v>
      </c>
    </row>
    <row r="2368" spans="1:18" hidden="1">
      <c r="A2368" t="s">
        <v>4728</v>
      </c>
      <c r="B2368" t="s">
        <v>1401</v>
      </c>
      <c r="I2368" s="3" t="str">
        <f>+IFERROR(VLOOKUP(C2368,'Mov 2023 hasta ahora '!$C$2:$D$314,2,FALSE),"NO")</f>
        <v>NO</v>
      </c>
      <c r="K2368">
        <v>3</v>
      </c>
      <c r="L2368" t="s">
        <v>836</v>
      </c>
      <c r="M2368">
        <v>10</v>
      </c>
    </row>
    <row r="2369" spans="1:18" hidden="1">
      <c r="A2369" t="s">
        <v>4729</v>
      </c>
      <c r="B2369" t="s">
        <v>4730</v>
      </c>
      <c r="I2369" s="3" t="str">
        <f>+IFERROR(VLOOKUP(C2369,'Mov 2023 hasta ahora '!$C$2:$D$314,2,FALSE),"NO")</f>
        <v>NO</v>
      </c>
      <c r="K2369">
        <v>4</v>
      </c>
      <c r="L2369" t="s">
        <v>836</v>
      </c>
      <c r="M2369">
        <v>14</v>
      </c>
    </row>
    <row r="2370" spans="1:18" hidden="1">
      <c r="A2370" t="s">
        <v>4731</v>
      </c>
      <c r="B2370" t="s">
        <v>4732</v>
      </c>
      <c r="I2370" s="3" t="str">
        <f>+IFERROR(VLOOKUP(C2370,'Mov 2023 hasta ahora '!$C$2:$D$314,2,FALSE),"NO")</f>
        <v>NO</v>
      </c>
      <c r="K2370">
        <v>5</v>
      </c>
      <c r="L2370" t="s">
        <v>836</v>
      </c>
      <c r="M2370">
        <v>18</v>
      </c>
    </row>
    <row r="2371" spans="1:18" hidden="1">
      <c r="A2371" s="23" t="s">
        <v>4733</v>
      </c>
      <c r="B2371" s="23" t="s">
        <v>4734</v>
      </c>
      <c r="C2371" s="23">
        <v>2478</v>
      </c>
      <c r="I2371" s="3" t="str">
        <f>+IFERROR(VLOOKUP(C2371,'Mov 2023 hasta ahora '!$C$2:$D$314,2,FALSE),"NO")</f>
        <v>NO</v>
      </c>
      <c r="K2371">
        <v>6</v>
      </c>
      <c r="L2371" t="s">
        <v>836</v>
      </c>
      <c r="M2371">
        <v>24</v>
      </c>
      <c r="O2371" s="29" t="s">
        <v>8794</v>
      </c>
      <c r="P2371" s="25" t="s">
        <v>8982</v>
      </c>
      <c r="Q2371" s="25">
        <v>1441</v>
      </c>
      <c r="R2371" t="s">
        <v>436</v>
      </c>
    </row>
    <row r="2372" spans="1:18" hidden="1">
      <c r="A2372" s="23" t="s">
        <v>4735</v>
      </c>
      <c r="B2372" s="23" t="s">
        <v>4736</v>
      </c>
      <c r="C2372" s="23">
        <v>2479</v>
      </c>
      <c r="I2372" s="3" t="str">
        <f>+IFERROR(VLOOKUP(C2372,'Mov 2023 hasta ahora '!$C$2:$D$314,2,FALSE),"NO")</f>
        <v>NO</v>
      </c>
      <c r="K2372">
        <v>6</v>
      </c>
      <c r="L2372" t="s">
        <v>836</v>
      </c>
      <c r="M2372">
        <v>24</v>
      </c>
      <c r="O2372" s="29" t="s">
        <v>8809</v>
      </c>
      <c r="P2372" s="25" t="s">
        <v>8983</v>
      </c>
      <c r="Q2372" s="25">
        <v>1448</v>
      </c>
      <c r="R2372" t="s">
        <v>436</v>
      </c>
    </row>
    <row r="2373" spans="1:18" hidden="1">
      <c r="A2373" t="s">
        <v>4737</v>
      </c>
      <c r="B2373" t="s">
        <v>4738</v>
      </c>
      <c r="I2373" s="3" t="str">
        <f>+IFERROR(VLOOKUP(C2373,'Mov 2023 hasta ahora '!$C$2:$D$314,2,FALSE),"NO")</f>
        <v>NO</v>
      </c>
      <c r="K2373">
        <v>5</v>
      </c>
      <c r="L2373" t="s">
        <v>836</v>
      </c>
      <c r="M2373">
        <v>18</v>
      </c>
    </row>
    <row r="2374" spans="1:18" hidden="1">
      <c r="A2374" s="23" t="s">
        <v>4739</v>
      </c>
      <c r="B2374" s="23" t="s">
        <v>4740</v>
      </c>
      <c r="C2374" s="23">
        <v>2480</v>
      </c>
      <c r="I2374" s="3" t="str">
        <f>+IFERROR(VLOOKUP(C2374,'Mov 2023 hasta ahora '!$C$2:$D$314,2,FALSE),"NO")</f>
        <v>NO</v>
      </c>
      <c r="K2374">
        <v>6</v>
      </c>
      <c r="L2374" t="s">
        <v>836</v>
      </c>
      <c r="M2374">
        <v>24</v>
      </c>
      <c r="O2374" s="29" t="s">
        <v>8794</v>
      </c>
      <c r="P2374" s="25" t="s">
        <v>8982</v>
      </c>
      <c r="Q2374" s="25">
        <v>1441</v>
      </c>
      <c r="R2374" t="s">
        <v>436</v>
      </c>
    </row>
    <row r="2375" spans="1:18" hidden="1">
      <c r="A2375" s="23" t="s">
        <v>4741</v>
      </c>
      <c r="B2375" s="23" t="s">
        <v>4742</v>
      </c>
      <c r="C2375" s="23">
        <v>2481</v>
      </c>
      <c r="I2375" s="3" t="str">
        <f>+IFERROR(VLOOKUP(C2375,'Mov 2023 hasta ahora '!$C$2:$D$314,2,FALSE),"NO")</f>
        <v>NO</v>
      </c>
      <c r="K2375">
        <v>6</v>
      </c>
      <c r="L2375" t="s">
        <v>836</v>
      </c>
      <c r="M2375">
        <v>24</v>
      </c>
      <c r="O2375" s="29" t="s">
        <v>8809</v>
      </c>
      <c r="P2375" s="25" t="s">
        <v>8983</v>
      </c>
      <c r="Q2375" s="25">
        <v>1448</v>
      </c>
      <c r="R2375" t="s">
        <v>436</v>
      </c>
    </row>
    <row r="2376" spans="1:18" hidden="1">
      <c r="A2376" t="s">
        <v>4743</v>
      </c>
      <c r="B2376" t="s">
        <v>4744</v>
      </c>
      <c r="I2376" s="3" t="str">
        <f>+IFERROR(VLOOKUP(C2376,'Mov 2023 hasta ahora '!$C$2:$D$314,2,FALSE),"NO")</f>
        <v>NO</v>
      </c>
      <c r="K2376">
        <v>4</v>
      </c>
      <c r="L2376" t="s">
        <v>836</v>
      </c>
      <c r="M2376">
        <v>14</v>
      </c>
    </row>
    <row r="2377" spans="1:18" hidden="1">
      <c r="A2377" t="s">
        <v>4745</v>
      </c>
      <c r="B2377" t="s">
        <v>4746</v>
      </c>
      <c r="I2377" s="3" t="str">
        <f>+IFERROR(VLOOKUP(C2377,'Mov 2023 hasta ahora '!$C$2:$D$314,2,FALSE),"NO")</f>
        <v>NO</v>
      </c>
      <c r="K2377">
        <v>5</v>
      </c>
      <c r="L2377" t="s">
        <v>836</v>
      </c>
      <c r="M2377">
        <v>18</v>
      </c>
    </row>
    <row r="2378" spans="1:18" s="13" customFormat="1" hidden="1">
      <c r="A2378" s="23" t="s">
        <v>4747</v>
      </c>
      <c r="B2378" s="23" t="s">
        <v>4748</v>
      </c>
      <c r="C2378" s="23">
        <v>2482</v>
      </c>
      <c r="G2378"/>
      <c r="I2378" s="14" t="str">
        <f>+IFERROR(VLOOKUP(C2378,'Mov 2023 hasta ahora '!$C$2:$D$314,2,FALSE),"NO")</f>
        <v>NO</v>
      </c>
      <c r="K2378">
        <v>6</v>
      </c>
      <c r="L2378" t="s">
        <v>836</v>
      </c>
      <c r="M2378">
        <v>24</v>
      </c>
      <c r="O2378" s="29" t="s">
        <v>8794</v>
      </c>
      <c r="P2378" s="25" t="s">
        <v>8982</v>
      </c>
      <c r="Q2378" s="25">
        <v>1441</v>
      </c>
      <c r="R2378" t="s">
        <v>436</v>
      </c>
    </row>
    <row r="2379" spans="1:18" s="13" customFormat="1" hidden="1">
      <c r="A2379" s="23" t="s">
        <v>4749</v>
      </c>
      <c r="B2379" s="23" t="s">
        <v>4750</v>
      </c>
      <c r="C2379" s="23">
        <v>2516</v>
      </c>
      <c r="G2379"/>
      <c r="I2379" s="14" t="str">
        <f>+IFERROR(VLOOKUP(C2379,'Mov 2023 hasta ahora '!$C$2:$D$314,2,FALSE),"NO")</f>
        <v>NO</v>
      </c>
      <c r="K2379">
        <v>6</v>
      </c>
      <c r="L2379" t="s">
        <v>836</v>
      </c>
      <c r="M2379">
        <v>24</v>
      </c>
      <c r="O2379" s="29" t="s">
        <v>8809</v>
      </c>
      <c r="P2379" s="25" t="s">
        <v>8983</v>
      </c>
      <c r="Q2379" s="25">
        <v>1448</v>
      </c>
      <c r="R2379" t="s">
        <v>436</v>
      </c>
    </row>
    <row r="2380" spans="1:18" hidden="1">
      <c r="A2380" t="s">
        <v>4751</v>
      </c>
      <c r="B2380" t="s">
        <v>4752</v>
      </c>
      <c r="I2380" s="3" t="str">
        <f>+IFERROR(VLOOKUP(C2380,'Mov 2023 hasta ahora '!$C$2:$D$314,2,FALSE),"NO")</f>
        <v>NO</v>
      </c>
      <c r="K2380">
        <v>4</v>
      </c>
      <c r="L2380" t="s">
        <v>836</v>
      </c>
      <c r="M2380">
        <v>14</v>
      </c>
    </row>
    <row r="2381" spans="1:18" hidden="1">
      <c r="A2381" t="s">
        <v>4753</v>
      </c>
      <c r="B2381" t="s">
        <v>4754</v>
      </c>
      <c r="I2381" s="3" t="str">
        <f>+IFERROR(VLOOKUP(C2381,'Mov 2023 hasta ahora '!$C$2:$D$314,2,FALSE),"NO")</f>
        <v>NO</v>
      </c>
      <c r="K2381">
        <v>5</v>
      </c>
      <c r="L2381" t="s">
        <v>836</v>
      </c>
      <c r="M2381">
        <v>18</v>
      </c>
    </row>
    <row r="2382" spans="1:18" s="13" customFormat="1" hidden="1">
      <c r="A2382" s="23" t="s">
        <v>4755</v>
      </c>
      <c r="B2382" s="23" t="s">
        <v>4756</v>
      </c>
      <c r="C2382" s="23">
        <v>2483</v>
      </c>
      <c r="G2382"/>
      <c r="I2382" s="14" t="str">
        <f>+IFERROR(VLOOKUP(C2382,'Mov 2023 hasta ahora '!$C$2:$D$314,2,FALSE),"NO")</f>
        <v>NO</v>
      </c>
      <c r="K2382">
        <v>6</v>
      </c>
      <c r="L2382" t="s">
        <v>836</v>
      </c>
      <c r="M2382">
        <v>24</v>
      </c>
      <c r="O2382" s="29" t="s">
        <v>8800</v>
      </c>
      <c r="P2382" s="25" t="s">
        <v>8988</v>
      </c>
      <c r="Q2382" s="25">
        <v>1457</v>
      </c>
      <c r="R2382" t="s">
        <v>436</v>
      </c>
    </row>
    <row r="2383" spans="1:18" s="13" customFormat="1" hidden="1">
      <c r="A2383" s="23" t="s">
        <v>4757</v>
      </c>
      <c r="B2383" s="23" t="s">
        <v>4758</v>
      </c>
      <c r="C2383" s="23">
        <v>2484</v>
      </c>
      <c r="G2383"/>
      <c r="I2383" s="14" t="str">
        <f>+IFERROR(VLOOKUP(C2383,'Mov 2023 hasta ahora '!$C$2:$D$314,2,FALSE),"NO")</f>
        <v>NO</v>
      </c>
      <c r="K2383">
        <v>6</v>
      </c>
      <c r="L2383" t="s">
        <v>836</v>
      </c>
      <c r="M2383">
        <v>24</v>
      </c>
      <c r="O2383" s="29" t="s">
        <v>8810</v>
      </c>
      <c r="P2383" s="25" t="s">
        <v>8989</v>
      </c>
      <c r="Q2383" s="25">
        <v>1465</v>
      </c>
      <c r="R2383" t="s">
        <v>436</v>
      </c>
    </row>
    <row r="2384" spans="1:18" hidden="1">
      <c r="A2384" t="s">
        <v>4759</v>
      </c>
      <c r="B2384" t="s">
        <v>4760</v>
      </c>
      <c r="I2384" s="3" t="str">
        <f>+IFERROR(VLOOKUP(C2384,'Mov 2023 hasta ahora '!$C$2:$D$314,2,FALSE),"NO")</f>
        <v>NO</v>
      </c>
      <c r="K2384">
        <v>4</v>
      </c>
      <c r="L2384" t="s">
        <v>836</v>
      </c>
      <c r="M2384">
        <v>14</v>
      </c>
    </row>
    <row r="2385" spans="1:18" hidden="1">
      <c r="A2385" t="s">
        <v>4761</v>
      </c>
      <c r="B2385" t="s">
        <v>4762</v>
      </c>
      <c r="I2385" s="3" t="str">
        <f>+IFERROR(VLOOKUP(C2385,'Mov 2023 hasta ahora '!$C$2:$D$314,2,FALSE),"NO")</f>
        <v>NO</v>
      </c>
      <c r="K2385">
        <v>5</v>
      </c>
      <c r="L2385" t="s">
        <v>836</v>
      </c>
      <c r="M2385">
        <v>18</v>
      </c>
    </row>
    <row r="2386" spans="1:18" s="13" customFormat="1" hidden="1">
      <c r="A2386" s="23" t="s">
        <v>4763</v>
      </c>
      <c r="B2386" s="23" t="s">
        <v>4764</v>
      </c>
      <c r="C2386" s="23">
        <v>2485</v>
      </c>
      <c r="G2386"/>
      <c r="I2386" s="14" t="str">
        <f>+IFERROR(VLOOKUP(C2386,'Mov 2023 hasta ahora '!$C$2:$D$314,2,FALSE),"NO")</f>
        <v>NO</v>
      </c>
      <c r="K2386">
        <v>6</v>
      </c>
      <c r="L2386" t="s">
        <v>836</v>
      </c>
      <c r="M2386">
        <v>24</v>
      </c>
      <c r="O2386" s="29" t="s">
        <v>8815</v>
      </c>
      <c r="P2386" s="25" t="s">
        <v>8796</v>
      </c>
      <c r="Q2386" s="25">
        <v>1579</v>
      </c>
      <c r="R2386" t="s">
        <v>436</v>
      </c>
    </row>
    <row r="2387" spans="1:18" s="13" customFormat="1" hidden="1">
      <c r="A2387" s="23" t="s">
        <v>4765</v>
      </c>
      <c r="B2387" s="23" t="s">
        <v>4766</v>
      </c>
      <c r="C2387" s="23">
        <v>2486</v>
      </c>
      <c r="G2387"/>
      <c r="I2387" s="14" t="str">
        <f>+IFERROR(VLOOKUP(C2387,'Mov 2023 hasta ahora '!$C$2:$D$314,2,FALSE),"NO")</f>
        <v>NO</v>
      </c>
      <c r="K2387">
        <v>6</v>
      </c>
      <c r="L2387" t="s">
        <v>836</v>
      </c>
      <c r="M2387">
        <v>24</v>
      </c>
      <c r="O2387" s="29" t="s">
        <v>8816</v>
      </c>
      <c r="P2387" s="25" t="s">
        <v>8806</v>
      </c>
      <c r="Q2387" s="25">
        <v>1589</v>
      </c>
      <c r="R2387" t="s">
        <v>436</v>
      </c>
    </row>
    <row r="2388" spans="1:18" hidden="1">
      <c r="A2388" t="s">
        <v>4767</v>
      </c>
      <c r="B2388" t="s">
        <v>4768</v>
      </c>
      <c r="I2388" s="3" t="str">
        <f>+IFERROR(VLOOKUP(C2388,'Mov 2023 hasta ahora '!$C$2:$D$314,2,FALSE),"NO")</f>
        <v>NO</v>
      </c>
      <c r="K2388">
        <v>4</v>
      </c>
      <c r="L2388" t="s">
        <v>836</v>
      </c>
      <c r="M2388">
        <v>14</v>
      </c>
    </row>
    <row r="2389" spans="1:18" hidden="1">
      <c r="A2389" t="s">
        <v>4769</v>
      </c>
      <c r="B2389" t="s">
        <v>4770</v>
      </c>
      <c r="I2389" s="3" t="str">
        <f>+IFERROR(VLOOKUP(C2389,'Mov 2023 hasta ahora '!$C$2:$D$314,2,FALSE),"NO")</f>
        <v>NO</v>
      </c>
      <c r="K2389">
        <v>5</v>
      </c>
      <c r="L2389" t="s">
        <v>836</v>
      </c>
      <c r="M2389">
        <v>18</v>
      </c>
    </row>
    <row r="2390" spans="1:18" s="13" customFormat="1" hidden="1">
      <c r="A2390" s="23" t="s">
        <v>4771</v>
      </c>
      <c r="B2390" s="23" t="s">
        <v>4772</v>
      </c>
      <c r="C2390" s="23">
        <v>2487</v>
      </c>
      <c r="G2390"/>
      <c r="I2390" s="14" t="str">
        <f>+IFERROR(VLOOKUP(C2390,'Mov 2023 hasta ahora '!$C$2:$D$314,2,FALSE),"NO")</f>
        <v>NO</v>
      </c>
      <c r="K2390">
        <v>6</v>
      </c>
      <c r="L2390" t="s">
        <v>836</v>
      </c>
      <c r="M2390">
        <v>24</v>
      </c>
      <c r="O2390" s="29" t="s">
        <v>8752</v>
      </c>
      <c r="P2390" s="25" t="s">
        <v>8995</v>
      </c>
      <c r="Q2390" s="25">
        <v>1481</v>
      </c>
      <c r="R2390" t="s">
        <v>436</v>
      </c>
    </row>
    <row r="2391" spans="1:18" s="13" customFormat="1" hidden="1">
      <c r="A2391" s="23" t="s">
        <v>4773</v>
      </c>
      <c r="B2391" s="23" t="s">
        <v>4774</v>
      </c>
      <c r="C2391" s="23">
        <v>2488</v>
      </c>
      <c r="G2391"/>
      <c r="I2391" s="14" t="str">
        <f>+IFERROR(VLOOKUP(C2391,'Mov 2023 hasta ahora '!$C$2:$D$314,2,FALSE),"NO")</f>
        <v>NO</v>
      </c>
      <c r="K2391">
        <v>6</v>
      </c>
      <c r="L2391" t="s">
        <v>836</v>
      </c>
      <c r="M2391">
        <v>24</v>
      </c>
      <c r="O2391" s="29" t="s">
        <v>8766</v>
      </c>
      <c r="P2391" s="25" t="s">
        <v>8996</v>
      </c>
      <c r="Q2391" s="25">
        <v>1473</v>
      </c>
      <c r="R2391" t="s">
        <v>436</v>
      </c>
    </row>
    <row r="2392" spans="1:18" hidden="1">
      <c r="A2392" t="s">
        <v>4775</v>
      </c>
      <c r="B2392" t="s">
        <v>4776</v>
      </c>
      <c r="I2392" s="3" t="str">
        <f>+IFERROR(VLOOKUP(C2392,'Mov 2023 hasta ahora '!$C$2:$D$314,2,FALSE),"NO")</f>
        <v>NO</v>
      </c>
      <c r="K2392">
        <v>4</v>
      </c>
      <c r="L2392" t="s">
        <v>836</v>
      </c>
      <c r="M2392">
        <v>14</v>
      </c>
    </row>
    <row r="2393" spans="1:18" hidden="1">
      <c r="A2393" t="s">
        <v>4777</v>
      </c>
      <c r="B2393" t="s">
        <v>4778</v>
      </c>
      <c r="I2393" s="3" t="str">
        <f>+IFERROR(VLOOKUP(C2393,'Mov 2023 hasta ahora '!$C$2:$D$314,2,FALSE),"NO")</f>
        <v>NO</v>
      </c>
      <c r="K2393">
        <v>5</v>
      </c>
      <c r="L2393" t="s">
        <v>836</v>
      </c>
      <c r="M2393">
        <v>18</v>
      </c>
    </row>
    <row r="2394" spans="1:18" s="13" customFormat="1" hidden="1">
      <c r="A2394" s="23" t="s">
        <v>4779</v>
      </c>
      <c r="B2394" s="23" t="s">
        <v>4780</v>
      </c>
      <c r="C2394" s="23">
        <v>2489</v>
      </c>
      <c r="G2394"/>
      <c r="I2394" s="14" t="str">
        <f>+IFERROR(VLOOKUP(C2394,'Mov 2023 hasta ahora '!$C$2:$D$314,2,FALSE),"NO")</f>
        <v>NO</v>
      </c>
      <c r="K2394">
        <v>6</v>
      </c>
      <c r="L2394" t="s">
        <v>836</v>
      </c>
      <c r="M2394">
        <v>24</v>
      </c>
      <c r="O2394" s="29" t="s">
        <v>8795</v>
      </c>
      <c r="P2394" s="25" t="s">
        <v>8798</v>
      </c>
      <c r="Q2394" s="25">
        <v>1489</v>
      </c>
      <c r="R2394" t="s">
        <v>436</v>
      </c>
    </row>
    <row r="2395" spans="1:18" s="13" customFormat="1" hidden="1">
      <c r="A2395" s="23" t="s">
        <v>4781</v>
      </c>
      <c r="B2395" s="23" t="s">
        <v>4782</v>
      </c>
      <c r="C2395" s="23">
        <v>2490</v>
      </c>
      <c r="G2395"/>
      <c r="I2395" s="14" t="str">
        <f>+IFERROR(VLOOKUP(C2395,'Mov 2023 hasta ahora '!$C$2:$D$314,2,FALSE),"NO")</f>
        <v>NO</v>
      </c>
      <c r="K2395">
        <v>6</v>
      </c>
      <c r="L2395" t="s">
        <v>836</v>
      </c>
      <c r="M2395">
        <v>24</v>
      </c>
      <c r="O2395" s="29" t="s">
        <v>8804</v>
      </c>
      <c r="P2395" s="25" t="s">
        <v>8808</v>
      </c>
      <c r="Q2395" s="25">
        <v>1497</v>
      </c>
      <c r="R2395" s="13" t="s">
        <v>436</v>
      </c>
    </row>
    <row r="2396" spans="1:18" hidden="1">
      <c r="A2396" t="s">
        <v>4783</v>
      </c>
      <c r="B2396" t="s">
        <v>4784</v>
      </c>
      <c r="I2396" s="3" t="str">
        <f>+IFERROR(VLOOKUP(C2396,'Mov 2023 hasta ahora '!$C$2:$D$314,2,FALSE),"NO")</f>
        <v>NO</v>
      </c>
      <c r="K2396">
        <v>4</v>
      </c>
      <c r="L2396" t="s">
        <v>836</v>
      </c>
      <c r="M2396">
        <v>14</v>
      </c>
    </row>
    <row r="2397" spans="1:18" hidden="1">
      <c r="A2397" t="s">
        <v>4785</v>
      </c>
      <c r="B2397" t="s">
        <v>4786</v>
      </c>
      <c r="I2397" s="3" t="str">
        <f>+IFERROR(VLOOKUP(C2397,'Mov 2023 hasta ahora '!$C$2:$D$314,2,FALSE),"NO")</f>
        <v>NO</v>
      </c>
      <c r="K2397">
        <v>5</v>
      </c>
      <c r="L2397" t="s">
        <v>836</v>
      </c>
      <c r="M2397">
        <v>18</v>
      </c>
    </row>
    <row r="2398" spans="1:18" s="13" customFormat="1" hidden="1">
      <c r="A2398" s="23" t="s">
        <v>4787</v>
      </c>
      <c r="B2398" s="23" t="s">
        <v>4788</v>
      </c>
      <c r="C2398" s="23">
        <v>2491</v>
      </c>
      <c r="G2398"/>
      <c r="I2398" s="14" t="str">
        <f>+IFERROR(VLOOKUP(C2398,'Mov 2023 hasta ahora '!$C$2:$D$314,2,FALSE),"NO")</f>
        <v>NO</v>
      </c>
      <c r="K2398">
        <v>6</v>
      </c>
      <c r="L2398" t="s">
        <v>836</v>
      </c>
      <c r="M2398">
        <v>24</v>
      </c>
      <c r="O2398" s="29" t="s">
        <v>9002</v>
      </c>
      <c r="P2398" s="25" t="s">
        <v>8799</v>
      </c>
      <c r="Q2398" s="25">
        <v>1513</v>
      </c>
      <c r="R2398" t="s">
        <v>436</v>
      </c>
    </row>
    <row r="2399" spans="1:18" s="13" customFormat="1" hidden="1">
      <c r="A2399" s="23" t="s">
        <v>4789</v>
      </c>
      <c r="B2399" s="23" t="s">
        <v>4790</v>
      </c>
      <c r="C2399" s="23">
        <v>2492</v>
      </c>
      <c r="G2399"/>
      <c r="I2399" s="14" t="str">
        <f>+IFERROR(VLOOKUP(C2399,'Mov 2023 hasta ahora '!$C$2:$D$314,2,FALSE),"NO")</f>
        <v>NO</v>
      </c>
      <c r="K2399">
        <v>6</v>
      </c>
      <c r="L2399" t="s">
        <v>836</v>
      </c>
      <c r="M2399">
        <v>24</v>
      </c>
      <c r="O2399" s="29" t="s">
        <v>9003</v>
      </c>
      <c r="P2399" s="25" t="s">
        <v>8803</v>
      </c>
      <c r="Q2399" s="25">
        <v>1505</v>
      </c>
      <c r="R2399" t="s">
        <v>436</v>
      </c>
    </row>
    <row r="2400" spans="1:18" hidden="1">
      <c r="A2400" t="s">
        <v>4791</v>
      </c>
      <c r="B2400" t="s">
        <v>4792</v>
      </c>
      <c r="I2400" s="3" t="str">
        <f>+IFERROR(VLOOKUP(C2400,'Mov 2023 hasta ahora '!$C$2:$D$314,2,FALSE),"NO")</f>
        <v>NO</v>
      </c>
      <c r="K2400">
        <v>4</v>
      </c>
      <c r="L2400" t="s">
        <v>836</v>
      </c>
      <c r="M2400">
        <v>14</v>
      </c>
    </row>
    <row r="2401" spans="1:18" hidden="1">
      <c r="A2401" t="s">
        <v>4793</v>
      </c>
      <c r="B2401" t="s">
        <v>4794</v>
      </c>
      <c r="I2401" s="3" t="str">
        <f>+IFERROR(VLOOKUP(C2401,'Mov 2023 hasta ahora '!$C$2:$D$314,2,FALSE),"NO")</f>
        <v>NO</v>
      </c>
      <c r="K2401">
        <v>5</v>
      </c>
      <c r="L2401" t="s">
        <v>836</v>
      </c>
      <c r="M2401">
        <v>18</v>
      </c>
    </row>
    <row r="2402" spans="1:18" hidden="1">
      <c r="A2402" s="23" t="s">
        <v>4795</v>
      </c>
      <c r="B2402" s="23" t="s">
        <v>4796</v>
      </c>
      <c r="C2402" s="23">
        <v>2493</v>
      </c>
      <c r="I2402" s="3" t="str">
        <f>+IFERROR(VLOOKUP(C2402,'Mov 2023 hasta ahora '!$C$2:$D$314,2,FALSE),"NO")</f>
        <v>NO</v>
      </c>
      <c r="K2402">
        <v>6</v>
      </c>
      <c r="L2402" t="s">
        <v>836</v>
      </c>
      <c r="M2402">
        <v>24</v>
      </c>
      <c r="O2402" s="29" t="s">
        <v>8861</v>
      </c>
      <c r="P2402" s="25" t="s">
        <v>8868</v>
      </c>
      <c r="Q2402" s="25">
        <v>1419</v>
      </c>
      <c r="R2402" t="s">
        <v>436</v>
      </c>
    </row>
    <row r="2403" spans="1:18" hidden="1">
      <c r="A2403" t="s">
        <v>4797</v>
      </c>
      <c r="B2403" t="s">
        <v>4798</v>
      </c>
      <c r="I2403" s="3" t="str">
        <f>+IFERROR(VLOOKUP(C2403,'Mov 2023 hasta ahora '!$C$2:$D$314,2,FALSE),"NO")</f>
        <v>NO</v>
      </c>
      <c r="K2403">
        <v>5</v>
      </c>
      <c r="L2403" t="s">
        <v>836</v>
      </c>
      <c r="M2403">
        <v>18</v>
      </c>
    </row>
    <row r="2404" spans="1:18" hidden="1">
      <c r="A2404" s="23" t="s">
        <v>4799</v>
      </c>
      <c r="B2404" s="23" t="s">
        <v>4800</v>
      </c>
      <c r="C2404" s="23">
        <v>2494</v>
      </c>
      <c r="I2404" s="3" t="str">
        <f>+IFERROR(VLOOKUP(C2404,'Mov 2023 hasta ahora '!$C$2:$D$314,2,FALSE),"NO")</f>
        <v>NO</v>
      </c>
      <c r="K2404">
        <v>6</v>
      </c>
      <c r="L2404" t="s">
        <v>836</v>
      </c>
      <c r="M2404">
        <v>24</v>
      </c>
      <c r="O2404" s="29" t="s">
        <v>9049</v>
      </c>
      <c r="P2404" s="25" t="s">
        <v>9050</v>
      </c>
      <c r="Q2404" s="25">
        <v>1363</v>
      </c>
      <c r="R2404" t="s">
        <v>436</v>
      </c>
    </row>
    <row r="2405" spans="1:18" hidden="1">
      <c r="A2405" s="23" t="s">
        <v>4801</v>
      </c>
      <c r="B2405" s="23" t="s">
        <v>4802</v>
      </c>
      <c r="C2405" s="23">
        <v>2495</v>
      </c>
      <c r="I2405" s="3" t="str">
        <f>+IFERROR(VLOOKUP(C2405,'Mov 2023 hasta ahora '!$C$2:$D$314,2,FALSE),"NO")</f>
        <v>NO</v>
      </c>
      <c r="K2405">
        <v>6</v>
      </c>
      <c r="L2405" t="s">
        <v>836</v>
      </c>
      <c r="M2405">
        <v>24</v>
      </c>
      <c r="O2405" s="29" t="s">
        <v>9014</v>
      </c>
      <c r="P2405" s="25" t="s">
        <v>8890</v>
      </c>
      <c r="Q2405" s="25">
        <v>1244</v>
      </c>
      <c r="R2405" t="s">
        <v>436</v>
      </c>
    </row>
    <row r="2406" spans="1:18" hidden="1">
      <c r="A2406" s="23" t="s">
        <v>4803</v>
      </c>
      <c r="B2406" s="23" t="s">
        <v>4804</v>
      </c>
      <c r="C2406" s="23">
        <v>2496</v>
      </c>
      <c r="I2406" s="3" t="str">
        <f>+IFERROR(VLOOKUP(C2406,'Mov 2023 hasta ahora '!$C$2:$D$314,2,FALSE),"NO")</f>
        <v>NO</v>
      </c>
      <c r="K2406">
        <v>6</v>
      </c>
      <c r="L2406" t="s">
        <v>836</v>
      </c>
      <c r="M2406">
        <v>24</v>
      </c>
      <c r="O2406" s="29" t="s">
        <v>9030</v>
      </c>
      <c r="P2406" s="25" t="s">
        <v>9029</v>
      </c>
      <c r="Q2406" s="25">
        <v>3817</v>
      </c>
      <c r="R2406" t="s">
        <v>436</v>
      </c>
    </row>
    <row r="2407" spans="1:18" s="13" customFormat="1" hidden="1">
      <c r="A2407" s="23" t="s">
        <v>4805</v>
      </c>
      <c r="B2407" s="23" t="s">
        <v>4806</v>
      </c>
      <c r="C2407" s="23">
        <v>2497</v>
      </c>
      <c r="G2407"/>
      <c r="I2407" s="14" t="str">
        <f>+IFERROR(VLOOKUP(C2407,'Mov 2023 hasta ahora '!$C$2:$D$314,2,FALSE),"NO")</f>
        <v>NO</v>
      </c>
      <c r="K2407">
        <v>6</v>
      </c>
      <c r="L2407" t="s">
        <v>836</v>
      </c>
      <c r="M2407">
        <v>24</v>
      </c>
      <c r="O2407" s="29" t="s">
        <v>8825</v>
      </c>
      <c r="P2407" s="25" t="s">
        <v>8832</v>
      </c>
      <c r="Q2407" s="25">
        <v>3601</v>
      </c>
      <c r="R2407" t="s">
        <v>436</v>
      </c>
    </row>
    <row r="2408" spans="1:18" s="13" customFormat="1" hidden="1">
      <c r="A2408" s="23" t="s">
        <v>4807</v>
      </c>
      <c r="B2408" s="23" t="s">
        <v>4808</v>
      </c>
      <c r="C2408" s="23">
        <v>2498</v>
      </c>
      <c r="G2408"/>
      <c r="I2408" s="14" t="str">
        <f>+IFERROR(VLOOKUP(C2408,'Mov 2023 hasta ahora '!$C$2:$D$314,2,FALSE),"NO")</f>
        <v>NO</v>
      </c>
      <c r="K2408">
        <v>6</v>
      </c>
      <c r="L2408" t="s">
        <v>836</v>
      </c>
      <c r="M2408">
        <v>24</v>
      </c>
      <c r="O2408" s="29" t="s">
        <v>8992</v>
      </c>
      <c r="P2408" s="25" t="s">
        <v>8836</v>
      </c>
      <c r="Q2408" s="25">
        <v>3603</v>
      </c>
      <c r="R2408" t="s">
        <v>436</v>
      </c>
    </row>
    <row r="2409" spans="1:18" hidden="1">
      <c r="A2409" t="s">
        <v>4809</v>
      </c>
      <c r="B2409" t="s">
        <v>1431</v>
      </c>
      <c r="I2409" s="3" t="str">
        <f>+IFERROR(VLOOKUP(C2409,'Mov 2023 hasta ahora '!$C$2:$D$314,2,FALSE),"NO")</f>
        <v>NO</v>
      </c>
      <c r="K2409">
        <v>3</v>
      </c>
      <c r="L2409" t="s">
        <v>836</v>
      </c>
      <c r="M2409">
        <v>10</v>
      </c>
    </row>
    <row r="2410" spans="1:18" hidden="1">
      <c r="A2410" t="s">
        <v>4810</v>
      </c>
      <c r="B2410" t="s">
        <v>4811</v>
      </c>
      <c r="I2410" s="3" t="str">
        <f>+IFERROR(VLOOKUP(C2410,'Mov 2023 hasta ahora '!$C$2:$D$314,2,FALSE),"NO")</f>
        <v>NO</v>
      </c>
      <c r="K2410">
        <v>4</v>
      </c>
      <c r="L2410" t="s">
        <v>836</v>
      </c>
      <c r="M2410">
        <v>14</v>
      </c>
    </row>
    <row r="2411" spans="1:18" hidden="1">
      <c r="A2411" t="s">
        <v>4812</v>
      </c>
      <c r="B2411" t="s">
        <v>4813</v>
      </c>
      <c r="I2411" s="3" t="str">
        <f>+IFERROR(VLOOKUP(C2411,'Mov 2023 hasta ahora '!$C$2:$D$314,2,FALSE),"NO")</f>
        <v>NO</v>
      </c>
      <c r="K2411">
        <v>5</v>
      </c>
      <c r="L2411" t="s">
        <v>836</v>
      </c>
      <c r="M2411">
        <v>18</v>
      </c>
    </row>
    <row r="2412" spans="1:18" s="13" customFormat="1" hidden="1">
      <c r="A2412" s="23" t="s">
        <v>4814</v>
      </c>
      <c r="B2412" s="23" t="s">
        <v>4815</v>
      </c>
      <c r="C2412" s="23">
        <v>2336</v>
      </c>
      <c r="G2412"/>
      <c r="I2412" s="14" t="str">
        <f>+IFERROR(VLOOKUP(C2412,'Mov 2023 hasta ahora '!$C$2:$D$314,2,FALSE),"NO")</f>
        <v>NO</v>
      </c>
      <c r="K2412">
        <v>6</v>
      </c>
      <c r="L2412" t="s">
        <v>836</v>
      </c>
      <c r="M2412">
        <v>24</v>
      </c>
      <c r="O2412" s="29" t="s">
        <v>8857</v>
      </c>
      <c r="P2412" s="25" t="s">
        <v>8980</v>
      </c>
      <c r="Q2412" s="25">
        <v>2178</v>
      </c>
      <c r="R2412" t="s">
        <v>436</v>
      </c>
    </row>
    <row r="2413" spans="1:18" s="13" customFormat="1" hidden="1">
      <c r="A2413" s="23" t="s">
        <v>4816</v>
      </c>
      <c r="B2413" s="23" t="s">
        <v>4817</v>
      </c>
      <c r="C2413" s="23">
        <v>2391</v>
      </c>
      <c r="G2413"/>
      <c r="I2413" s="14" t="str">
        <f>+IFERROR(VLOOKUP(C2413,'Mov 2023 hasta ahora '!$C$2:$D$314,2,FALSE),"NO")</f>
        <v>NO</v>
      </c>
      <c r="K2413">
        <v>6</v>
      </c>
      <c r="L2413" t="s">
        <v>836</v>
      </c>
      <c r="M2413">
        <v>24</v>
      </c>
      <c r="O2413" s="29" t="s">
        <v>8846</v>
      </c>
      <c r="P2413" s="25" t="s">
        <v>8981</v>
      </c>
      <c r="Q2413" s="25">
        <v>2179</v>
      </c>
      <c r="R2413" t="s">
        <v>436</v>
      </c>
    </row>
    <row r="2414" spans="1:18" s="13" customFormat="1" hidden="1">
      <c r="A2414" s="23" t="s">
        <v>4818</v>
      </c>
      <c r="B2414" s="23" t="s">
        <v>4819</v>
      </c>
      <c r="C2414" s="23">
        <v>2337</v>
      </c>
      <c r="G2414"/>
      <c r="I2414" s="14" t="str">
        <f>+IFERROR(VLOOKUP(C2414,'Mov 2023 hasta ahora '!$C$2:$D$314,2,FALSE),"NO")</f>
        <v>NO</v>
      </c>
      <c r="K2414">
        <v>6</v>
      </c>
      <c r="L2414" t="s">
        <v>836</v>
      </c>
      <c r="M2414">
        <v>24</v>
      </c>
      <c r="O2414" s="29" t="s">
        <v>8746</v>
      </c>
      <c r="P2414" s="25" t="s">
        <v>9054</v>
      </c>
      <c r="Q2414" s="25">
        <v>185</v>
      </c>
      <c r="R2414" t="s">
        <v>436</v>
      </c>
    </row>
    <row r="2415" spans="1:18" s="13" customFormat="1" hidden="1">
      <c r="A2415" s="23" t="s">
        <v>4820</v>
      </c>
      <c r="B2415" s="23" t="s">
        <v>4821</v>
      </c>
      <c r="C2415" s="23">
        <v>2338</v>
      </c>
      <c r="G2415"/>
      <c r="I2415" s="14" t="str">
        <f>+IFERROR(VLOOKUP(C2415,'Mov 2023 hasta ahora '!$C$2:$D$314,2,FALSE),"NO")</f>
        <v>NO</v>
      </c>
      <c r="K2415">
        <v>6</v>
      </c>
      <c r="L2415" t="s">
        <v>836</v>
      </c>
      <c r="M2415">
        <v>24</v>
      </c>
      <c r="O2415" s="29" t="s">
        <v>9013</v>
      </c>
      <c r="P2415" s="25" t="s">
        <v>8756</v>
      </c>
      <c r="Q2415" s="25">
        <v>212</v>
      </c>
      <c r="R2415" t="s">
        <v>436</v>
      </c>
    </row>
    <row r="2416" spans="1:18" s="13" customFormat="1" hidden="1">
      <c r="A2416" s="23" t="s">
        <v>4822</v>
      </c>
      <c r="B2416" s="23" t="s">
        <v>4823</v>
      </c>
      <c r="C2416" s="23">
        <v>2333</v>
      </c>
      <c r="G2416"/>
      <c r="I2416" s="14" t="str">
        <f>+IFERROR(VLOOKUP(C2416,'Mov 2023 hasta ahora '!$C$2:$D$314,2,FALSE),"NO")</f>
        <v>NO</v>
      </c>
      <c r="K2416">
        <v>6</v>
      </c>
      <c r="L2416" t="s">
        <v>836</v>
      </c>
      <c r="M2416">
        <v>24</v>
      </c>
      <c r="O2416" s="29" t="s">
        <v>8794</v>
      </c>
      <c r="P2416" s="25" t="s">
        <v>8982</v>
      </c>
      <c r="Q2416" s="25">
        <v>1441</v>
      </c>
      <c r="R2416" t="s">
        <v>436</v>
      </c>
    </row>
    <row r="2417" spans="1:18" s="13" customFormat="1" hidden="1">
      <c r="A2417" s="23" t="s">
        <v>4824</v>
      </c>
      <c r="B2417" s="23" t="s">
        <v>4825</v>
      </c>
      <c r="C2417" s="23">
        <v>2334</v>
      </c>
      <c r="G2417"/>
      <c r="I2417" s="14" t="str">
        <f>+IFERROR(VLOOKUP(C2417,'Mov 2023 hasta ahora '!$C$2:$D$314,2,FALSE),"NO")</f>
        <v>NO</v>
      </c>
      <c r="K2417">
        <v>6</v>
      </c>
      <c r="L2417" t="s">
        <v>836</v>
      </c>
      <c r="M2417">
        <v>24</v>
      </c>
      <c r="O2417" s="29" t="s">
        <v>8809</v>
      </c>
      <c r="P2417" s="25" t="s">
        <v>8983</v>
      </c>
      <c r="Q2417" s="25">
        <v>1448</v>
      </c>
      <c r="R2417" t="s">
        <v>436</v>
      </c>
    </row>
    <row r="2418" spans="1:18" s="13" customFormat="1" hidden="1">
      <c r="A2418" s="23" t="s">
        <v>4826</v>
      </c>
      <c r="B2418" s="23" t="s">
        <v>4827</v>
      </c>
      <c r="C2418" s="23">
        <v>2335</v>
      </c>
      <c r="G2418"/>
      <c r="I2418" s="14" t="str">
        <f>+IFERROR(VLOOKUP(C2418,'Mov 2023 hasta ahora '!$C$2:$D$314,2,FALSE),"NO")</f>
        <v>NO</v>
      </c>
      <c r="K2418">
        <v>6</v>
      </c>
      <c r="L2418" t="s">
        <v>836</v>
      </c>
      <c r="M2418">
        <v>24</v>
      </c>
      <c r="O2418" s="29" t="s">
        <v>8827</v>
      </c>
      <c r="P2418" s="25" t="s">
        <v>8984</v>
      </c>
      <c r="Q2418" s="25">
        <v>1826</v>
      </c>
      <c r="R2418" t="s">
        <v>436</v>
      </c>
    </row>
    <row r="2419" spans="1:18" hidden="1">
      <c r="A2419" t="s">
        <v>4828</v>
      </c>
      <c r="B2419" t="s">
        <v>4829</v>
      </c>
      <c r="I2419" s="3" t="str">
        <f>+IFERROR(VLOOKUP(C2419,'Mov 2023 hasta ahora '!$C$2:$D$314,2,FALSE),"NO")</f>
        <v>NO</v>
      </c>
      <c r="K2419">
        <v>4</v>
      </c>
      <c r="L2419" t="s">
        <v>836</v>
      </c>
      <c r="M2419">
        <v>14</v>
      </c>
    </row>
    <row r="2420" spans="1:18" hidden="1">
      <c r="A2420" t="s">
        <v>4830</v>
      </c>
      <c r="B2420" t="s">
        <v>4831</v>
      </c>
      <c r="I2420" s="3" t="str">
        <f>+IFERROR(VLOOKUP(C2420,'Mov 2023 hasta ahora '!$C$2:$D$314,2,FALSE),"NO")</f>
        <v>NO</v>
      </c>
      <c r="K2420">
        <v>5</v>
      </c>
      <c r="L2420" t="s">
        <v>836</v>
      </c>
      <c r="M2420">
        <v>18</v>
      </c>
    </row>
    <row r="2421" spans="1:18" s="13" customFormat="1" hidden="1">
      <c r="A2421" s="23" t="s">
        <v>4832</v>
      </c>
      <c r="B2421" s="23" t="s">
        <v>4833</v>
      </c>
      <c r="C2421" s="23">
        <v>2348</v>
      </c>
      <c r="G2421"/>
      <c r="I2421" s="14" t="str">
        <f>+IFERROR(VLOOKUP(C2421,'Mov 2023 hasta ahora '!$C$2:$D$314,2,FALSE),"NO")</f>
        <v>NO</v>
      </c>
      <c r="K2421">
        <v>6</v>
      </c>
      <c r="L2421" t="s">
        <v>836</v>
      </c>
      <c r="M2421">
        <v>24</v>
      </c>
      <c r="O2421" s="29" t="s">
        <v>8867</v>
      </c>
      <c r="P2421" s="25" t="s">
        <v>8987</v>
      </c>
      <c r="Q2421" s="25">
        <v>456</v>
      </c>
      <c r="R2421" t="s">
        <v>436</v>
      </c>
    </row>
    <row r="2422" spans="1:18" s="13" customFormat="1" hidden="1">
      <c r="A2422" s="23" t="s">
        <v>4834</v>
      </c>
      <c r="B2422" s="23" t="s">
        <v>4835</v>
      </c>
      <c r="C2422" s="23">
        <v>2392</v>
      </c>
      <c r="G2422"/>
      <c r="I2422" s="14" t="str">
        <f>+IFERROR(VLOOKUP(C2422,'Mov 2023 hasta ahora '!$C$2:$D$314,2,FALSE),"NO")</f>
        <v>NO</v>
      </c>
      <c r="K2422">
        <v>6</v>
      </c>
      <c r="L2422" t="s">
        <v>836</v>
      </c>
      <c r="M2422">
        <v>24</v>
      </c>
      <c r="O2422" s="29" t="s">
        <v>8853</v>
      </c>
      <c r="P2422" s="25" t="s">
        <v>8986</v>
      </c>
      <c r="Q2422" s="25">
        <v>366</v>
      </c>
      <c r="R2422" t="s">
        <v>436</v>
      </c>
    </row>
    <row r="2423" spans="1:18" hidden="1">
      <c r="A2423" s="23" t="s">
        <v>4836</v>
      </c>
      <c r="B2423" s="23" t="s">
        <v>4837</v>
      </c>
      <c r="C2423" s="23">
        <v>2349</v>
      </c>
      <c r="I2423" s="3" t="str">
        <f>+IFERROR(VLOOKUP(C2423,'Mov 2023 hasta ahora '!$C$2:$D$314,2,FALSE),"NO")</f>
        <v>NO</v>
      </c>
      <c r="K2423">
        <v>6</v>
      </c>
      <c r="L2423" t="s">
        <v>836</v>
      </c>
      <c r="M2423">
        <v>24</v>
      </c>
      <c r="O2423" s="29" t="s">
        <v>8746</v>
      </c>
      <c r="P2423" s="25" t="s">
        <v>9054</v>
      </c>
      <c r="Q2423" s="25">
        <v>185</v>
      </c>
      <c r="R2423" t="s">
        <v>436</v>
      </c>
    </row>
    <row r="2424" spans="1:18" hidden="1">
      <c r="A2424" s="23" t="s">
        <v>4838</v>
      </c>
      <c r="B2424" s="23" t="s">
        <v>4839</v>
      </c>
      <c r="C2424" s="23">
        <v>2350</v>
      </c>
      <c r="I2424" s="3" t="str">
        <f>+IFERROR(VLOOKUP(C2424,'Mov 2023 hasta ahora '!$C$2:$D$314,2,FALSE),"NO")</f>
        <v>NO</v>
      </c>
      <c r="K2424">
        <v>6</v>
      </c>
      <c r="L2424" t="s">
        <v>836</v>
      </c>
      <c r="M2424">
        <v>24</v>
      </c>
      <c r="O2424" s="29" t="s">
        <v>9013</v>
      </c>
      <c r="P2424" s="25" t="s">
        <v>8756</v>
      </c>
      <c r="Q2424" s="25">
        <v>212</v>
      </c>
      <c r="R2424" t="s">
        <v>436</v>
      </c>
    </row>
    <row r="2425" spans="1:18" s="13" customFormat="1" hidden="1">
      <c r="A2425" s="23" t="s">
        <v>4840</v>
      </c>
      <c r="B2425" s="23" t="s">
        <v>4841</v>
      </c>
      <c r="C2425" s="23">
        <v>2339</v>
      </c>
      <c r="G2425"/>
      <c r="I2425" s="14" t="str">
        <f>+IFERROR(VLOOKUP(C2425,'Mov 2023 hasta ahora '!$C$2:$D$314,2,FALSE),"NO")</f>
        <v>NO</v>
      </c>
      <c r="K2425">
        <v>6</v>
      </c>
      <c r="L2425" t="s">
        <v>836</v>
      </c>
      <c r="M2425">
        <v>24</v>
      </c>
      <c r="O2425" s="29" t="s">
        <v>8800</v>
      </c>
      <c r="P2425" s="25" t="s">
        <v>8988</v>
      </c>
      <c r="Q2425" s="25">
        <v>1457</v>
      </c>
      <c r="R2425" t="s">
        <v>436</v>
      </c>
    </row>
    <row r="2426" spans="1:18" s="13" customFormat="1" hidden="1">
      <c r="A2426" s="23" t="s">
        <v>4842</v>
      </c>
      <c r="B2426" s="23" t="s">
        <v>4843</v>
      </c>
      <c r="C2426" s="23">
        <v>2340</v>
      </c>
      <c r="G2426"/>
      <c r="I2426" s="14" t="str">
        <f>+IFERROR(VLOOKUP(C2426,'Mov 2023 hasta ahora '!$C$2:$D$314,2,FALSE),"NO")</f>
        <v>NO</v>
      </c>
      <c r="K2426">
        <v>6</v>
      </c>
      <c r="L2426" t="s">
        <v>836</v>
      </c>
      <c r="M2426">
        <v>24</v>
      </c>
      <c r="O2426" s="29" t="s">
        <v>8810</v>
      </c>
      <c r="P2426" s="25" t="s">
        <v>8989</v>
      </c>
      <c r="Q2426" s="25">
        <v>1465</v>
      </c>
      <c r="R2426" t="s">
        <v>436</v>
      </c>
    </row>
    <row r="2427" spans="1:18" s="13" customFormat="1" hidden="1">
      <c r="A2427" s="23" t="s">
        <v>4844</v>
      </c>
      <c r="B2427" s="23" t="s">
        <v>4845</v>
      </c>
      <c r="C2427" s="23">
        <v>2341</v>
      </c>
      <c r="G2427"/>
      <c r="I2427" s="14" t="str">
        <f>+IFERROR(VLOOKUP(C2427,'Mov 2023 hasta ahora '!$C$2:$D$314,2,FALSE),"NO")</f>
        <v>NO</v>
      </c>
      <c r="K2427">
        <v>6</v>
      </c>
      <c r="L2427" t="s">
        <v>836</v>
      </c>
      <c r="M2427">
        <v>24</v>
      </c>
      <c r="O2427" s="29" t="s">
        <v>8831</v>
      </c>
      <c r="P2427" s="25" t="s">
        <v>8990</v>
      </c>
      <c r="Q2427" s="25">
        <v>1834</v>
      </c>
      <c r="R2427" t="s">
        <v>436</v>
      </c>
    </row>
    <row r="2428" spans="1:18" hidden="1">
      <c r="A2428" t="s">
        <v>4846</v>
      </c>
      <c r="B2428" t="s">
        <v>4847</v>
      </c>
      <c r="I2428" s="3" t="str">
        <f>+IFERROR(VLOOKUP(C2428,'Mov 2023 hasta ahora '!$C$2:$D$314,2,FALSE),"NO")</f>
        <v>NO</v>
      </c>
      <c r="K2428">
        <v>4</v>
      </c>
      <c r="L2428" t="s">
        <v>836</v>
      </c>
      <c r="M2428">
        <v>14</v>
      </c>
    </row>
    <row r="2429" spans="1:18" hidden="1">
      <c r="A2429" t="s">
        <v>4848</v>
      </c>
      <c r="B2429" t="s">
        <v>4849</v>
      </c>
      <c r="I2429" s="3" t="str">
        <f>+IFERROR(VLOOKUP(C2429,'Mov 2023 hasta ahora '!$C$2:$D$314,2,FALSE),"NO")</f>
        <v>NO</v>
      </c>
      <c r="K2429">
        <v>5</v>
      </c>
      <c r="L2429" t="s">
        <v>836</v>
      </c>
      <c r="M2429">
        <v>18</v>
      </c>
    </row>
    <row r="2430" spans="1:18" hidden="1">
      <c r="A2430" s="23" t="s">
        <v>4850</v>
      </c>
      <c r="B2430" s="23" t="s">
        <v>4851</v>
      </c>
      <c r="C2430" s="23">
        <v>2342</v>
      </c>
      <c r="I2430" s="3" t="str">
        <f>+IFERROR(VLOOKUP(C2430,'Mov 2023 hasta ahora '!$C$2:$D$314,2,FALSE),"NO")</f>
        <v>NO</v>
      </c>
      <c r="K2430">
        <v>6</v>
      </c>
      <c r="L2430" t="s">
        <v>836</v>
      </c>
      <c r="M2430">
        <v>24</v>
      </c>
      <c r="O2430" s="29" t="s">
        <v>8861</v>
      </c>
      <c r="P2430" s="25" t="s">
        <v>8868</v>
      </c>
      <c r="Q2430" s="25">
        <v>1419</v>
      </c>
      <c r="R2430" t="s">
        <v>436</v>
      </c>
    </row>
    <row r="2431" spans="1:18" hidden="1">
      <c r="A2431" t="s">
        <v>4852</v>
      </c>
      <c r="B2431" t="s">
        <v>4853</v>
      </c>
      <c r="I2431" s="3" t="str">
        <f>+IFERROR(VLOOKUP(C2431,'Mov 2023 hasta ahora '!$C$2:$D$314,2,FALSE),"NO")</f>
        <v>NO</v>
      </c>
      <c r="K2431">
        <v>5</v>
      </c>
      <c r="L2431" t="s">
        <v>836</v>
      </c>
      <c r="M2431">
        <v>18</v>
      </c>
    </row>
    <row r="2432" spans="1:18" hidden="1">
      <c r="A2432" s="23" t="s">
        <v>4854</v>
      </c>
      <c r="B2432" s="23" t="s">
        <v>4855</v>
      </c>
      <c r="C2432" s="23">
        <v>2343</v>
      </c>
      <c r="I2432" s="3" t="str">
        <f>+IFERROR(VLOOKUP(C2432,'Mov 2023 hasta ahora '!$C$2:$D$314,2,FALSE),"NO")</f>
        <v>NO</v>
      </c>
      <c r="K2432">
        <v>6</v>
      </c>
      <c r="L2432" t="s">
        <v>836</v>
      </c>
      <c r="M2432">
        <v>24</v>
      </c>
      <c r="O2432" s="29" t="s">
        <v>9049</v>
      </c>
      <c r="P2432" s="25" t="s">
        <v>9050</v>
      </c>
      <c r="Q2432" s="25">
        <v>1363</v>
      </c>
      <c r="R2432" t="s">
        <v>436</v>
      </c>
    </row>
    <row r="2433" spans="1:18" hidden="1">
      <c r="A2433" s="23" t="s">
        <v>4856</v>
      </c>
      <c r="B2433" s="23" t="s">
        <v>4857</v>
      </c>
      <c r="C2433" s="23">
        <v>2344</v>
      </c>
      <c r="I2433" s="3" t="str">
        <f>+IFERROR(VLOOKUP(C2433,'Mov 2023 hasta ahora '!$C$2:$D$314,2,FALSE),"NO")</f>
        <v>NO</v>
      </c>
      <c r="K2433">
        <v>6</v>
      </c>
      <c r="L2433" t="s">
        <v>836</v>
      </c>
      <c r="M2433">
        <v>24</v>
      </c>
      <c r="O2433" s="29" t="s">
        <v>9014</v>
      </c>
      <c r="P2433" s="25" t="s">
        <v>8890</v>
      </c>
      <c r="Q2433" s="25">
        <v>1244</v>
      </c>
      <c r="R2433" t="s">
        <v>436</v>
      </c>
    </row>
    <row r="2434" spans="1:18" hidden="1">
      <c r="A2434" s="23" t="s">
        <v>4858</v>
      </c>
      <c r="B2434" s="23" t="s">
        <v>4859</v>
      </c>
      <c r="C2434" s="23">
        <v>2345</v>
      </c>
      <c r="I2434" s="3" t="str">
        <f>+IFERROR(VLOOKUP(C2434,'Mov 2023 hasta ahora '!$C$2:$D$314,2,FALSE),"NO")</f>
        <v>NO</v>
      </c>
      <c r="K2434">
        <v>6</v>
      </c>
      <c r="L2434" t="s">
        <v>836</v>
      </c>
      <c r="M2434">
        <v>24</v>
      </c>
      <c r="O2434" s="29" t="s">
        <v>9030</v>
      </c>
      <c r="P2434" s="25" t="s">
        <v>9029</v>
      </c>
      <c r="Q2434" s="25">
        <v>3817</v>
      </c>
      <c r="R2434" t="s">
        <v>436</v>
      </c>
    </row>
    <row r="2435" spans="1:18" s="13" customFormat="1" hidden="1">
      <c r="A2435" s="23" t="s">
        <v>4860</v>
      </c>
      <c r="B2435" s="23" t="s">
        <v>4861</v>
      </c>
      <c r="C2435" s="23">
        <v>2346</v>
      </c>
      <c r="G2435"/>
      <c r="I2435" s="14" t="str">
        <f>+IFERROR(VLOOKUP(C2435,'Mov 2023 hasta ahora '!$C$2:$D$314,2,FALSE),"NO")</f>
        <v>NO</v>
      </c>
      <c r="K2435">
        <v>6</v>
      </c>
      <c r="L2435" t="s">
        <v>836</v>
      </c>
      <c r="M2435">
        <v>24</v>
      </c>
      <c r="O2435" s="29" t="s">
        <v>8825</v>
      </c>
      <c r="P2435" s="25" t="s">
        <v>8832</v>
      </c>
      <c r="Q2435" s="25">
        <v>3601</v>
      </c>
      <c r="R2435" t="s">
        <v>436</v>
      </c>
    </row>
    <row r="2436" spans="1:18" s="13" customFormat="1" hidden="1">
      <c r="A2436" s="23" t="s">
        <v>4862</v>
      </c>
      <c r="B2436" s="23" t="s">
        <v>4863</v>
      </c>
      <c r="C2436" s="23">
        <v>2347</v>
      </c>
      <c r="G2436"/>
      <c r="I2436" s="14" t="str">
        <f>+IFERROR(VLOOKUP(C2436,'Mov 2023 hasta ahora '!$C$2:$D$314,2,FALSE),"NO")</f>
        <v>NO</v>
      </c>
      <c r="K2436">
        <v>6</v>
      </c>
      <c r="L2436" t="s">
        <v>836</v>
      </c>
      <c r="M2436">
        <v>24</v>
      </c>
      <c r="O2436" s="29" t="s">
        <v>8992</v>
      </c>
      <c r="P2436" s="25" t="s">
        <v>8836</v>
      </c>
      <c r="Q2436" s="25">
        <v>3603</v>
      </c>
      <c r="R2436" t="s">
        <v>436</v>
      </c>
    </row>
    <row r="2437" spans="1:18" hidden="1">
      <c r="A2437" t="s">
        <v>4864</v>
      </c>
      <c r="B2437" t="s">
        <v>1439</v>
      </c>
      <c r="I2437" s="3" t="str">
        <f>+IFERROR(VLOOKUP(C2437,'Mov 2023 hasta ahora '!$C$2:$D$314,2,FALSE),"NO")</f>
        <v>NO</v>
      </c>
      <c r="K2437">
        <v>3</v>
      </c>
      <c r="L2437" t="s">
        <v>836</v>
      </c>
      <c r="M2437">
        <v>10</v>
      </c>
    </row>
    <row r="2438" spans="1:18" hidden="1">
      <c r="A2438" t="s">
        <v>4865</v>
      </c>
      <c r="B2438" t="s">
        <v>4866</v>
      </c>
      <c r="I2438" s="3" t="str">
        <f>+IFERROR(VLOOKUP(C2438,'Mov 2023 hasta ahora '!$C$2:$D$314,2,FALSE),"NO")</f>
        <v>NO</v>
      </c>
      <c r="K2438">
        <v>4</v>
      </c>
      <c r="L2438" t="s">
        <v>836</v>
      </c>
      <c r="M2438">
        <v>14</v>
      </c>
    </row>
    <row r="2439" spans="1:18" hidden="1">
      <c r="A2439" t="s">
        <v>4867</v>
      </c>
      <c r="B2439" t="s">
        <v>4868</v>
      </c>
      <c r="I2439" s="3" t="str">
        <f>+IFERROR(VLOOKUP(C2439,'Mov 2023 hasta ahora '!$C$2:$D$314,2,FALSE),"NO")</f>
        <v>NO</v>
      </c>
      <c r="K2439">
        <v>5</v>
      </c>
      <c r="L2439" t="s">
        <v>836</v>
      </c>
      <c r="M2439">
        <v>18</v>
      </c>
    </row>
    <row r="2440" spans="1:18" s="13" customFormat="1" hidden="1">
      <c r="A2440" s="23" t="s">
        <v>4869</v>
      </c>
      <c r="B2440" s="23" t="s">
        <v>4870</v>
      </c>
      <c r="C2440" s="23">
        <v>2373</v>
      </c>
      <c r="G2440"/>
      <c r="I2440" s="14" t="str">
        <f>+IFERROR(VLOOKUP(C2440,'Mov 2023 hasta ahora '!$C$2:$D$314,2,FALSE),"NO")</f>
        <v>NO</v>
      </c>
      <c r="K2440">
        <v>6</v>
      </c>
      <c r="L2440" t="s">
        <v>836</v>
      </c>
      <c r="M2440">
        <v>24</v>
      </c>
      <c r="O2440" s="29" t="s">
        <v>8857</v>
      </c>
      <c r="P2440" s="25" t="s">
        <v>8980</v>
      </c>
      <c r="Q2440" s="25">
        <v>2178</v>
      </c>
      <c r="R2440" t="s">
        <v>436</v>
      </c>
    </row>
    <row r="2441" spans="1:18" s="13" customFormat="1" hidden="1">
      <c r="A2441" s="23" t="s">
        <v>4871</v>
      </c>
      <c r="B2441" s="23" t="s">
        <v>4872</v>
      </c>
      <c r="C2441" s="23">
        <v>2393</v>
      </c>
      <c r="G2441"/>
      <c r="I2441" s="14" t="str">
        <f>+IFERROR(VLOOKUP(C2441,'Mov 2023 hasta ahora '!$C$2:$D$314,2,FALSE),"NO")</f>
        <v>NO</v>
      </c>
      <c r="K2441">
        <v>6</v>
      </c>
      <c r="L2441" t="s">
        <v>836</v>
      </c>
      <c r="M2441">
        <v>24</v>
      </c>
      <c r="O2441" s="29" t="s">
        <v>8846</v>
      </c>
      <c r="P2441" s="25" t="s">
        <v>8981</v>
      </c>
      <c r="Q2441" s="25">
        <v>2179</v>
      </c>
      <c r="R2441" t="s">
        <v>436</v>
      </c>
    </row>
    <row r="2442" spans="1:18" s="13" customFormat="1" hidden="1">
      <c r="A2442" s="23" t="s">
        <v>4873</v>
      </c>
      <c r="B2442" s="23" t="s">
        <v>4874</v>
      </c>
      <c r="C2442" s="23">
        <v>2374</v>
      </c>
      <c r="G2442"/>
      <c r="I2442" s="14" t="str">
        <f>+IFERROR(VLOOKUP(C2442,'Mov 2023 hasta ahora '!$C$2:$D$314,2,FALSE),"NO")</f>
        <v>NO</v>
      </c>
      <c r="K2442">
        <v>6</v>
      </c>
      <c r="L2442" t="s">
        <v>836</v>
      </c>
      <c r="M2442">
        <v>24</v>
      </c>
      <c r="O2442" s="29" t="s">
        <v>8746</v>
      </c>
      <c r="P2442" s="25" t="s">
        <v>9054</v>
      </c>
      <c r="Q2442" s="25">
        <v>185</v>
      </c>
      <c r="R2442" t="s">
        <v>436</v>
      </c>
    </row>
    <row r="2443" spans="1:18" s="13" customFormat="1" hidden="1">
      <c r="A2443" s="23" t="s">
        <v>4875</v>
      </c>
      <c r="B2443" s="23" t="s">
        <v>4876</v>
      </c>
      <c r="C2443" s="23">
        <v>2375</v>
      </c>
      <c r="G2443"/>
      <c r="I2443" s="14" t="str">
        <f>+IFERROR(VLOOKUP(C2443,'Mov 2023 hasta ahora '!$C$2:$D$314,2,FALSE),"NO")</f>
        <v>NO</v>
      </c>
      <c r="K2443">
        <v>6</v>
      </c>
      <c r="L2443" t="s">
        <v>836</v>
      </c>
      <c r="M2443">
        <v>24</v>
      </c>
      <c r="O2443" s="29" t="s">
        <v>9013</v>
      </c>
      <c r="P2443" s="25" t="s">
        <v>8756</v>
      </c>
      <c r="Q2443" s="25">
        <v>212</v>
      </c>
      <c r="R2443" t="s">
        <v>436</v>
      </c>
    </row>
    <row r="2444" spans="1:18" s="13" customFormat="1" hidden="1">
      <c r="A2444" s="23" t="s">
        <v>4877</v>
      </c>
      <c r="B2444" s="23" t="s">
        <v>4878</v>
      </c>
      <c r="C2444" s="23">
        <v>2371</v>
      </c>
      <c r="G2444"/>
      <c r="I2444" s="14" t="str">
        <f>+IFERROR(VLOOKUP(C2444,'Mov 2023 hasta ahora '!$C$2:$D$314,2,FALSE),"NO")</f>
        <v>NO</v>
      </c>
      <c r="K2444">
        <v>6</v>
      </c>
      <c r="L2444" t="s">
        <v>836</v>
      </c>
      <c r="M2444">
        <v>24</v>
      </c>
      <c r="O2444" s="29" t="s">
        <v>8794</v>
      </c>
      <c r="P2444" s="25" t="s">
        <v>8982</v>
      </c>
      <c r="Q2444" s="25">
        <v>1441</v>
      </c>
      <c r="R2444" t="s">
        <v>436</v>
      </c>
    </row>
    <row r="2445" spans="1:18" s="13" customFormat="1" hidden="1">
      <c r="A2445" s="23" t="s">
        <v>4879</v>
      </c>
      <c r="B2445" s="23" t="s">
        <v>4880</v>
      </c>
      <c r="C2445" s="23">
        <v>2372</v>
      </c>
      <c r="G2445"/>
      <c r="I2445" s="14" t="str">
        <f>+IFERROR(VLOOKUP(C2445,'Mov 2023 hasta ahora '!$C$2:$D$314,2,FALSE),"NO")</f>
        <v>NO</v>
      </c>
      <c r="K2445">
        <v>6</v>
      </c>
      <c r="L2445" t="s">
        <v>836</v>
      </c>
      <c r="M2445">
        <v>24</v>
      </c>
      <c r="O2445" s="29" t="s">
        <v>8809</v>
      </c>
      <c r="P2445" s="25" t="s">
        <v>8983</v>
      </c>
      <c r="Q2445" s="25">
        <v>1448</v>
      </c>
      <c r="R2445" t="s">
        <v>436</v>
      </c>
    </row>
    <row r="2446" spans="1:18" hidden="1">
      <c r="A2446" t="s">
        <v>4881</v>
      </c>
      <c r="B2446" t="s">
        <v>4882</v>
      </c>
      <c r="I2446" s="3" t="str">
        <f>+IFERROR(VLOOKUP(C2446,'Mov 2023 hasta ahora '!$C$2:$D$314,2,FALSE),"NO")</f>
        <v>NO</v>
      </c>
      <c r="K2446">
        <v>4</v>
      </c>
      <c r="L2446" t="s">
        <v>836</v>
      </c>
      <c r="M2446">
        <v>14</v>
      </c>
    </row>
    <row r="2447" spans="1:18" hidden="1">
      <c r="A2447" t="s">
        <v>4883</v>
      </c>
      <c r="B2447" t="s">
        <v>4884</v>
      </c>
      <c r="I2447" s="3" t="str">
        <f>+IFERROR(VLOOKUP(C2447,'Mov 2023 hasta ahora '!$C$2:$D$314,2,FALSE),"NO")</f>
        <v>NO</v>
      </c>
      <c r="K2447">
        <v>5</v>
      </c>
      <c r="L2447" t="s">
        <v>836</v>
      </c>
      <c r="M2447">
        <v>18</v>
      </c>
    </row>
    <row r="2448" spans="1:18" s="13" customFormat="1" hidden="1">
      <c r="A2448" s="23" t="s">
        <v>4885</v>
      </c>
      <c r="B2448" s="23" t="s">
        <v>4886</v>
      </c>
      <c r="C2448" s="23">
        <v>2378</v>
      </c>
      <c r="G2448"/>
      <c r="I2448" s="14" t="str">
        <f>+IFERROR(VLOOKUP(C2448,'Mov 2023 hasta ahora '!$C$2:$D$314,2,FALSE),"NO")</f>
        <v>NO</v>
      </c>
      <c r="K2448">
        <v>6</v>
      </c>
      <c r="L2448" t="s">
        <v>836</v>
      </c>
      <c r="M2448">
        <v>24</v>
      </c>
      <c r="O2448" s="29" t="s">
        <v>8867</v>
      </c>
      <c r="P2448" s="25" t="s">
        <v>8987</v>
      </c>
      <c r="Q2448" s="25">
        <v>456</v>
      </c>
      <c r="R2448" t="s">
        <v>436</v>
      </c>
    </row>
    <row r="2449" spans="1:18" s="13" customFormat="1" hidden="1">
      <c r="A2449" s="23" t="s">
        <v>4887</v>
      </c>
      <c r="B2449" s="23" t="s">
        <v>4888</v>
      </c>
      <c r="C2449" s="23">
        <v>2394</v>
      </c>
      <c r="G2449"/>
      <c r="I2449" s="14" t="str">
        <f>+IFERROR(VLOOKUP(C2449,'Mov 2023 hasta ahora '!$C$2:$D$314,2,FALSE),"NO")</f>
        <v>NO</v>
      </c>
      <c r="K2449">
        <v>6</v>
      </c>
      <c r="L2449" t="s">
        <v>836</v>
      </c>
      <c r="M2449">
        <v>24</v>
      </c>
      <c r="O2449" s="29" t="s">
        <v>8853</v>
      </c>
      <c r="P2449" s="25" t="s">
        <v>8986</v>
      </c>
      <c r="Q2449" s="25">
        <v>366</v>
      </c>
      <c r="R2449" t="s">
        <v>436</v>
      </c>
    </row>
    <row r="2450" spans="1:18" hidden="1">
      <c r="A2450" s="23" t="s">
        <v>4889</v>
      </c>
      <c r="B2450" s="23" t="s">
        <v>4890</v>
      </c>
      <c r="C2450" s="23">
        <v>2379</v>
      </c>
      <c r="I2450" s="3" t="str">
        <f>+IFERROR(VLOOKUP(C2450,'Mov 2023 hasta ahora '!$C$2:$D$314,2,FALSE),"NO")</f>
        <v>NO</v>
      </c>
      <c r="K2450">
        <v>6</v>
      </c>
      <c r="L2450" t="s">
        <v>836</v>
      </c>
      <c r="M2450">
        <v>24</v>
      </c>
      <c r="O2450" s="29" t="s">
        <v>8746</v>
      </c>
      <c r="P2450" s="25" t="s">
        <v>9054</v>
      </c>
      <c r="Q2450" s="25">
        <v>185</v>
      </c>
      <c r="R2450" t="s">
        <v>436</v>
      </c>
    </row>
    <row r="2451" spans="1:18" hidden="1">
      <c r="A2451" s="23" t="s">
        <v>4891</v>
      </c>
      <c r="B2451" s="23" t="s">
        <v>4892</v>
      </c>
      <c r="C2451" s="23">
        <v>2380</v>
      </c>
      <c r="I2451" s="3" t="str">
        <f>+IFERROR(VLOOKUP(C2451,'Mov 2023 hasta ahora '!$C$2:$D$314,2,FALSE),"NO")</f>
        <v>NO</v>
      </c>
      <c r="K2451">
        <v>6</v>
      </c>
      <c r="L2451" t="s">
        <v>836</v>
      </c>
      <c r="M2451">
        <v>24</v>
      </c>
      <c r="O2451" s="29" t="s">
        <v>9013</v>
      </c>
      <c r="P2451" s="25" t="s">
        <v>8756</v>
      </c>
      <c r="Q2451" s="25">
        <v>212</v>
      </c>
      <c r="R2451" t="s">
        <v>436</v>
      </c>
    </row>
    <row r="2452" spans="1:18" s="13" customFormat="1" hidden="1">
      <c r="A2452" s="23" t="s">
        <v>4893</v>
      </c>
      <c r="B2452" s="23" t="s">
        <v>4894</v>
      </c>
      <c r="C2452" s="23">
        <v>2376</v>
      </c>
      <c r="G2452"/>
      <c r="I2452" s="14" t="str">
        <f>+IFERROR(VLOOKUP(C2452,'Mov 2023 hasta ahora '!$C$2:$D$314,2,FALSE),"NO")</f>
        <v>NO</v>
      </c>
      <c r="K2452">
        <v>6</v>
      </c>
      <c r="L2452" t="s">
        <v>836</v>
      </c>
      <c r="M2452">
        <v>24</v>
      </c>
      <c r="O2452" s="29" t="s">
        <v>8800</v>
      </c>
      <c r="P2452" s="25" t="s">
        <v>8988</v>
      </c>
      <c r="Q2452" s="25">
        <v>1457</v>
      </c>
      <c r="R2452" t="s">
        <v>436</v>
      </c>
    </row>
    <row r="2453" spans="1:18" s="13" customFormat="1" hidden="1">
      <c r="A2453" s="23" t="s">
        <v>4895</v>
      </c>
      <c r="B2453" s="23" t="s">
        <v>4896</v>
      </c>
      <c r="C2453" s="23">
        <v>2377</v>
      </c>
      <c r="G2453"/>
      <c r="I2453" s="14" t="str">
        <f>+IFERROR(VLOOKUP(C2453,'Mov 2023 hasta ahora '!$C$2:$D$314,2,FALSE),"NO")</f>
        <v>NO</v>
      </c>
      <c r="K2453">
        <v>6</v>
      </c>
      <c r="L2453" t="s">
        <v>836</v>
      </c>
      <c r="M2453">
        <v>24</v>
      </c>
      <c r="O2453" s="29" t="s">
        <v>8810</v>
      </c>
      <c r="P2453" s="25" t="s">
        <v>8989</v>
      </c>
      <c r="Q2453" s="25">
        <v>1465</v>
      </c>
      <c r="R2453" t="s">
        <v>436</v>
      </c>
    </row>
    <row r="2454" spans="1:18" hidden="1">
      <c r="A2454" t="s">
        <v>4897</v>
      </c>
      <c r="B2454" t="s">
        <v>4898</v>
      </c>
      <c r="I2454" s="3" t="str">
        <f>+IFERROR(VLOOKUP(C2454,'Mov 2023 hasta ahora '!$C$2:$D$314,2,FALSE),"NO")</f>
        <v>NO</v>
      </c>
      <c r="K2454">
        <v>4</v>
      </c>
      <c r="L2454" t="s">
        <v>836</v>
      </c>
      <c r="M2454">
        <v>14</v>
      </c>
    </row>
    <row r="2455" spans="1:18" hidden="1">
      <c r="A2455" t="s">
        <v>4899</v>
      </c>
      <c r="B2455" t="s">
        <v>4900</v>
      </c>
      <c r="I2455" s="3" t="str">
        <f>+IFERROR(VLOOKUP(C2455,'Mov 2023 hasta ahora '!$C$2:$D$314,2,FALSE),"NO")</f>
        <v>NO</v>
      </c>
      <c r="K2455">
        <v>5</v>
      </c>
      <c r="L2455" t="s">
        <v>836</v>
      </c>
      <c r="M2455">
        <v>18</v>
      </c>
    </row>
    <row r="2456" spans="1:18" s="13" customFormat="1" hidden="1">
      <c r="A2456" s="23" t="s">
        <v>4901</v>
      </c>
      <c r="B2456" s="23" t="s">
        <v>4902</v>
      </c>
      <c r="C2456" s="23">
        <v>2389</v>
      </c>
      <c r="G2456"/>
      <c r="I2456" s="14" t="str">
        <f>+IFERROR(VLOOKUP(C2456,'Mov 2023 hasta ahora '!$C$2:$D$314,2,FALSE),"NO")</f>
        <v>NO</v>
      </c>
      <c r="K2456">
        <v>6</v>
      </c>
      <c r="L2456" t="s">
        <v>836</v>
      </c>
      <c r="M2456">
        <v>24</v>
      </c>
      <c r="O2456" s="29" t="s">
        <v>9009</v>
      </c>
      <c r="P2456" s="25" t="s">
        <v>9005</v>
      </c>
      <c r="Q2456" s="25">
        <v>1024</v>
      </c>
      <c r="R2456" t="s">
        <v>436</v>
      </c>
    </row>
    <row r="2457" spans="1:18" s="13" customFormat="1" hidden="1">
      <c r="A2457" s="23" t="s">
        <v>4903</v>
      </c>
      <c r="B2457" s="23" t="s">
        <v>4904</v>
      </c>
      <c r="C2457" s="23">
        <v>2390</v>
      </c>
      <c r="G2457"/>
      <c r="I2457" s="14" t="str">
        <f>+IFERROR(VLOOKUP(C2457,'Mov 2023 hasta ahora '!$C$2:$D$314,2,FALSE),"NO")</f>
        <v>NO</v>
      </c>
      <c r="K2457">
        <v>6</v>
      </c>
      <c r="L2457" t="s">
        <v>836</v>
      </c>
      <c r="M2457">
        <v>24</v>
      </c>
      <c r="O2457" s="29" t="s">
        <v>9010</v>
      </c>
      <c r="P2457" s="25" t="s">
        <v>9006</v>
      </c>
      <c r="Q2457" s="25">
        <v>1042</v>
      </c>
      <c r="R2457" t="s">
        <v>436</v>
      </c>
    </row>
    <row r="2458" spans="1:18" s="13" customFormat="1" hidden="1">
      <c r="A2458" s="23" t="s">
        <v>4905</v>
      </c>
      <c r="B2458" s="23" t="s">
        <v>4906</v>
      </c>
      <c r="C2458" s="23">
        <v>2387</v>
      </c>
      <c r="G2458"/>
      <c r="I2458" s="14" t="str">
        <f>+IFERROR(VLOOKUP(C2458,'Mov 2023 hasta ahora '!$C$2:$D$314,2,FALSE),"NO")</f>
        <v>NO</v>
      </c>
      <c r="K2458">
        <v>6</v>
      </c>
      <c r="L2458" t="s">
        <v>836</v>
      </c>
      <c r="M2458">
        <v>24</v>
      </c>
      <c r="O2458" s="29" t="s">
        <v>9011</v>
      </c>
      <c r="P2458" s="25" t="s">
        <v>9007</v>
      </c>
      <c r="Q2458" s="25">
        <v>2243</v>
      </c>
      <c r="R2458" t="s">
        <v>436</v>
      </c>
    </row>
    <row r="2459" spans="1:18" s="13" customFormat="1" hidden="1">
      <c r="A2459" s="23" t="s">
        <v>4907</v>
      </c>
      <c r="B2459" s="23" t="s">
        <v>4908</v>
      </c>
      <c r="C2459" s="23">
        <v>2388</v>
      </c>
      <c r="G2459"/>
      <c r="I2459" s="14" t="str">
        <f>+IFERROR(VLOOKUP(C2459,'Mov 2023 hasta ahora '!$C$2:$D$314,2,FALSE),"NO")</f>
        <v>NO</v>
      </c>
      <c r="K2459">
        <v>6</v>
      </c>
      <c r="L2459" t="s">
        <v>836</v>
      </c>
      <c r="M2459">
        <v>24</v>
      </c>
      <c r="O2459" s="29" t="s">
        <v>9012</v>
      </c>
      <c r="P2459" s="25" t="s">
        <v>9008</v>
      </c>
      <c r="Q2459" s="25">
        <v>2244</v>
      </c>
      <c r="R2459" t="s">
        <v>436</v>
      </c>
    </row>
    <row r="2460" spans="1:18" hidden="1">
      <c r="A2460" t="s">
        <v>4909</v>
      </c>
      <c r="B2460" t="s">
        <v>4910</v>
      </c>
      <c r="I2460" s="3" t="str">
        <f>+IFERROR(VLOOKUP(C2460,'Mov 2023 hasta ahora '!$C$2:$D$314,2,FALSE),"NO")</f>
        <v>NO</v>
      </c>
      <c r="K2460">
        <v>4</v>
      </c>
      <c r="L2460" t="s">
        <v>836</v>
      </c>
      <c r="M2460">
        <v>14</v>
      </c>
    </row>
    <row r="2461" spans="1:18" hidden="1">
      <c r="A2461" t="s">
        <v>4911</v>
      </c>
      <c r="B2461" t="s">
        <v>4912</v>
      </c>
      <c r="I2461" s="3" t="str">
        <f>+IFERROR(VLOOKUP(C2461,'Mov 2023 hasta ahora '!$C$2:$D$314,2,FALSE),"NO")</f>
        <v>NO</v>
      </c>
      <c r="K2461">
        <v>5</v>
      </c>
      <c r="L2461" t="s">
        <v>836</v>
      </c>
      <c r="M2461">
        <v>18</v>
      </c>
    </row>
    <row r="2462" spans="1:18" hidden="1">
      <c r="A2462" s="23" t="s">
        <v>4913</v>
      </c>
      <c r="B2462" s="23" t="s">
        <v>4914</v>
      </c>
      <c r="C2462" s="23">
        <v>2381</v>
      </c>
      <c r="I2462" s="3" t="str">
        <f>+IFERROR(VLOOKUP(C2462,'Mov 2023 hasta ahora '!$C$2:$D$314,2,FALSE),"NO")</f>
        <v>NO</v>
      </c>
      <c r="K2462">
        <v>6</v>
      </c>
      <c r="L2462" t="s">
        <v>836</v>
      </c>
      <c r="M2462">
        <v>24</v>
      </c>
      <c r="O2462" s="29" t="s">
        <v>8861</v>
      </c>
      <c r="P2462" s="25" t="s">
        <v>8868</v>
      </c>
      <c r="Q2462" s="25">
        <v>1419</v>
      </c>
      <c r="R2462" t="s">
        <v>436</v>
      </c>
    </row>
    <row r="2463" spans="1:18" hidden="1">
      <c r="A2463" t="s">
        <v>4915</v>
      </c>
      <c r="B2463" t="s">
        <v>4916</v>
      </c>
      <c r="I2463" s="3" t="str">
        <f>+IFERROR(VLOOKUP(C2463,'Mov 2023 hasta ahora '!$C$2:$D$314,2,FALSE),"NO")</f>
        <v>NO</v>
      </c>
      <c r="K2463">
        <v>5</v>
      </c>
      <c r="L2463" t="s">
        <v>836</v>
      </c>
      <c r="M2463">
        <v>18</v>
      </c>
    </row>
    <row r="2464" spans="1:18" hidden="1">
      <c r="A2464" s="23" t="s">
        <v>4917</v>
      </c>
      <c r="B2464" s="23" t="s">
        <v>4918</v>
      </c>
      <c r="C2464" s="23">
        <v>2382</v>
      </c>
      <c r="I2464" s="3" t="str">
        <f>+IFERROR(VLOOKUP(C2464,'Mov 2023 hasta ahora '!$C$2:$D$314,2,FALSE),"NO")</f>
        <v>NO</v>
      </c>
      <c r="K2464">
        <v>6</v>
      </c>
      <c r="L2464" t="s">
        <v>836</v>
      </c>
      <c r="M2464">
        <v>24</v>
      </c>
      <c r="O2464" s="29" t="s">
        <v>9049</v>
      </c>
      <c r="P2464" s="25" t="s">
        <v>9050</v>
      </c>
      <c r="Q2464" s="25">
        <v>1363</v>
      </c>
      <c r="R2464" t="s">
        <v>436</v>
      </c>
    </row>
    <row r="2465" spans="1:18" hidden="1">
      <c r="A2465" s="23" t="s">
        <v>4919</v>
      </c>
      <c r="B2465" s="23" t="s">
        <v>4920</v>
      </c>
      <c r="C2465" s="23">
        <v>2383</v>
      </c>
      <c r="I2465" s="3" t="str">
        <f>+IFERROR(VLOOKUP(C2465,'Mov 2023 hasta ahora '!$C$2:$D$314,2,FALSE),"NO")</f>
        <v>NO</v>
      </c>
      <c r="K2465">
        <v>6</v>
      </c>
      <c r="L2465" t="s">
        <v>836</v>
      </c>
      <c r="M2465">
        <v>24</v>
      </c>
      <c r="O2465" s="29" t="s">
        <v>9014</v>
      </c>
      <c r="P2465" s="25" t="s">
        <v>8890</v>
      </c>
      <c r="Q2465" s="25">
        <v>1244</v>
      </c>
      <c r="R2465" t="s">
        <v>436</v>
      </c>
    </row>
    <row r="2466" spans="1:18" hidden="1">
      <c r="A2466" s="23" t="s">
        <v>4921</v>
      </c>
      <c r="B2466" s="23" t="s">
        <v>4922</v>
      </c>
      <c r="C2466" s="23">
        <v>2384</v>
      </c>
      <c r="I2466" s="3" t="str">
        <f>+IFERROR(VLOOKUP(C2466,'Mov 2023 hasta ahora '!$C$2:$D$314,2,FALSE),"NO")</f>
        <v>NO</v>
      </c>
      <c r="K2466">
        <v>6</v>
      </c>
      <c r="L2466" t="s">
        <v>836</v>
      </c>
      <c r="M2466">
        <v>24</v>
      </c>
      <c r="O2466" s="29" t="s">
        <v>9030</v>
      </c>
      <c r="P2466" s="25" t="s">
        <v>9029</v>
      </c>
      <c r="Q2466" s="25">
        <v>3817</v>
      </c>
      <c r="R2466" t="s">
        <v>436</v>
      </c>
    </row>
    <row r="2467" spans="1:18" s="13" customFormat="1" hidden="1">
      <c r="A2467" s="23" t="s">
        <v>4923</v>
      </c>
      <c r="B2467" s="23" t="s">
        <v>4924</v>
      </c>
      <c r="C2467" s="23">
        <v>2385</v>
      </c>
      <c r="G2467"/>
      <c r="I2467" s="14" t="str">
        <f>+IFERROR(VLOOKUP(C2467,'Mov 2023 hasta ahora '!$C$2:$D$314,2,FALSE),"NO")</f>
        <v>NO</v>
      </c>
      <c r="K2467">
        <v>6</v>
      </c>
      <c r="L2467" t="s">
        <v>836</v>
      </c>
      <c r="M2467">
        <v>24</v>
      </c>
      <c r="O2467" s="29" t="s">
        <v>8825</v>
      </c>
      <c r="P2467" s="25" t="s">
        <v>8832</v>
      </c>
      <c r="Q2467" s="25">
        <v>3601</v>
      </c>
      <c r="R2467" t="s">
        <v>436</v>
      </c>
    </row>
    <row r="2468" spans="1:18" s="13" customFormat="1" hidden="1">
      <c r="A2468" s="23" t="s">
        <v>4925</v>
      </c>
      <c r="B2468" s="23" t="s">
        <v>4926</v>
      </c>
      <c r="C2468" s="23">
        <v>2386</v>
      </c>
      <c r="G2468"/>
      <c r="I2468" s="14" t="str">
        <f>+IFERROR(VLOOKUP(C2468,'Mov 2023 hasta ahora '!$C$2:$D$314,2,FALSE),"NO")</f>
        <v>NO</v>
      </c>
      <c r="K2468">
        <v>6</v>
      </c>
      <c r="L2468" t="s">
        <v>836</v>
      </c>
      <c r="M2468">
        <v>24</v>
      </c>
      <c r="O2468" s="29" t="s">
        <v>8992</v>
      </c>
      <c r="P2468" s="25" t="s">
        <v>8836</v>
      </c>
      <c r="Q2468" s="25">
        <v>3603</v>
      </c>
      <c r="R2468" t="s">
        <v>436</v>
      </c>
    </row>
    <row r="2469" spans="1:18" hidden="1">
      <c r="A2469" t="s">
        <v>4927</v>
      </c>
      <c r="B2469" t="s">
        <v>1447</v>
      </c>
      <c r="I2469" s="3" t="str">
        <f>+IFERROR(VLOOKUP(C2469,'Mov 2023 hasta ahora '!$C$2:$D$314,2,FALSE),"NO")</f>
        <v>NO</v>
      </c>
      <c r="K2469">
        <v>3</v>
      </c>
      <c r="L2469" t="s">
        <v>836</v>
      </c>
      <c r="M2469">
        <v>10</v>
      </c>
    </row>
    <row r="2470" spans="1:18" hidden="1">
      <c r="A2470" t="s">
        <v>4928</v>
      </c>
      <c r="B2470" t="s">
        <v>4929</v>
      </c>
      <c r="I2470" s="3" t="str">
        <f>+IFERROR(VLOOKUP(C2470,'Mov 2023 hasta ahora '!$C$2:$D$314,2,FALSE),"NO")</f>
        <v>NO</v>
      </c>
      <c r="K2470">
        <v>4</v>
      </c>
      <c r="L2470" t="s">
        <v>836</v>
      </c>
      <c r="M2470">
        <v>14</v>
      </c>
    </row>
    <row r="2471" spans="1:18" hidden="1">
      <c r="A2471" t="s">
        <v>4930</v>
      </c>
      <c r="B2471" t="s">
        <v>4931</v>
      </c>
      <c r="I2471" s="3" t="str">
        <f>+IFERROR(VLOOKUP(C2471,'Mov 2023 hasta ahora '!$C$2:$D$314,2,FALSE),"NO")</f>
        <v>NO</v>
      </c>
      <c r="K2471">
        <v>5</v>
      </c>
      <c r="L2471" t="s">
        <v>836</v>
      </c>
      <c r="M2471">
        <v>18</v>
      </c>
    </row>
    <row r="2472" spans="1:18" s="13" customFormat="1" hidden="1">
      <c r="A2472" s="23" t="s">
        <v>4932</v>
      </c>
      <c r="B2472" s="23" t="s">
        <v>4933</v>
      </c>
      <c r="C2472" s="23">
        <v>2353</v>
      </c>
      <c r="G2472"/>
      <c r="I2472" s="14" t="str">
        <f>+IFERROR(VLOOKUP(C2472,'Mov 2023 hasta ahora '!$C$2:$D$314,2,FALSE),"NO")</f>
        <v>NO</v>
      </c>
      <c r="K2472">
        <v>6</v>
      </c>
      <c r="L2472" t="s">
        <v>836</v>
      </c>
      <c r="M2472">
        <v>24</v>
      </c>
      <c r="O2472" s="29" t="s">
        <v>8857</v>
      </c>
      <c r="P2472" s="25" t="s">
        <v>8980</v>
      </c>
      <c r="Q2472" s="25">
        <v>2178</v>
      </c>
      <c r="R2472" t="s">
        <v>436</v>
      </c>
    </row>
    <row r="2473" spans="1:18" s="13" customFormat="1" hidden="1">
      <c r="A2473" s="23" t="s">
        <v>4934</v>
      </c>
      <c r="B2473" s="23" t="s">
        <v>4935</v>
      </c>
      <c r="C2473" s="23">
        <v>2395</v>
      </c>
      <c r="G2473"/>
      <c r="I2473" s="14" t="str">
        <f>+IFERROR(VLOOKUP(C2473,'Mov 2023 hasta ahora '!$C$2:$D$314,2,FALSE),"NO")</f>
        <v>NO</v>
      </c>
      <c r="K2473">
        <v>6</v>
      </c>
      <c r="L2473" t="s">
        <v>836</v>
      </c>
      <c r="M2473">
        <v>24</v>
      </c>
      <c r="O2473" s="29" t="s">
        <v>8846</v>
      </c>
      <c r="P2473" s="25" t="s">
        <v>8981</v>
      </c>
      <c r="Q2473" s="25">
        <v>2179</v>
      </c>
      <c r="R2473" t="s">
        <v>436</v>
      </c>
    </row>
    <row r="2474" spans="1:18" s="13" customFormat="1" hidden="1">
      <c r="A2474" s="23" t="s">
        <v>4936</v>
      </c>
      <c r="B2474" s="23" t="s">
        <v>4937</v>
      </c>
      <c r="C2474" s="23">
        <v>2354</v>
      </c>
      <c r="G2474"/>
      <c r="I2474" s="14" t="str">
        <f>+IFERROR(VLOOKUP(C2474,'Mov 2023 hasta ahora '!$C$2:$D$314,2,FALSE),"NO")</f>
        <v>NO</v>
      </c>
      <c r="K2474">
        <v>6</v>
      </c>
      <c r="L2474" t="s">
        <v>836</v>
      </c>
      <c r="M2474">
        <v>24</v>
      </c>
      <c r="O2474" s="29" t="s">
        <v>8746</v>
      </c>
      <c r="P2474" s="25" t="s">
        <v>9054</v>
      </c>
      <c r="Q2474" s="25">
        <v>185</v>
      </c>
      <c r="R2474" t="s">
        <v>436</v>
      </c>
    </row>
    <row r="2475" spans="1:18" s="13" customFormat="1" hidden="1">
      <c r="A2475" s="23" t="s">
        <v>4938</v>
      </c>
      <c r="B2475" s="23" t="s">
        <v>4939</v>
      </c>
      <c r="C2475" s="23">
        <v>2355</v>
      </c>
      <c r="G2475"/>
      <c r="I2475" s="14" t="str">
        <f>+IFERROR(VLOOKUP(C2475,'Mov 2023 hasta ahora '!$C$2:$D$314,2,FALSE),"NO")</f>
        <v>NO</v>
      </c>
      <c r="K2475">
        <v>6</v>
      </c>
      <c r="L2475" t="s">
        <v>836</v>
      </c>
      <c r="M2475">
        <v>24</v>
      </c>
      <c r="O2475" s="29" t="s">
        <v>9013</v>
      </c>
      <c r="P2475" s="25" t="s">
        <v>8756</v>
      </c>
      <c r="Q2475" s="25">
        <v>212</v>
      </c>
      <c r="R2475" t="s">
        <v>436</v>
      </c>
    </row>
    <row r="2476" spans="1:18" s="13" customFormat="1" hidden="1">
      <c r="A2476" s="23" t="s">
        <v>4940</v>
      </c>
      <c r="B2476" s="23" t="s">
        <v>4941</v>
      </c>
      <c r="C2476" s="23">
        <v>2351</v>
      </c>
      <c r="G2476"/>
      <c r="I2476" s="14" t="str">
        <f>+IFERROR(VLOOKUP(C2476,'Mov 2023 hasta ahora '!$C$2:$D$314,2,FALSE),"NO")</f>
        <v>NO</v>
      </c>
      <c r="K2476">
        <v>6</v>
      </c>
      <c r="L2476" t="s">
        <v>836</v>
      </c>
      <c r="M2476">
        <v>24</v>
      </c>
      <c r="O2476" s="29" t="s">
        <v>8794</v>
      </c>
      <c r="P2476" s="25" t="s">
        <v>8982</v>
      </c>
      <c r="Q2476" s="25">
        <v>1441</v>
      </c>
      <c r="R2476" t="s">
        <v>436</v>
      </c>
    </row>
    <row r="2477" spans="1:18" s="13" customFormat="1" hidden="1">
      <c r="A2477" s="23" t="s">
        <v>4942</v>
      </c>
      <c r="B2477" s="23" t="s">
        <v>4943</v>
      </c>
      <c r="C2477" s="23">
        <v>2352</v>
      </c>
      <c r="G2477"/>
      <c r="I2477" s="14" t="str">
        <f>+IFERROR(VLOOKUP(C2477,'Mov 2023 hasta ahora '!$C$2:$D$314,2,FALSE),"NO")</f>
        <v>NO</v>
      </c>
      <c r="K2477">
        <v>6</v>
      </c>
      <c r="L2477" t="s">
        <v>836</v>
      </c>
      <c r="M2477">
        <v>24</v>
      </c>
      <c r="O2477" s="29" t="s">
        <v>8809</v>
      </c>
      <c r="P2477" s="25" t="s">
        <v>8983</v>
      </c>
      <c r="Q2477" s="25">
        <v>1448</v>
      </c>
      <c r="R2477" t="s">
        <v>436</v>
      </c>
    </row>
    <row r="2478" spans="1:18" hidden="1">
      <c r="A2478" t="s">
        <v>4944</v>
      </c>
      <c r="B2478" t="s">
        <v>4945</v>
      </c>
      <c r="I2478" s="3" t="str">
        <f>+IFERROR(VLOOKUP(C2478,'Mov 2023 hasta ahora '!$C$2:$D$314,2,FALSE),"NO")</f>
        <v>NO</v>
      </c>
      <c r="K2478">
        <v>4</v>
      </c>
      <c r="L2478" t="s">
        <v>836</v>
      </c>
      <c r="M2478">
        <v>14</v>
      </c>
    </row>
    <row r="2479" spans="1:18" hidden="1">
      <c r="A2479" t="s">
        <v>4946</v>
      </c>
      <c r="B2479" t="s">
        <v>4947</v>
      </c>
      <c r="I2479" s="3" t="str">
        <f>+IFERROR(VLOOKUP(C2479,'Mov 2023 hasta ahora '!$C$2:$D$314,2,FALSE),"NO")</f>
        <v>NO</v>
      </c>
      <c r="K2479">
        <v>5</v>
      </c>
      <c r="L2479" t="s">
        <v>836</v>
      </c>
      <c r="M2479">
        <v>18</v>
      </c>
    </row>
    <row r="2480" spans="1:18" s="13" customFormat="1" hidden="1">
      <c r="A2480" s="23" t="s">
        <v>4948</v>
      </c>
      <c r="B2480" s="23" t="s">
        <v>4949</v>
      </c>
      <c r="C2480" s="23">
        <v>2358</v>
      </c>
      <c r="G2480"/>
      <c r="I2480" s="14" t="str">
        <f>+IFERROR(VLOOKUP(C2480,'Mov 2023 hasta ahora '!$C$2:$D$314,2,FALSE),"NO")</f>
        <v>NO</v>
      </c>
      <c r="K2480">
        <v>6</v>
      </c>
      <c r="L2480" t="s">
        <v>836</v>
      </c>
      <c r="M2480">
        <v>24</v>
      </c>
      <c r="O2480" s="29" t="s">
        <v>8867</v>
      </c>
      <c r="P2480" s="25" t="s">
        <v>8987</v>
      </c>
      <c r="Q2480" s="25">
        <v>456</v>
      </c>
      <c r="R2480" t="s">
        <v>436</v>
      </c>
    </row>
    <row r="2481" spans="1:18" s="13" customFormat="1" hidden="1">
      <c r="A2481" s="23" t="s">
        <v>4950</v>
      </c>
      <c r="B2481" s="23" t="s">
        <v>4951</v>
      </c>
      <c r="C2481" s="23">
        <v>2396</v>
      </c>
      <c r="G2481"/>
      <c r="I2481" s="14" t="str">
        <f>+IFERROR(VLOOKUP(C2481,'Mov 2023 hasta ahora '!$C$2:$D$314,2,FALSE),"NO")</f>
        <v>NO</v>
      </c>
      <c r="K2481">
        <v>6</v>
      </c>
      <c r="L2481" t="s">
        <v>836</v>
      </c>
      <c r="M2481">
        <v>24</v>
      </c>
      <c r="O2481" s="29" t="s">
        <v>8853</v>
      </c>
      <c r="P2481" s="25" t="s">
        <v>8986</v>
      </c>
      <c r="Q2481" s="25">
        <v>366</v>
      </c>
      <c r="R2481" t="s">
        <v>436</v>
      </c>
    </row>
    <row r="2482" spans="1:18" hidden="1">
      <c r="A2482" s="23" t="s">
        <v>4952</v>
      </c>
      <c r="B2482" s="23" t="s">
        <v>4953</v>
      </c>
      <c r="C2482" s="23">
        <v>2359</v>
      </c>
      <c r="I2482" s="3" t="str">
        <f>+IFERROR(VLOOKUP(C2482,'Mov 2023 hasta ahora '!$C$2:$D$314,2,FALSE),"NO")</f>
        <v>NO</v>
      </c>
      <c r="K2482">
        <v>6</v>
      </c>
      <c r="L2482" t="s">
        <v>836</v>
      </c>
      <c r="M2482">
        <v>24</v>
      </c>
      <c r="O2482" s="29" t="s">
        <v>8746</v>
      </c>
      <c r="P2482" s="25" t="s">
        <v>9054</v>
      </c>
      <c r="Q2482" s="25">
        <v>185</v>
      </c>
      <c r="R2482" t="s">
        <v>436</v>
      </c>
    </row>
    <row r="2483" spans="1:18" hidden="1">
      <c r="A2483" s="23" t="s">
        <v>4954</v>
      </c>
      <c r="B2483" s="23" t="s">
        <v>4955</v>
      </c>
      <c r="C2483" s="23">
        <v>2360</v>
      </c>
      <c r="I2483" s="3" t="str">
        <f>+IFERROR(VLOOKUP(C2483,'Mov 2023 hasta ahora '!$C$2:$D$314,2,FALSE),"NO")</f>
        <v>NO</v>
      </c>
      <c r="K2483">
        <v>6</v>
      </c>
      <c r="L2483" t="s">
        <v>836</v>
      </c>
      <c r="M2483">
        <v>24</v>
      </c>
      <c r="O2483" s="29" t="s">
        <v>9013</v>
      </c>
      <c r="P2483" s="25" t="s">
        <v>8756</v>
      </c>
      <c r="Q2483" s="25">
        <v>212</v>
      </c>
      <c r="R2483" t="s">
        <v>436</v>
      </c>
    </row>
    <row r="2484" spans="1:18" s="13" customFormat="1" hidden="1">
      <c r="A2484" s="23" t="s">
        <v>4956</v>
      </c>
      <c r="B2484" s="23" t="s">
        <v>4957</v>
      </c>
      <c r="C2484" s="23">
        <v>2356</v>
      </c>
      <c r="G2484"/>
      <c r="I2484" s="14" t="str">
        <f>+IFERROR(VLOOKUP(C2484,'Mov 2023 hasta ahora '!$C$2:$D$314,2,FALSE),"NO")</f>
        <v>NO</v>
      </c>
      <c r="K2484">
        <v>6</v>
      </c>
      <c r="L2484" t="s">
        <v>836</v>
      </c>
      <c r="M2484">
        <v>24</v>
      </c>
      <c r="O2484" s="29" t="s">
        <v>8800</v>
      </c>
      <c r="P2484" s="25" t="s">
        <v>8988</v>
      </c>
      <c r="Q2484" s="25">
        <v>1457</v>
      </c>
      <c r="R2484" t="s">
        <v>436</v>
      </c>
    </row>
    <row r="2485" spans="1:18" s="13" customFormat="1" hidden="1">
      <c r="A2485" s="23" t="s">
        <v>4958</v>
      </c>
      <c r="B2485" s="23" t="s">
        <v>4959</v>
      </c>
      <c r="C2485" s="23">
        <v>2357</v>
      </c>
      <c r="G2485"/>
      <c r="I2485" s="14" t="str">
        <f>+IFERROR(VLOOKUP(C2485,'Mov 2023 hasta ahora '!$C$2:$D$314,2,FALSE),"NO")</f>
        <v>NO</v>
      </c>
      <c r="K2485">
        <v>6</v>
      </c>
      <c r="L2485" t="s">
        <v>836</v>
      </c>
      <c r="M2485">
        <v>24</v>
      </c>
      <c r="O2485" s="29" t="s">
        <v>8810</v>
      </c>
      <c r="P2485" s="25" t="s">
        <v>8989</v>
      </c>
      <c r="Q2485" s="25">
        <v>1465</v>
      </c>
      <c r="R2485" t="s">
        <v>436</v>
      </c>
    </row>
    <row r="2486" spans="1:18" hidden="1">
      <c r="A2486" t="s">
        <v>4960</v>
      </c>
      <c r="B2486" t="s">
        <v>4961</v>
      </c>
      <c r="I2486" s="3" t="str">
        <f>+IFERROR(VLOOKUP(C2486,'Mov 2023 hasta ahora '!$C$2:$D$314,2,FALSE),"NO")</f>
        <v>NO</v>
      </c>
      <c r="K2486">
        <v>4</v>
      </c>
      <c r="L2486" t="s">
        <v>836</v>
      </c>
      <c r="M2486">
        <v>14</v>
      </c>
    </row>
    <row r="2487" spans="1:18" hidden="1">
      <c r="A2487" t="s">
        <v>4962</v>
      </c>
      <c r="B2487" t="s">
        <v>4963</v>
      </c>
      <c r="I2487" s="3" t="str">
        <f>+IFERROR(VLOOKUP(C2487,'Mov 2023 hasta ahora '!$C$2:$D$314,2,FALSE),"NO")</f>
        <v>NO</v>
      </c>
      <c r="K2487">
        <v>5</v>
      </c>
      <c r="L2487" t="s">
        <v>836</v>
      </c>
      <c r="M2487">
        <v>18</v>
      </c>
    </row>
    <row r="2488" spans="1:18" s="13" customFormat="1" hidden="1">
      <c r="A2488" s="23" t="s">
        <v>4964</v>
      </c>
      <c r="B2488" s="23" t="s">
        <v>4965</v>
      </c>
      <c r="C2488" s="23">
        <v>2451</v>
      </c>
      <c r="G2488"/>
      <c r="I2488" s="14" t="str">
        <f>+IFERROR(VLOOKUP(C2488,'Mov 2023 hasta ahora '!$C$2:$D$314,2,FALSE),"NO")</f>
        <v>NO</v>
      </c>
      <c r="K2488">
        <v>6</v>
      </c>
      <c r="L2488" t="s">
        <v>836</v>
      </c>
      <c r="M2488">
        <v>24</v>
      </c>
      <c r="O2488" s="29" t="s">
        <v>8858</v>
      </c>
      <c r="P2488" s="25" t="s">
        <v>8862</v>
      </c>
      <c r="Q2488" s="25">
        <v>834</v>
      </c>
      <c r="R2488" t="s">
        <v>436</v>
      </c>
    </row>
    <row r="2489" spans="1:18" hidden="1">
      <c r="A2489" t="s">
        <v>4966</v>
      </c>
      <c r="B2489" t="s">
        <v>4967</v>
      </c>
      <c r="I2489" s="3" t="str">
        <f>+IFERROR(VLOOKUP(C2489,'Mov 2023 hasta ahora '!$C$2:$D$314,2,FALSE),"NO")</f>
        <v>NO</v>
      </c>
      <c r="K2489">
        <v>4</v>
      </c>
      <c r="L2489" t="s">
        <v>836</v>
      </c>
      <c r="M2489">
        <v>14</v>
      </c>
    </row>
    <row r="2490" spans="1:18" hidden="1">
      <c r="A2490" t="s">
        <v>4968</v>
      </c>
      <c r="B2490" t="s">
        <v>4969</v>
      </c>
      <c r="I2490" s="3" t="str">
        <f>+IFERROR(VLOOKUP(C2490,'Mov 2023 hasta ahora '!$C$2:$D$314,2,FALSE),"NO")</f>
        <v>NO</v>
      </c>
      <c r="K2490">
        <v>5</v>
      </c>
      <c r="L2490" t="s">
        <v>836</v>
      </c>
      <c r="M2490">
        <v>18</v>
      </c>
    </row>
    <row r="2491" spans="1:18" s="13" customFormat="1" hidden="1">
      <c r="A2491" s="23" t="s">
        <v>4970</v>
      </c>
      <c r="B2491" s="23" t="s">
        <v>4971</v>
      </c>
      <c r="C2491" s="23">
        <v>2369</v>
      </c>
      <c r="G2491"/>
      <c r="I2491" s="14" t="str">
        <f>+IFERROR(VLOOKUP(C2491,'Mov 2023 hasta ahora '!$C$2:$D$314,2,FALSE),"NO")</f>
        <v>NO</v>
      </c>
      <c r="K2491">
        <v>6</v>
      </c>
      <c r="L2491" t="s">
        <v>836</v>
      </c>
      <c r="M2491">
        <v>24</v>
      </c>
      <c r="O2491" s="29" t="s">
        <v>9009</v>
      </c>
      <c r="P2491" s="25" t="s">
        <v>9005</v>
      </c>
      <c r="Q2491" s="25">
        <v>1024</v>
      </c>
      <c r="R2491" t="s">
        <v>436</v>
      </c>
    </row>
    <row r="2492" spans="1:18" s="13" customFormat="1" hidden="1">
      <c r="A2492" s="23" t="s">
        <v>4972</v>
      </c>
      <c r="B2492" s="23" t="s">
        <v>4973</v>
      </c>
      <c r="C2492" s="23">
        <v>2370</v>
      </c>
      <c r="G2492"/>
      <c r="I2492" s="14" t="str">
        <f>+IFERROR(VLOOKUP(C2492,'Mov 2023 hasta ahora '!$C$2:$D$314,2,FALSE),"NO")</f>
        <v>NO</v>
      </c>
      <c r="K2492">
        <v>6</v>
      </c>
      <c r="L2492" t="s">
        <v>836</v>
      </c>
      <c r="M2492">
        <v>24</v>
      </c>
      <c r="O2492" s="29" t="s">
        <v>9010</v>
      </c>
      <c r="P2492" s="25" t="s">
        <v>9006</v>
      </c>
      <c r="Q2492" s="25">
        <v>1042</v>
      </c>
      <c r="R2492" t="s">
        <v>436</v>
      </c>
    </row>
    <row r="2493" spans="1:18" s="13" customFormat="1" hidden="1">
      <c r="A2493" s="23" t="s">
        <v>4974</v>
      </c>
      <c r="B2493" s="23" t="s">
        <v>4975</v>
      </c>
      <c r="C2493" s="23">
        <v>2367</v>
      </c>
      <c r="G2493"/>
      <c r="I2493" s="14" t="str">
        <f>+IFERROR(VLOOKUP(C2493,'Mov 2023 hasta ahora '!$C$2:$D$314,2,FALSE),"NO")</f>
        <v>NO</v>
      </c>
      <c r="K2493">
        <v>6</v>
      </c>
      <c r="L2493" t="s">
        <v>836</v>
      </c>
      <c r="M2493">
        <v>24</v>
      </c>
      <c r="O2493" s="29" t="s">
        <v>9011</v>
      </c>
      <c r="P2493" s="25" t="s">
        <v>9007</v>
      </c>
      <c r="Q2493" s="25">
        <v>2243</v>
      </c>
      <c r="R2493" t="s">
        <v>436</v>
      </c>
    </row>
    <row r="2494" spans="1:18" s="13" customFormat="1" hidden="1">
      <c r="A2494" s="23" t="s">
        <v>4976</v>
      </c>
      <c r="B2494" s="23" t="s">
        <v>4977</v>
      </c>
      <c r="C2494" s="23">
        <v>2368</v>
      </c>
      <c r="G2494"/>
      <c r="I2494" s="14" t="str">
        <f>+IFERROR(VLOOKUP(C2494,'Mov 2023 hasta ahora '!$C$2:$D$314,2,FALSE),"NO")</f>
        <v>NO</v>
      </c>
      <c r="K2494">
        <v>6</v>
      </c>
      <c r="L2494" t="s">
        <v>836</v>
      </c>
      <c r="M2494">
        <v>24</v>
      </c>
      <c r="O2494" s="29" t="s">
        <v>9012</v>
      </c>
      <c r="P2494" s="25" t="s">
        <v>9008</v>
      </c>
      <c r="Q2494" s="25">
        <v>2244</v>
      </c>
      <c r="R2494" t="s">
        <v>436</v>
      </c>
    </row>
    <row r="2495" spans="1:18" hidden="1">
      <c r="A2495" t="s">
        <v>4978</v>
      </c>
      <c r="B2495" t="s">
        <v>4979</v>
      </c>
      <c r="I2495" s="3" t="str">
        <f>+IFERROR(VLOOKUP(C2495,'Mov 2023 hasta ahora '!$C$2:$D$314,2,FALSE),"NO")</f>
        <v>NO</v>
      </c>
      <c r="K2495">
        <v>4</v>
      </c>
      <c r="L2495" t="s">
        <v>836</v>
      </c>
      <c r="M2495">
        <v>14</v>
      </c>
    </row>
    <row r="2496" spans="1:18" hidden="1">
      <c r="A2496" t="s">
        <v>4980</v>
      </c>
      <c r="B2496" t="s">
        <v>4981</v>
      </c>
      <c r="I2496" s="3" t="str">
        <f>+IFERROR(VLOOKUP(C2496,'Mov 2023 hasta ahora '!$C$2:$D$314,2,FALSE),"NO")</f>
        <v>NO</v>
      </c>
      <c r="K2496">
        <v>5</v>
      </c>
      <c r="L2496" t="s">
        <v>836</v>
      </c>
      <c r="M2496">
        <v>18</v>
      </c>
    </row>
    <row r="2497" spans="1:18" s="13" customFormat="1" hidden="1">
      <c r="A2497" s="23" t="s">
        <v>4982</v>
      </c>
      <c r="B2497" s="23" t="s">
        <v>4983</v>
      </c>
      <c r="C2497" s="23">
        <v>2551</v>
      </c>
      <c r="G2497"/>
      <c r="I2497" s="14" t="str">
        <f>+IFERROR(VLOOKUP(C2497,'Mov 2023 hasta ahora '!$C$2:$D$314,2,FALSE),"NO")</f>
        <v>NO</v>
      </c>
      <c r="K2497">
        <v>6</v>
      </c>
      <c r="L2497" t="s">
        <v>836</v>
      </c>
      <c r="M2497">
        <v>24</v>
      </c>
      <c r="O2497" s="29" t="s">
        <v>9000</v>
      </c>
      <c r="P2497" s="25" t="s">
        <v>8863</v>
      </c>
      <c r="Q2497" s="25">
        <v>1132</v>
      </c>
      <c r="R2497" t="s">
        <v>436</v>
      </c>
    </row>
    <row r="2498" spans="1:18" s="13" customFormat="1" hidden="1">
      <c r="A2498" s="23" t="s">
        <v>4984</v>
      </c>
      <c r="B2498" s="23" t="s">
        <v>4985</v>
      </c>
      <c r="C2498" s="23">
        <v>2552</v>
      </c>
      <c r="G2498"/>
      <c r="I2498" s="14" t="str">
        <f>+IFERROR(VLOOKUP(C2498,'Mov 2023 hasta ahora '!$C$2:$D$314,2,FALSE),"NO")</f>
        <v>NO</v>
      </c>
      <c r="K2498">
        <v>6</v>
      </c>
      <c r="L2498" t="s">
        <v>836</v>
      </c>
      <c r="M2498">
        <v>24</v>
      </c>
      <c r="O2498" s="29" t="s">
        <v>9001</v>
      </c>
      <c r="P2498" s="25" t="s">
        <v>8852</v>
      </c>
      <c r="Q2498" s="25">
        <v>1150</v>
      </c>
      <c r="R2498" t="s">
        <v>436</v>
      </c>
    </row>
    <row r="2499" spans="1:18" s="13" customFormat="1" hidden="1">
      <c r="A2499" s="23" t="s">
        <v>4986</v>
      </c>
      <c r="B2499" s="23" t="s">
        <v>4987</v>
      </c>
      <c r="C2499" s="23">
        <v>2553</v>
      </c>
      <c r="G2499"/>
      <c r="I2499" s="14" t="str">
        <f>+IFERROR(VLOOKUP(C2499,'Mov 2023 hasta ahora '!$C$2:$D$314,2,FALSE),"NO")</f>
        <v>NO</v>
      </c>
      <c r="K2499">
        <v>6</v>
      </c>
      <c r="L2499" t="s">
        <v>836</v>
      </c>
      <c r="M2499">
        <v>24</v>
      </c>
      <c r="O2499" s="29" t="s">
        <v>9002</v>
      </c>
      <c r="P2499" s="25" t="s">
        <v>8799</v>
      </c>
      <c r="Q2499" s="25">
        <v>1513</v>
      </c>
      <c r="R2499" t="s">
        <v>436</v>
      </c>
    </row>
    <row r="2500" spans="1:18" s="13" customFormat="1" hidden="1">
      <c r="A2500" s="23" t="s">
        <v>4988</v>
      </c>
      <c r="B2500" s="23" t="s">
        <v>4989</v>
      </c>
      <c r="C2500" s="23">
        <v>2554</v>
      </c>
      <c r="G2500"/>
      <c r="I2500" s="14" t="str">
        <f>+IFERROR(VLOOKUP(C2500,'Mov 2023 hasta ahora '!$C$2:$D$314,2,FALSE),"NO")</f>
        <v>NO</v>
      </c>
      <c r="K2500">
        <v>6</v>
      </c>
      <c r="L2500" t="s">
        <v>836</v>
      </c>
      <c r="M2500">
        <v>24</v>
      </c>
      <c r="O2500" s="29" t="s">
        <v>9003</v>
      </c>
      <c r="P2500" s="25" t="s">
        <v>8803</v>
      </c>
      <c r="Q2500" s="25">
        <v>1505</v>
      </c>
      <c r="R2500" t="s">
        <v>436</v>
      </c>
    </row>
    <row r="2501" spans="1:18" hidden="1">
      <c r="A2501" t="s">
        <v>4990</v>
      </c>
      <c r="B2501" t="s">
        <v>4991</v>
      </c>
      <c r="I2501" s="3" t="str">
        <f>+IFERROR(VLOOKUP(C2501,'Mov 2023 hasta ahora '!$C$2:$D$314,2,FALSE),"NO")</f>
        <v>NO</v>
      </c>
      <c r="K2501">
        <v>4</v>
      </c>
      <c r="L2501" t="s">
        <v>836</v>
      </c>
      <c r="M2501">
        <v>14</v>
      </c>
    </row>
    <row r="2502" spans="1:18" hidden="1">
      <c r="A2502" t="s">
        <v>4992</v>
      </c>
      <c r="B2502" t="s">
        <v>4993</v>
      </c>
      <c r="I2502" s="3" t="str">
        <f>+IFERROR(VLOOKUP(C2502,'Mov 2023 hasta ahora '!$C$2:$D$314,2,FALSE),"NO")</f>
        <v>NO</v>
      </c>
      <c r="K2502">
        <v>5</v>
      </c>
      <c r="L2502" t="s">
        <v>836</v>
      </c>
      <c r="M2502">
        <v>18</v>
      </c>
    </row>
    <row r="2503" spans="1:18" hidden="1">
      <c r="A2503" s="23" t="s">
        <v>4994</v>
      </c>
      <c r="B2503" s="23" t="s">
        <v>4995</v>
      </c>
      <c r="C2503" s="23">
        <v>2361</v>
      </c>
      <c r="I2503" s="3" t="str">
        <f>+IFERROR(VLOOKUP(C2503,'Mov 2023 hasta ahora '!$C$2:$D$314,2,FALSE),"NO")</f>
        <v>NO</v>
      </c>
      <c r="K2503">
        <v>6</v>
      </c>
      <c r="L2503" t="s">
        <v>836</v>
      </c>
      <c r="M2503">
        <v>24</v>
      </c>
      <c r="O2503" s="29" t="s">
        <v>8861</v>
      </c>
      <c r="P2503" s="25" t="s">
        <v>8868</v>
      </c>
      <c r="Q2503" s="25">
        <v>1419</v>
      </c>
      <c r="R2503" t="s">
        <v>436</v>
      </c>
    </row>
    <row r="2504" spans="1:18" hidden="1">
      <c r="A2504" t="s">
        <v>4996</v>
      </c>
      <c r="B2504" t="s">
        <v>4997</v>
      </c>
      <c r="I2504" s="3" t="str">
        <f>+IFERROR(VLOOKUP(C2504,'Mov 2023 hasta ahora '!$C$2:$D$314,2,FALSE),"NO")</f>
        <v>NO</v>
      </c>
      <c r="K2504">
        <v>5</v>
      </c>
      <c r="L2504" t="s">
        <v>836</v>
      </c>
      <c r="M2504">
        <v>18</v>
      </c>
    </row>
    <row r="2505" spans="1:18" hidden="1">
      <c r="A2505" s="23" t="s">
        <v>4998</v>
      </c>
      <c r="B2505" s="23" t="s">
        <v>4999</v>
      </c>
      <c r="C2505" s="23">
        <v>2362</v>
      </c>
      <c r="I2505" s="3" t="str">
        <f>+IFERROR(VLOOKUP(C2505,'Mov 2023 hasta ahora '!$C$2:$D$314,2,FALSE),"NO")</f>
        <v>NO</v>
      </c>
      <c r="K2505">
        <v>6</v>
      </c>
      <c r="L2505" t="s">
        <v>836</v>
      </c>
      <c r="M2505">
        <v>24</v>
      </c>
      <c r="O2505" s="29" t="s">
        <v>9049</v>
      </c>
      <c r="P2505" s="25" t="s">
        <v>9050</v>
      </c>
      <c r="Q2505" s="25">
        <v>1363</v>
      </c>
      <c r="R2505" t="s">
        <v>436</v>
      </c>
    </row>
    <row r="2506" spans="1:18" hidden="1">
      <c r="A2506" s="23" t="s">
        <v>5000</v>
      </c>
      <c r="B2506" s="23" t="s">
        <v>5001</v>
      </c>
      <c r="C2506" s="23">
        <v>2363</v>
      </c>
      <c r="I2506" s="3" t="str">
        <f>+IFERROR(VLOOKUP(C2506,'Mov 2023 hasta ahora '!$C$2:$D$314,2,FALSE),"NO")</f>
        <v>NO</v>
      </c>
      <c r="K2506">
        <v>6</v>
      </c>
      <c r="L2506" t="s">
        <v>836</v>
      </c>
      <c r="M2506">
        <v>24</v>
      </c>
      <c r="O2506" s="29" t="s">
        <v>9014</v>
      </c>
      <c r="P2506" s="25" t="s">
        <v>8890</v>
      </c>
      <c r="Q2506" s="25">
        <v>1244</v>
      </c>
      <c r="R2506" t="s">
        <v>436</v>
      </c>
    </row>
    <row r="2507" spans="1:18" hidden="1">
      <c r="A2507" s="23" t="s">
        <v>5002</v>
      </c>
      <c r="B2507" s="23" t="s">
        <v>5003</v>
      </c>
      <c r="C2507" s="23">
        <v>2364</v>
      </c>
      <c r="I2507" s="3" t="str">
        <f>+IFERROR(VLOOKUP(C2507,'Mov 2023 hasta ahora '!$C$2:$D$314,2,FALSE),"NO")</f>
        <v>NO</v>
      </c>
      <c r="K2507">
        <v>6</v>
      </c>
      <c r="L2507" t="s">
        <v>836</v>
      </c>
      <c r="M2507">
        <v>24</v>
      </c>
      <c r="O2507" s="29" t="s">
        <v>9030</v>
      </c>
      <c r="P2507" s="25" t="s">
        <v>9029</v>
      </c>
      <c r="Q2507" s="25">
        <v>3817</v>
      </c>
      <c r="R2507" t="s">
        <v>436</v>
      </c>
    </row>
    <row r="2508" spans="1:18" s="13" customFormat="1" hidden="1">
      <c r="A2508" s="23" t="s">
        <v>5004</v>
      </c>
      <c r="B2508" s="23" t="s">
        <v>5005</v>
      </c>
      <c r="C2508" s="23">
        <v>2365</v>
      </c>
      <c r="G2508"/>
      <c r="I2508" s="14" t="str">
        <f>+IFERROR(VLOOKUP(C2508,'Mov 2023 hasta ahora '!$C$2:$D$314,2,FALSE),"NO")</f>
        <v>NO</v>
      </c>
      <c r="K2508">
        <v>6</v>
      </c>
      <c r="L2508" t="s">
        <v>836</v>
      </c>
      <c r="M2508">
        <v>24</v>
      </c>
      <c r="O2508" s="29" t="s">
        <v>8825</v>
      </c>
      <c r="P2508" s="25" t="s">
        <v>8832</v>
      </c>
      <c r="Q2508" s="25">
        <v>3601</v>
      </c>
      <c r="R2508" t="s">
        <v>436</v>
      </c>
    </row>
    <row r="2509" spans="1:18" s="13" customFormat="1" hidden="1">
      <c r="A2509" s="23" t="s">
        <v>5006</v>
      </c>
      <c r="B2509" s="23" t="s">
        <v>5007</v>
      </c>
      <c r="C2509" s="23">
        <v>2366</v>
      </c>
      <c r="G2509"/>
      <c r="I2509" s="14" t="str">
        <f>+IFERROR(VLOOKUP(C2509,'Mov 2023 hasta ahora '!$C$2:$D$314,2,FALSE),"NO")</f>
        <v>NO</v>
      </c>
      <c r="K2509">
        <v>6</v>
      </c>
      <c r="L2509" t="s">
        <v>836</v>
      </c>
      <c r="M2509">
        <v>24</v>
      </c>
      <c r="O2509" s="29" t="s">
        <v>8992</v>
      </c>
      <c r="P2509" s="25" t="s">
        <v>8836</v>
      </c>
      <c r="Q2509" s="25">
        <v>3603</v>
      </c>
      <c r="R2509" t="s">
        <v>436</v>
      </c>
    </row>
    <row r="2510" spans="1:18" hidden="1">
      <c r="A2510" t="s">
        <v>5008</v>
      </c>
      <c r="B2510" t="s">
        <v>1455</v>
      </c>
      <c r="I2510" s="3" t="str">
        <f>+IFERROR(VLOOKUP(C2510,'Mov 2023 hasta ahora '!$C$2:$D$314,2,FALSE),"NO")</f>
        <v>NO</v>
      </c>
      <c r="K2510">
        <v>3</v>
      </c>
      <c r="L2510" t="s">
        <v>836</v>
      </c>
      <c r="M2510">
        <v>10</v>
      </c>
    </row>
    <row r="2511" spans="1:18" hidden="1">
      <c r="A2511" t="s">
        <v>5009</v>
      </c>
      <c r="B2511" t="s">
        <v>5010</v>
      </c>
      <c r="I2511" s="3" t="str">
        <f>+IFERROR(VLOOKUP(C2511,'Mov 2023 hasta ahora '!$C$2:$D$314,2,FALSE),"NO")</f>
        <v>NO</v>
      </c>
      <c r="K2511">
        <v>4</v>
      </c>
      <c r="L2511" t="s">
        <v>836</v>
      </c>
      <c r="M2511">
        <v>14</v>
      </c>
    </row>
    <row r="2512" spans="1:18" hidden="1">
      <c r="A2512" t="s">
        <v>5011</v>
      </c>
      <c r="B2512" t="s">
        <v>5012</v>
      </c>
      <c r="I2512" s="3" t="str">
        <f>+IFERROR(VLOOKUP(C2512,'Mov 2023 hasta ahora '!$C$2:$D$314,2,FALSE),"NO")</f>
        <v>NO</v>
      </c>
      <c r="K2512">
        <v>5</v>
      </c>
      <c r="L2512" t="s">
        <v>836</v>
      </c>
      <c r="M2512">
        <v>18</v>
      </c>
    </row>
    <row r="2513" spans="1:18" hidden="1">
      <c r="A2513" s="23" t="s">
        <v>5013</v>
      </c>
      <c r="B2513" s="23" t="s">
        <v>5014</v>
      </c>
      <c r="C2513" s="23">
        <v>2457</v>
      </c>
      <c r="I2513" s="3" t="str">
        <f>+IFERROR(VLOOKUP(C2513,'Mov 2023 hasta ahora '!$C$2:$D$314,2,FALSE),"NO")</f>
        <v>NO</v>
      </c>
      <c r="K2513">
        <v>6</v>
      </c>
      <c r="L2513" t="s">
        <v>836</v>
      </c>
      <c r="M2513">
        <v>24</v>
      </c>
      <c r="O2513" s="29" t="s">
        <v>8742</v>
      </c>
      <c r="P2513" s="25" t="s">
        <v>9063</v>
      </c>
      <c r="Q2513" s="25">
        <v>176</v>
      </c>
      <c r="R2513" t="s">
        <v>436</v>
      </c>
    </row>
    <row r="2514" spans="1:18" hidden="1">
      <c r="A2514" t="s">
        <v>5015</v>
      </c>
      <c r="B2514" t="s">
        <v>5016</v>
      </c>
      <c r="I2514" s="3" t="str">
        <f>+IFERROR(VLOOKUP(C2514,'Mov 2023 hasta ahora '!$C$2:$D$314,2,FALSE),"NO")</f>
        <v>NO</v>
      </c>
      <c r="K2514">
        <v>4</v>
      </c>
      <c r="L2514" t="s">
        <v>836</v>
      </c>
      <c r="M2514">
        <v>14</v>
      </c>
    </row>
    <row r="2515" spans="1:18" hidden="1">
      <c r="A2515" t="s">
        <v>5017</v>
      </c>
      <c r="B2515" t="s">
        <v>5018</v>
      </c>
      <c r="I2515" s="3" t="str">
        <f>+IFERROR(VLOOKUP(C2515,'Mov 2023 hasta ahora '!$C$2:$D$314,2,FALSE),"NO")</f>
        <v>NO</v>
      </c>
      <c r="K2515">
        <v>5</v>
      </c>
      <c r="L2515" t="s">
        <v>836</v>
      </c>
      <c r="M2515">
        <v>18</v>
      </c>
    </row>
    <row r="2516" spans="1:18" s="13" customFormat="1" hidden="1">
      <c r="A2516" s="23" t="s">
        <v>5019</v>
      </c>
      <c r="B2516" s="23" t="s">
        <v>5020</v>
      </c>
      <c r="C2516" s="23">
        <v>2458</v>
      </c>
      <c r="G2516"/>
      <c r="I2516" s="14" t="str">
        <f>+IFERROR(VLOOKUP(C2516,'Mov 2023 hasta ahora '!$C$2:$D$314,2,FALSE),"NO")</f>
        <v>NO</v>
      </c>
      <c r="K2516">
        <v>6</v>
      </c>
      <c r="L2516" t="s">
        <v>836</v>
      </c>
      <c r="M2516">
        <v>24</v>
      </c>
      <c r="O2516" s="29" t="s">
        <v>8746</v>
      </c>
      <c r="P2516" s="25" t="s">
        <v>9054</v>
      </c>
      <c r="Q2516" s="25">
        <v>185</v>
      </c>
      <c r="R2516" t="s">
        <v>436</v>
      </c>
    </row>
    <row r="2517" spans="1:18" s="13" customFormat="1" hidden="1">
      <c r="A2517" s="23" t="s">
        <v>5021</v>
      </c>
      <c r="B2517" s="23" t="s">
        <v>5022</v>
      </c>
      <c r="C2517" s="23">
        <v>2459</v>
      </c>
      <c r="G2517"/>
      <c r="I2517" s="14" t="str">
        <f>+IFERROR(VLOOKUP(C2517,'Mov 2023 hasta ahora '!$C$2:$D$314,2,FALSE),"NO")</f>
        <v>NO</v>
      </c>
      <c r="K2517">
        <v>6</v>
      </c>
      <c r="L2517" t="s">
        <v>836</v>
      </c>
      <c r="M2517">
        <v>24</v>
      </c>
      <c r="O2517" s="29" t="s">
        <v>8748</v>
      </c>
      <c r="P2517" s="25" t="s">
        <v>9055</v>
      </c>
      <c r="Q2517" s="25">
        <v>193</v>
      </c>
      <c r="R2517" t="s">
        <v>436</v>
      </c>
    </row>
    <row r="2518" spans="1:18" s="13" customFormat="1" hidden="1">
      <c r="A2518" s="23" t="s">
        <v>5023</v>
      </c>
      <c r="B2518" s="23" t="s">
        <v>5024</v>
      </c>
      <c r="C2518" s="23">
        <v>2460</v>
      </c>
      <c r="G2518"/>
      <c r="I2518" s="14" t="str">
        <f>+IFERROR(VLOOKUP(C2518,'Mov 2023 hasta ahora '!$C$2:$D$314,2,FALSE),"NO")</f>
        <v>NO</v>
      </c>
      <c r="K2518">
        <v>6</v>
      </c>
      <c r="L2518" t="s">
        <v>836</v>
      </c>
      <c r="M2518">
        <v>24</v>
      </c>
      <c r="O2518" s="29" t="s">
        <v>8749</v>
      </c>
      <c r="P2518" s="25" t="s">
        <v>9056</v>
      </c>
      <c r="Q2518" s="25">
        <v>202</v>
      </c>
      <c r="R2518" t="s">
        <v>436</v>
      </c>
    </row>
    <row r="2519" spans="1:18" hidden="1">
      <c r="A2519" s="23" t="s">
        <v>5025</v>
      </c>
      <c r="B2519" s="23" t="s">
        <v>5026</v>
      </c>
      <c r="C2519" s="23">
        <v>2461</v>
      </c>
      <c r="I2519" s="3" t="str">
        <f>+IFERROR(VLOOKUP(C2519,'Mov 2023 hasta ahora '!$C$2:$D$314,2,FALSE),"NO")</f>
        <v>NO</v>
      </c>
      <c r="K2519">
        <v>6</v>
      </c>
      <c r="L2519" t="s">
        <v>836</v>
      </c>
      <c r="M2519">
        <v>24</v>
      </c>
      <c r="O2519" s="29" t="s">
        <v>8750</v>
      </c>
      <c r="P2519" s="25" t="s">
        <v>8968</v>
      </c>
      <c r="Q2519" s="25">
        <v>1351</v>
      </c>
      <c r="R2519" t="s">
        <v>436</v>
      </c>
    </row>
    <row r="2520" spans="1:18" hidden="1">
      <c r="A2520" t="s">
        <v>5027</v>
      </c>
      <c r="B2520" t="s">
        <v>5028</v>
      </c>
      <c r="I2520" s="3" t="str">
        <f>+IFERROR(VLOOKUP(C2520,'Mov 2023 hasta ahora '!$C$2:$D$314,2,FALSE),"NO")</f>
        <v>NO</v>
      </c>
      <c r="K2520">
        <v>4</v>
      </c>
      <c r="L2520" t="s">
        <v>836</v>
      </c>
      <c r="M2520">
        <v>14</v>
      </c>
    </row>
    <row r="2521" spans="1:18" hidden="1">
      <c r="A2521" t="s">
        <v>5029</v>
      </c>
      <c r="B2521" t="s">
        <v>5030</v>
      </c>
      <c r="I2521" s="3" t="str">
        <f>+IFERROR(VLOOKUP(C2521,'Mov 2023 hasta ahora '!$C$2:$D$314,2,FALSE),"NO")</f>
        <v>NO</v>
      </c>
      <c r="K2521">
        <v>5</v>
      </c>
      <c r="L2521" t="s">
        <v>836</v>
      </c>
      <c r="M2521">
        <v>18</v>
      </c>
    </row>
    <row r="2522" spans="1:18" hidden="1">
      <c r="A2522" s="23" t="s">
        <v>5031</v>
      </c>
      <c r="B2522" s="23" t="s">
        <v>5032</v>
      </c>
      <c r="C2522" s="23">
        <v>2462</v>
      </c>
      <c r="I2522" s="3" t="str">
        <f>+IFERROR(VLOOKUP(C2522,'Mov 2023 hasta ahora '!$C$2:$D$314,2,FALSE),"NO")</f>
        <v>NO</v>
      </c>
      <c r="K2522">
        <v>6</v>
      </c>
      <c r="L2522" t="s">
        <v>836</v>
      </c>
      <c r="M2522">
        <v>24</v>
      </c>
      <c r="O2522" s="29" t="s">
        <v>9013</v>
      </c>
      <c r="P2522" s="25" t="s">
        <v>8756</v>
      </c>
      <c r="Q2522" s="25">
        <v>212</v>
      </c>
      <c r="R2522" t="s">
        <v>436</v>
      </c>
    </row>
    <row r="2523" spans="1:18" hidden="1">
      <c r="A2523" t="s">
        <v>5033</v>
      </c>
      <c r="B2523" t="s">
        <v>5034</v>
      </c>
      <c r="I2523" s="3" t="str">
        <f>+IFERROR(VLOOKUP(C2523,'Mov 2023 hasta ahora '!$C$2:$D$314,2,FALSE),"NO")</f>
        <v>NO</v>
      </c>
      <c r="K2523">
        <v>4</v>
      </c>
      <c r="L2523" t="s">
        <v>836</v>
      </c>
      <c r="M2523">
        <v>14</v>
      </c>
    </row>
    <row r="2524" spans="1:18" hidden="1">
      <c r="A2524" t="s">
        <v>5035</v>
      </c>
      <c r="B2524" t="s">
        <v>5036</v>
      </c>
      <c r="I2524" s="3" t="str">
        <f>+IFERROR(VLOOKUP(C2524,'Mov 2023 hasta ahora '!$C$2:$D$314,2,FALSE),"NO")</f>
        <v>NO</v>
      </c>
      <c r="K2524">
        <v>5</v>
      </c>
      <c r="L2524" t="s">
        <v>836</v>
      </c>
      <c r="M2524">
        <v>18</v>
      </c>
    </row>
    <row r="2525" spans="1:18" s="15" customFormat="1" hidden="1">
      <c r="A2525" s="23" t="s">
        <v>5037</v>
      </c>
      <c r="B2525" s="23" t="s">
        <v>5038</v>
      </c>
      <c r="C2525" s="23">
        <v>2463</v>
      </c>
      <c r="G2525"/>
      <c r="I2525" s="16" t="str">
        <f>+IFERROR(VLOOKUP(C2525,'Mov 2023 hasta ahora '!$C$2:$D$314,2,FALSE),"NO")</f>
        <v>NO</v>
      </c>
      <c r="K2525">
        <v>6</v>
      </c>
      <c r="L2525" t="s">
        <v>836</v>
      </c>
      <c r="M2525">
        <v>24</v>
      </c>
      <c r="O2525" s="29" t="s">
        <v>8793</v>
      </c>
      <c r="P2525" s="25" t="s">
        <v>8975</v>
      </c>
      <c r="Q2525" s="25">
        <v>1616</v>
      </c>
      <c r="R2525" t="s">
        <v>436</v>
      </c>
    </row>
    <row r="2526" spans="1:18" s="15" customFormat="1" hidden="1">
      <c r="A2526" s="23" t="s">
        <v>5039</v>
      </c>
      <c r="B2526" s="23" t="s">
        <v>5040</v>
      </c>
      <c r="C2526" s="23">
        <v>2464</v>
      </c>
      <c r="G2526"/>
      <c r="I2526" s="16" t="str">
        <f>+IFERROR(VLOOKUP(C2526,'Mov 2023 hasta ahora '!$C$2:$D$314,2,FALSE),"NO")</f>
        <v>NO</v>
      </c>
      <c r="K2526">
        <v>6</v>
      </c>
      <c r="L2526" t="s">
        <v>836</v>
      </c>
      <c r="M2526">
        <v>24</v>
      </c>
      <c r="O2526" s="29" t="s">
        <v>8793</v>
      </c>
      <c r="P2526" s="25" t="s">
        <v>8975</v>
      </c>
      <c r="Q2526" s="25">
        <v>1616</v>
      </c>
      <c r="R2526" t="s">
        <v>436</v>
      </c>
    </row>
    <row r="2527" spans="1:18" hidden="1">
      <c r="A2527" t="s">
        <v>5041</v>
      </c>
      <c r="B2527" t="s">
        <v>5042</v>
      </c>
      <c r="I2527" s="3" t="str">
        <f>+IFERROR(VLOOKUP(C2527,'Mov 2023 hasta ahora '!$C$2:$D$314,2,FALSE),"NO")</f>
        <v>NO</v>
      </c>
      <c r="K2527">
        <v>4</v>
      </c>
      <c r="L2527" t="s">
        <v>836</v>
      </c>
      <c r="M2527">
        <v>14</v>
      </c>
    </row>
    <row r="2528" spans="1:18" hidden="1">
      <c r="A2528" t="s">
        <v>5043</v>
      </c>
      <c r="B2528" t="s">
        <v>5044</v>
      </c>
      <c r="I2528" s="3" t="str">
        <f>+IFERROR(VLOOKUP(C2528,'Mov 2023 hasta ahora '!$C$2:$D$314,2,FALSE),"NO")</f>
        <v>NO</v>
      </c>
      <c r="K2528">
        <v>5</v>
      </c>
      <c r="L2528" t="s">
        <v>836</v>
      </c>
      <c r="M2528">
        <v>18</v>
      </c>
    </row>
    <row r="2529" spans="1:18" s="13" customFormat="1" hidden="1">
      <c r="A2529" s="23" t="s">
        <v>5045</v>
      </c>
      <c r="B2529" s="23" t="s">
        <v>5046</v>
      </c>
      <c r="C2529" s="23">
        <v>2465</v>
      </c>
      <c r="G2529"/>
      <c r="I2529" s="14" t="str">
        <f>+IFERROR(VLOOKUP(C2529,'Mov 2023 hasta ahora '!$C$2:$D$314,2,FALSE),"NO")</f>
        <v>NO</v>
      </c>
      <c r="K2529">
        <v>6</v>
      </c>
      <c r="L2529" t="s">
        <v>836</v>
      </c>
      <c r="M2529">
        <v>24</v>
      </c>
      <c r="O2529" s="29" t="s">
        <v>8857</v>
      </c>
      <c r="P2529" s="25" t="s">
        <v>8980</v>
      </c>
      <c r="Q2529" s="25">
        <v>2178</v>
      </c>
      <c r="R2529" t="s">
        <v>436</v>
      </c>
    </row>
    <row r="2530" spans="1:18" s="13" customFormat="1" hidden="1">
      <c r="A2530" s="23" t="s">
        <v>5047</v>
      </c>
      <c r="B2530" s="23" t="s">
        <v>5048</v>
      </c>
      <c r="C2530" s="23">
        <v>2466</v>
      </c>
      <c r="G2530"/>
      <c r="I2530" s="14" t="str">
        <f>+IFERROR(VLOOKUP(C2530,'Mov 2023 hasta ahora '!$C$2:$D$314,2,FALSE),"NO")</f>
        <v>NO</v>
      </c>
      <c r="K2530">
        <v>6</v>
      </c>
      <c r="L2530" t="s">
        <v>836</v>
      </c>
      <c r="M2530">
        <v>24</v>
      </c>
      <c r="O2530" s="29" t="s">
        <v>8846</v>
      </c>
      <c r="P2530" s="25" t="s">
        <v>8981</v>
      </c>
      <c r="Q2530" s="25">
        <v>2179</v>
      </c>
      <c r="R2530" t="s">
        <v>436</v>
      </c>
    </row>
    <row r="2531" spans="1:18" s="13" customFormat="1" hidden="1">
      <c r="A2531" s="23" t="s">
        <v>5049</v>
      </c>
      <c r="B2531" s="23" t="s">
        <v>5050</v>
      </c>
      <c r="C2531" s="23">
        <v>2467</v>
      </c>
      <c r="G2531"/>
      <c r="I2531" s="14" t="str">
        <f>+IFERROR(VLOOKUP(C2531,'Mov 2023 hasta ahora '!$C$2:$D$314,2,FALSE),"NO")</f>
        <v>NO</v>
      </c>
      <c r="K2531">
        <v>6</v>
      </c>
      <c r="L2531" t="s">
        <v>836</v>
      </c>
      <c r="M2531">
        <v>24</v>
      </c>
      <c r="O2531" s="29" t="s">
        <v>8846</v>
      </c>
      <c r="P2531" s="25" t="s">
        <v>8981</v>
      </c>
      <c r="Q2531" s="25">
        <v>2179</v>
      </c>
      <c r="R2531" t="s">
        <v>436</v>
      </c>
    </row>
    <row r="2532" spans="1:18" s="13" customFormat="1" hidden="1">
      <c r="A2532" s="23" t="s">
        <v>5051</v>
      </c>
      <c r="B2532" s="23" t="s">
        <v>5052</v>
      </c>
      <c r="C2532" s="23">
        <v>2468</v>
      </c>
      <c r="G2532"/>
      <c r="I2532" s="14" t="str">
        <f>+IFERROR(VLOOKUP(C2532,'Mov 2023 hasta ahora '!$C$2:$D$314,2,FALSE),"NO")</f>
        <v>NO</v>
      </c>
      <c r="K2532">
        <v>6</v>
      </c>
      <c r="L2532" t="s">
        <v>836</v>
      </c>
      <c r="M2532">
        <v>24</v>
      </c>
      <c r="O2532" s="29" t="s">
        <v>8794</v>
      </c>
      <c r="P2532" s="25" t="s">
        <v>8982</v>
      </c>
      <c r="Q2532" s="25">
        <v>1441</v>
      </c>
      <c r="R2532" t="s">
        <v>436</v>
      </c>
    </row>
    <row r="2533" spans="1:18" s="13" customFormat="1" hidden="1">
      <c r="A2533" s="23" t="s">
        <v>5053</v>
      </c>
      <c r="B2533" s="23" t="s">
        <v>5054</v>
      </c>
      <c r="C2533" s="23">
        <v>2469</v>
      </c>
      <c r="G2533"/>
      <c r="I2533" s="14" t="str">
        <f>+IFERROR(VLOOKUP(C2533,'Mov 2023 hasta ahora '!$C$2:$D$314,2,FALSE),"NO")</f>
        <v>NO</v>
      </c>
      <c r="K2533">
        <v>6</v>
      </c>
      <c r="L2533" t="s">
        <v>836</v>
      </c>
      <c r="M2533">
        <v>24</v>
      </c>
      <c r="O2533" s="29" t="s">
        <v>8809</v>
      </c>
      <c r="P2533" s="25" t="s">
        <v>8983</v>
      </c>
      <c r="Q2533" s="25">
        <v>1448</v>
      </c>
      <c r="R2533" t="s">
        <v>436</v>
      </c>
    </row>
    <row r="2534" spans="1:18" hidden="1">
      <c r="A2534" t="s">
        <v>5055</v>
      </c>
      <c r="B2534" t="s">
        <v>5056</v>
      </c>
      <c r="I2534" s="3" t="str">
        <f>+IFERROR(VLOOKUP(C2534,'Mov 2023 hasta ahora '!$C$2:$D$314,2,FALSE),"NO")</f>
        <v>NO</v>
      </c>
      <c r="K2534">
        <v>4</v>
      </c>
      <c r="L2534" t="s">
        <v>836</v>
      </c>
      <c r="M2534">
        <v>14</v>
      </c>
    </row>
    <row r="2535" spans="1:18" hidden="1">
      <c r="A2535" t="s">
        <v>5057</v>
      </c>
      <c r="B2535" t="s">
        <v>5058</v>
      </c>
      <c r="I2535" s="3" t="str">
        <f>+IFERROR(VLOOKUP(C2535,'Mov 2023 hasta ahora '!$C$2:$D$314,2,FALSE),"NO")</f>
        <v>NO</v>
      </c>
      <c r="K2535">
        <v>5</v>
      </c>
      <c r="L2535" t="s">
        <v>836</v>
      </c>
      <c r="M2535">
        <v>18</v>
      </c>
    </row>
    <row r="2536" spans="1:18" s="13" customFormat="1" hidden="1">
      <c r="A2536" s="23" t="s">
        <v>5059</v>
      </c>
      <c r="B2536" s="23" t="s">
        <v>5060</v>
      </c>
      <c r="C2536" s="23">
        <v>2610</v>
      </c>
      <c r="G2536"/>
      <c r="I2536" s="14" t="str">
        <f>+IFERROR(VLOOKUP(C2536,'Mov 2023 hasta ahora '!$C$2:$D$314,2,FALSE),"NO")</f>
        <v>NO</v>
      </c>
      <c r="K2536">
        <v>6</v>
      </c>
      <c r="L2536" t="s">
        <v>836</v>
      </c>
      <c r="M2536">
        <v>24</v>
      </c>
      <c r="O2536" s="29" t="s">
        <v>8867</v>
      </c>
      <c r="P2536" s="25" t="s">
        <v>8987</v>
      </c>
      <c r="Q2536" s="25">
        <v>456</v>
      </c>
      <c r="R2536" t="s">
        <v>436</v>
      </c>
    </row>
    <row r="2537" spans="1:18" s="13" customFormat="1" hidden="1">
      <c r="A2537" s="23" t="s">
        <v>5061</v>
      </c>
      <c r="B2537" s="23" t="s">
        <v>5062</v>
      </c>
      <c r="C2537" s="23">
        <v>2611</v>
      </c>
      <c r="G2537"/>
      <c r="I2537" s="14" t="str">
        <f>+IFERROR(VLOOKUP(C2537,'Mov 2023 hasta ahora '!$C$2:$D$314,2,FALSE),"NO")</f>
        <v>NO</v>
      </c>
      <c r="K2537">
        <v>6</v>
      </c>
      <c r="L2537" t="s">
        <v>836</v>
      </c>
      <c r="M2537">
        <v>24</v>
      </c>
      <c r="O2537" s="29" t="s">
        <v>8853</v>
      </c>
      <c r="P2537" s="25" t="s">
        <v>8986</v>
      </c>
      <c r="Q2537" s="25">
        <v>366</v>
      </c>
      <c r="R2537" t="s">
        <v>436</v>
      </c>
    </row>
    <row r="2538" spans="1:18" hidden="1">
      <c r="A2538" s="23" t="s">
        <v>5063</v>
      </c>
      <c r="B2538" s="23" t="s">
        <v>5064</v>
      </c>
      <c r="C2538" s="23">
        <v>2612</v>
      </c>
      <c r="I2538" s="3" t="str">
        <f>+IFERROR(VLOOKUP(C2538,'Mov 2023 hasta ahora '!$C$2:$D$314,2,FALSE),"NO")</f>
        <v>NO</v>
      </c>
      <c r="K2538">
        <v>6</v>
      </c>
      <c r="L2538" t="s">
        <v>836</v>
      </c>
      <c r="M2538">
        <v>24</v>
      </c>
      <c r="O2538" s="29" t="s">
        <v>8746</v>
      </c>
      <c r="P2538" s="25" t="s">
        <v>9054</v>
      </c>
      <c r="Q2538" s="25">
        <v>185</v>
      </c>
      <c r="R2538" t="s">
        <v>436</v>
      </c>
    </row>
    <row r="2539" spans="1:18" hidden="1">
      <c r="A2539" s="23" t="s">
        <v>5065</v>
      </c>
      <c r="B2539" s="23" t="s">
        <v>5066</v>
      </c>
      <c r="C2539" s="23">
        <v>2613</v>
      </c>
      <c r="I2539" s="3" t="str">
        <f>+IFERROR(VLOOKUP(C2539,'Mov 2023 hasta ahora '!$C$2:$D$314,2,FALSE),"NO")</f>
        <v>NO</v>
      </c>
      <c r="K2539">
        <v>6</v>
      </c>
      <c r="L2539" t="s">
        <v>836</v>
      </c>
      <c r="M2539">
        <v>24</v>
      </c>
      <c r="O2539" s="29" t="s">
        <v>9013</v>
      </c>
      <c r="P2539" s="25" t="s">
        <v>8756</v>
      </c>
      <c r="Q2539" s="25">
        <v>212</v>
      </c>
      <c r="R2539" t="s">
        <v>436</v>
      </c>
    </row>
    <row r="2540" spans="1:18" s="13" customFormat="1" hidden="1">
      <c r="A2540" s="23" t="s">
        <v>5067</v>
      </c>
      <c r="B2540" s="23" t="s">
        <v>5068</v>
      </c>
      <c r="C2540" s="23">
        <v>2614</v>
      </c>
      <c r="G2540"/>
      <c r="I2540" s="14" t="str">
        <f>+IFERROR(VLOOKUP(C2540,'Mov 2023 hasta ahora '!$C$2:$D$314,2,FALSE),"NO")</f>
        <v>NO</v>
      </c>
      <c r="K2540">
        <v>6</v>
      </c>
      <c r="L2540" t="s">
        <v>836</v>
      </c>
      <c r="M2540">
        <v>24</v>
      </c>
      <c r="O2540" s="29" t="s">
        <v>8800</v>
      </c>
      <c r="P2540" s="25" t="s">
        <v>8988</v>
      </c>
      <c r="Q2540" s="25">
        <v>1457</v>
      </c>
      <c r="R2540" t="s">
        <v>436</v>
      </c>
    </row>
    <row r="2541" spans="1:18" s="13" customFormat="1" hidden="1">
      <c r="A2541" s="23" t="s">
        <v>5069</v>
      </c>
      <c r="B2541" s="23" t="s">
        <v>5070</v>
      </c>
      <c r="C2541" s="23">
        <v>2615</v>
      </c>
      <c r="G2541"/>
      <c r="I2541" s="14" t="str">
        <f>+IFERROR(VLOOKUP(C2541,'Mov 2023 hasta ahora '!$C$2:$D$314,2,FALSE),"NO")</f>
        <v>NO</v>
      </c>
      <c r="K2541">
        <v>6</v>
      </c>
      <c r="L2541" t="s">
        <v>836</v>
      </c>
      <c r="M2541">
        <v>24</v>
      </c>
      <c r="O2541" s="29" t="s">
        <v>8810</v>
      </c>
      <c r="P2541" s="25" t="s">
        <v>8989</v>
      </c>
      <c r="Q2541" s="25">
        <v>1465</v>
      </c>
      <c r="R2541" t="s">
        <v>436</v>
      </c>
    </row>
    <row r="2542" spans="1:18" hidden="1">
      <c r="A2542" t="s">
        <v>5071</v>
      </c>
      <c r="B2542" t="s">
        <v>5072</v>
      </c>
      <c r="I2542" s="3" t="str">
        <f>+IFERROR(VLOOKUP(C2542,'Mov 2023 hasta ahora '!$C$2:$D$314,2,FALSE),"NO")</f>
        <v>NO</v>
      </c>
      <c r="K2542">
        <v>4</v>
      </c>
      <c r="L2542" t="s">
        <v>836</v>
      </c>
      <c r="M2542">
        <v>14</v>
      </c>
    </row>
    <row r="2543" spans="1:18" hidden="1">
      <c r="A2543" t="s">
        <v>5073</v>
      </c>
      <c r="B2543" t="s">
        <v>5074</v>
      </c>
      <c r="I2543" s="3" t="str">
        <f>+IFERROR(VLOOKUP(C2543,'Mov 2023 hasta ahora '!$C$2:$D$314,2,FALSE),"NO")</f>
        <v>NO</v>
      </c>
      <c r="K2543">
        <v>5</v>
      </c>
      <c r="L2543" t="s">
        <v>836</v>
      </c>
      <c r="M2543">
        <v>18</v>
      </c>
    </row>
    <row r="2544" spans="1:18" s="13" customFormat="1" hidden="1">
      <c r="A2544" s="23" t="s">
        <v>5075</v>
      </c>
      <c r="B2544" s="23" t="s">
        <v>5076</v>
      </c>
      <c r="C2544" s="23">
        <v>2581</v>
      </c>
      <c r="G2544"/>
      <c r="I2544" s="14" t="str">
        <f>+IFERROR(VLOOKUP(C2544,'Mov 2023 hasta ahora '!$C$2:$D$314,2,FALSE),"NO")</f>
        <v>NO</v>
      </c>
      <c r="K2544">
        <v>6</v>
      </c>
      <c r="L2544" t="s">
        <v>836</v>
      </c>
      <c r="M2544">
        <v>24</v>
      </c>
      <c r="O2544" s="29" t="s">
        <v>9009</v>
      </c>
      <c r="P2544" s="25" t="s">
        <v>9005</v>
      </c>
      <c r="Q2544" s="25">
        <v>1024</v>
      </c>
      <c r="R2544" t="s">
        <v>436</v>
      </c>
    </row>
    <row r="2545" spans="1:18" s="13" customFormat="1" hidden="1">
      <c r="A2545" s="23" t="s">
        <v>5077</v>
      </c>
      <c r="B2545" s="23" t="s">
        <v>5078</v>
      </c>
      <c r="C2545" s="23">
        <v>2582</v>
      </c>
      <c r="G2545"/>
      <c r="I2545" s="14" t="str">
        <f>+IFERROR(VLOOKUP(C2545,'Mov 2023 hasta ahora '!$C$2:$D$314,2,FALSE),"NO")</f>
        <v>NO</v>
      </c>
      <c r="K2545">
        <v>6</v>
      </c>
      <c r="L2545" t="s">
        <v>836</v>
      </c>
      <c r="M2545">
        <v>24</v>
      </c>
      <c r="O2545" s="29" t="s">
        <v>9010</v>
      </c>
      <c r="P2545" s="25" t="s">
        <v>9006</v>
      </c>
      <c r="Q2545" s="25">
        <v>1042</v>
      </c>
      <c r="R2545" t="s">
        <v>436</v>
      </c>
    </row>
    <row r="2546" spans="1:18" hidden="1">
      <c r="A2546" t="s">
        <v>5079</v>
      </c>
      <c r="B2546" t="s">
        <v>5080</v>
      </c>
      <c r="I2546" s="3" t="str">
        <f>+IFERROR(VLOOKUP(C2546,'Mov 2023 hasta ahora '!$C$2:$D$314,2,FALSE),"NO")</f>
        <v>NO</v>
      </c>
      <c r="K2546">
        <v>4</v>
      </c>
      <c r="L2546" t="s">
        <v>836</v>
      </c>
      <c r="M2546">
        <v>14</v>
      </c>
    </row>
    <row r="2547" spans="1:18" hidden="1">
      <c r="A2547" t="s">
        <v>5081</v>
      </c>
      <c r="B2547" t="s">
        <v>5082</v>
      </c>
      <c r="I2547" s="3" t="str">
        <f>+IFERROR(VLOOKUP(C2547,'Mov 2023 hasta ahora '!$C$2:$D$314,2,FALSE),"NO")</f>
        <v>NO</v>
      </c>
      <c r="K2547">
        <v>5</v>
      </c>
      <c r="L2547" t="s">
        <v>836</v>
      </c>
      <c r="M2547">
        <v>18</v>
      </c>
    </row>
    <row r="2548" spans="1:18" hidden="1">
      <c r="A2548" s="23" t="s">
        <v>5083</v>
      </c>
      <c r="B2548" s="23" t="s">
        <v>5084</v>
      </c>
      <c r="C2548" s="23">
        <v>2470</v>
      </c>
      <c r="I2548" s="3" t="str">
        <f>+IFERROR(VLOOKUP(C2548,'Mov 2023 hasta ahora '!$C$2:$D$314,2,FALSE),"NO")</f>
        <v>NO</v>
      </c>
      <c r="K2548">
        <v>6</v>
      </c>
      <c r="L2548" t="s">
        <v>836</v>
      </c>
      <c r="M2548">
        <v>24</v>
      </c>
      <c r="O2548" s="29" t="s">
        <v>9049</v>
      </c>
      <c r="P2548" s="25" t="s">
        <v>9050</v>
      </c>
      <c r="Q2548" s="25">
        <v>1363</v>
      </c>
      <c r="R2548" t="s">
        <v>436</v>
      </c>
    </row>
    <row r="2549" spans="1:18" hidden="1">
      <c r="A2549" s="23" t="s">
        <v>5085</v>
      </c>
      <c r="B2549" s="23" t="s">
        <v>5086</v>
      </c>
      <c r="C2549" s="23">
        <v>2471</v>
      </c>
      <c r="I2549" s="3" t="str">
        <f>+IFERROR(VLOOKUP(C2549,'Mov 2023 hasta ahora '!$C$2:$D$314,2,FALSE),"NO")</f>
        <v>NO</v>
      </c>
      <c r="K2549">
        <v>6</v>
      </c>
      <c r="L2549" t="s">
        <v>836</v>
      </c>
      <c r="M2549">
        <v>24</v>
      </c>
      <c r="O2549" s="29" t="s">
        <v>9014</v>
      </c>
      <c r="P2549" s="25" t="s">
        <v>8890</v>
      </c>
      <c r="Q2549" s="25">
        <v>1244</v>
      </c>
      <c r="R2549" t="s">
        <v>436</v>
      </c>
    </row>
    <row r="2550" spans="1:18" hidden="1">
      <c r="A2550" s="23" t="s">
        <v>5087</v>
      </c>
      <c r="B2550" s="23" t="s">
        <v>5088</v>
      </c>
      <c r="C2550" s="23">
        <v>2472</v>
      </c>
      <c r="I2550" s="3" t="str">
        <f>+IFERROR(VLOOKUP(C2550,'Mov 2023 hasta ahora '!$C$2:$D$314,2,FALSE),"NO")</f>
        <v>NO</v>
      </c>
      <c r="K2550">
        <v>6</v>
      </c>
      <c r="L2550" t="s">
        <v>836</v>
      </c>
      <c r="M2550">
        <v>24</v>
      </c>
      <c r="O2550" s="29" t="s">
        <v>9059</v>
      </c>
      <c r="P2550" s="25" t="s">
        <v>9060</v>
      </c>
      <c r="Q2550" s="25">
        <v>1534</v>
      </c>
      <c r="R2550" t="s">
        <v>436</v>
      </c>
    </row>
    <row r="2551" spans="1:18" hidden="1">
      <c r="A2551" s="23" t="s">
        <v>5089</v>
      </c>
      <c r="B2551" s="23" t="s">
        <v>5090</v>
      </c>
      <c r="C2551" s="23">
        <v>2473</v>
      </c>
      <c r="I2551" s="3" t="str">
        <f>+IFERROR(VLOOKUP(C2551,'Mov 2023 hasta ahora '!$C$2:$D$314,2,FALSE),"NO")</f>
        <v>NO</v>
      </c>
      <c r="K2551">
        <v>6</v>
      </c>
      <c r="L2551" t="s">
        <v>836</v>
      </c>
      <c r="M2551">
        <v>24</v>
      </c>
      <c r="O2551" s="29" t="s">
        <v>9030</v>
      </c>
      <c r="P2551" s="25" t="s">
        <v>9029</v>
      </c>
      <c r="Q2551" s="25">
        <v>3817</v>
      </c>
      <c r="R2551" t="s">
        <v>436</v>
      </c>
    </row>
    <row r="2552" spans="1:18" hidden="1">
      <c r="A2552" s="23" t="s">
        <v>5091</v>
      </c>
      <c r="B2552" s="23" t="s">
        <v>5092</v>
      </c>
      <c r="C2552" s="23">
        <v>2474</v>
      </c>
      <c r="I2552" s="3" t="str">
        <f>+IFERROR(VLOOKUP(C2552,'Mov 2023 hasta ahora '!$C$2:$D$314,2,FALSE),"NO")</f>
        <v>NO</v>
      </c>
      <c r="K2552">
        <v>6</v>
      </c>
      <c r="L2552" t="s">
        <v>836</v>
      </c>
      <c r="M2552">
        <v>24</v>
      </c>
      <c r="O2552" s="29" t="s">
        <v>9019</v>
      </c>
      <c r="P2552" s="25" t="s">
        <v>8762</v>
      </c>
      <c r="Q2552" s="25">
        <v>1758</v>
      </c>
      <c r="R2552" t="s">
        <v>436</v>
      </c>
    </row>
    <row r="2553" spans="1:18" hidden="1">
      <c r="A2553" t="s">
        <v>5093</v>
      </c>
      <c r="B2553" t="s">
        <v>5094</v>
      </c>
      <c r="I2553" s="3" t="str">
        <f>+IFERROR(VLOOKUP(C2553,'Mov 2023 hasta ahora '!$C$2:$D$314,2,FALSE),"NO")</f>
        <v>NO</v>
      </c>
      <c r="K2553">
        <v>5</v>
      </c>
      <c r="L2553" t="s">
        <v>836</v>
      </c>
      <c r="M2553">
        <v>18</v>
      </c>
    </row>
    <row r="2554" spans="1:18" s="13" customFormat="1" hidden="1">
      <c r="A2554" s="23" t="s">
        <v>5095</v>
      </c>
      <c r="B2554" s="23" t="s">
        <v>5096</v>
      </c>
      <c r="C2554" s="23">
        <v>2475</v>
      </c>
      <c r="G2554"/>
      <c r="I2554" s="14" t="str">
        <f>+IFERROR(VLOOKUP(C2554,'Mov 2023 hasta ahora '!$C$2:$D$314,2,FALSE),"NO")</f>
        <v>NO</v>
      </c>
      <c r="K2554">
        <v>6</v>
      </c>
      <c r="L2554" t="s">
        <v>836</v>
      </c>
      <c r="M2554">
        <v>24</v>
      </c>
      <c r="O2554" s="29" t="s">
        <v>8825</v>
      </c>
      <c r="P2554" s="25" t="s">
        <v>8832</v>
      </c>
      <c r="Q2554" s="25">
        <v>3601</v>
      </c>
      <c r="R2554" t="s">
        <v>436</v>
      </c>
    </row>
    <row r="2555" spans="1:18" s="13" customFormat="1" hidden="1">
      <c r="A2555" s="23" t="s">
        <v>5097</v>
      </c>
      <c r="B2555" s="23" t="s">
        <v>5098</v>
      </c>
      <c r="C2555" s="23">
        <v>2476</v>
      </c>
      <c r="G2555"/>
      <c r="I2555" s="14" t="str">
        <f>+IFERROR(VLOOKUP(C2555,'Mov 2023 hasta ahora '!$C$2:$D$314,2,FALSE),"NO")</f>
        <v>NO</v>
      </c>
      <c r="K2555">
        <v>6</v>
      </c>
      <c r="L2555" t="s">
        <v>836</v>
      </c>
      <c r="M2555">
        <v>24</v>
      </c>
      <c r="O2555" s="29" t="s">
        <v>8992</v>
      </c>
      <c r="P2555" s="25" t="s">
        <v>8836</v>
      </c>
      <c r="Q2555" s="25">
        <v>3603</v>
      </c>
      <c r="R2555" t="s">
        <v>436</v>
      </c>
    </row>
    <row r="2556" spans="1:18" hidden="1">
      <c r="A2556" t="s">
        <v>5099</v>
      </c>
      <c r="B2556" t="s">
        <v>1463</v>
      </c>
      <c r="I2556" s="3" t="str">
        <f>+IFERROR(VLOOKUP(C2556,'Mov 2023 hasta ahora '!$C$2:$D$314,2,FALSE),"NO")</f>
        <v>NO</v>
      </c>
      <c r="K2556">
        <v>3</v>
      </c>
      <c r="L2556" t="s">
        <v>836</v>
      </c>
      <c r="M2556">
        <v>10</v>
      </c>
    </row>
    <row r="2557" spans="1:18" hidden="1">
      <c r="A2557" t="s">
        <v>5100</v>
      </c>
      <c r="B2557" t="s">
        <v>5101</v>
      </c>
      <c r="I2557" s="3" t="str">
        <f>+IFERROR(VLOOKUP(C2557,'Mov 2023 hasta ahora '!$C$2:$D$314,2,FALSE),"NO")</f>
        <v>NO</v>
      </c>
      <c r="K2557">
        <v>4</v>
      </c>
      <c r="L2557" t="s">
        <v>836</v>
      </c>
      <c r="M2557">
        <v>14</v>
      </c>
    </row>
    <row r="2558" spans="1:18" hidden="1">
      <c r="A2558" t="s">
        <v>5102</v>
      </c>
      <c r="B2558" t="s">
        <v>5103</v>
      </c>
      <c r="I2558" s="3" t="str">
        <f>+IFERROR(VLOOKUP(C2558,'Mov 2023 hasta ahora '!$C$2:$D$314,2,FALSE),"NO")</f>
        <v>NO</v>
      </c>
      <c r="K2558">
        <v>5</v>
      </c>
      <c r="L2558" t="s">
        <v>836</v>
      </c>
      <c r="M2558">
        <v>18</v>
      </c>
    </row>
    <row r="2559" spans="1:18" hidden="1">
      <c r="A2559" s="23" t="s">
        <v>5104</v>
      </c>
      <c r="B2559" s="23" t="s">
        <v>5105</v>
      </c>
      <c r="C2559" s="23">
        <v>2517</v>
      </c>
      <c r="I2559" s="3" t="str">
        <f>+IFERROR(VLOOKUP(C2559,'Mov 2023 hasta ahora '!$C$2:$D$314,2,FALSE),"NO")</f>
        <v>NO</v>
      </c>
      <c r="K2559">
        <v>6</v>
      </c>
      <c r="L2559" t="s">
        <v>836</v>
      </c>
      <c r="M2559">
        <v>24</v>
      </c>
      <c r="O2559" s="29" t="s">
        <v>8794</v>
      </c>
      <c r="P2559" s="25" t="s">
        <v>8982</v>
      </c>
      <c r="Q2559" s="25">
        <v>1441</v>
      </c>
      <c r="R2559" t="s">
        <v>436</v>
      </c>
    </row>
    <row r="2560" spans="1:18" hidden="1">
      <c r="A2560" s="23" t="s">
        <v>5106</v>
      </c>
      <c r="B2560" s="23" t="s">
        <v>5107</v>
      </c>
      <c r="C2560" s="23">
        <v>2518</v>
      </c>
      <c r="I2560" s="3" t="str">
        <f>+IFERROR(VLOOKUP(C2560,'Mov 2023 hasta ahora '!$C$2:$D$314,2,FALSE),"NO")</f>
        <v>NO</v>
      </c>
      <c r="K2560">
        <v>6</v>
      </c>
      <c r="L2560" t="s">
        <v>836</v>
      </c>
      <c r="M2560">
        <v>24</v>
      </c>
      <c r="O2560" s="29" t="s">
        <v>8809</v>
      </c>
      <c r="P2560" s="25" t="s">
        <v>8983</v>
      </c>
      <c r="Q2560" s="25">
        <v>1448</v>
      </c>
      <c r="R2560" t="s">
        <v>436</v>
      </c>
    </row>
    <row r="2561" spans="1:18" hidden="1">
      <c r="A2561" t="s">
        <v>5108</v>
      </c>
      <c r="B2561" t="s">
        <v>5109</v>
      </c>
      <c r="I2561" s="3" t="str">
        <f>+IFERROR(VLOOKUP(C2561,'Mov 2023 hasta ahora '!$C$2:$D$314,2,FALSE),"NO")</f>
        <v>NO</v>
      </c>
      <c r="K2561">
        <v>5</v>
      </c>
      <c r="L2561" t="s">
        <v>836</v>
      </c>
      <c r="M2561">
        <v>18</v>
      </c>
    </row>
    <row r="2562" spans="1:18" hidden="1">
      <c r="A2562" s="23" t="s">
        <v>5110</v>
      </c>
      <c r="B2562" s="23" t="s">
        <v>5111</v>
      </c>
      <c r="C2562" s="23">
        <v>2519</v>
      </c>
      <c r="I2562" s="3" t="str">
        <f>+IFERROR(VLOOKUP(C2562,'Mov 2023 hasta ahora '!$C$2:$D$314,2,FALSE),"NO")</f>
        <v>NO</v>
      </c>
      <c r="K2562">
        <v>6</v>
      </c>
      <c r="L2562" t="s">
        <v>836</v>
      </c>
      <c r="M2562">
        <v>24</v>
      </c>
      <c r="O2562" s="29" t="s">
        <v>8794</v>
      </c>
      <c r="P2562" s="25" t="s">
        <v>8982</v>
      </c>
      <c r="Q2562" s="25">
        <v>1441</v>
      </c>
      <c r="R2562" t="s">
        <v>436</v>
      </c>
    </row>
    <row r="2563" spans="1:18" hidden="1">
      <c r="A2563" s="23" t="s">
        <v>5112</v>
      </c>
      <c r="B2563" s="23" t="s">
        <v>5113</v>
      </c>
      <c r="C2563" s="23">
        <v>2520</v>
      </c>
      <c r="I2563" s="3" t="str">
        <f>+IFERROR(VLOOKUP(C2563,'Mov 2023 hasta ahora '!$C$2:$D$314,2,FALSE),"NO")</f>
        <v>NO</v>
      </c>
      <c r="K2563">
        <v>6</v>
      </c>
      <c r="L2563" t="s">
        <v>836</v>
      </c>
      <c r="M2563">
        <v>24</v>
      </c>
      <c r="O2563" s="29" t="s">
        <v>8809</v>
      </c>
      <c r="P2563" s="25" t="s">
        <v>8983</v>
      </c>
      <c r="Q2563" s="25">
        <v>1448</v>
      </c>
      <c r="R2563" t="s">
        <v>436</v>
      </c>
    </row>
    <row r="2564" spans="1:18" hidden="1">
      <c r="A2564" t="s">
        <v>5114</v>
      </c>
      <c r="B2564" t="s">
        <v>5115</v>
      </c>
      <c r="I2564" s="3" t="str">
        <f>+IFERROR(VLOOKUP(C2564,'Mov 2023 hasta ahora '!$C$2:$D$314,2,FALSE),"NO")</f>
        <v>NO</v>
      </c>
      <c r="K2564">
        <v>4</v>
      </c>
      <c r="L2564" t="s">
        <v>836</v>
      </c>
      <c r="M2564">
        <v>14</v>
      </c>
    </row>
    <row r="2565" spans="1:18" hidden="1">
      <c r="A2565" t="s">
        <v>5116</v>
      </c>
      <c r="B2565" t="s">
        <v>5117</v>
      </c>
      <c r="I2565" s="3" t="str">
        <f>+IFERROR(VLOOKUP(C2565,'Mov 2023 hasta ahora '!$C$2:$D$314,2,FALSE),"NO")</f>
        <v>NO</v>
      </c>
      <c r="K2565">
        <v>5</v>
      </c>
      <c r="L2565" t="s">
        <v>836</v>
      </c>
      <c r="M2565">
        <v>18</v>
      </c>
    </row>
    <row r="2566" spans="1:18" s="13" customFormat="1" hidden="1">
      <c r="A2566" s="23" t="s">
        <v>5118</v>
      </c>
      <c r="B2566" s="23" t="s">
        <v>5119</v>
      </c>
      <c r="C2566" s="23">
        <v>2521</v>
      </c>
      <c r="G2566"/>
      <c r="I2566" s="14" t="str">
        <f>+IFERROR(VLOOKUP(C2566,'Mov 2023 hasta ahora '!$C$2:$D$314,2,FALSE),"NO")</f>
        <v>NO</v>
      </c>
      <c r="K2566">
        <v>6</v>
      </c>
      <c r="L2566" t="s">
        <v>836</v>
      </c>
      <c r="M2566">
        <v>24</v>
      </c>
      <c r="O2566" s="29" t="s">
        <v>8794</v>
      </c>
      <c r="P2566" s="25" t="s">
        <v>8982</v>
      </c>
      <c r="Q2566" s="25">
        <v>1441</v>
      </c>
      <c r="R2566" t="s">
        <v>436</v>
      </c>
    </row>
    <row r="2567" spans="1:18" s="13" customFormat="1" hidden="1">
      <c r="A2567" s="23" t="s">
        <v>5120</v>
      </c>
      <c r="B2567" s="23" t="s">
        <v>5121</v>
      </c>
      <c r="C2567" s="23">
        <v>2522</v>
      </c>
      <c r="G2567"/>
      <c r="I2567" s="14" t="str">
        <f>+IFERROR(VLOOKUP(C2567,'Mov 2023 hasta ahora '!$C$2:$D$314,2,FALSE),"NO")</f>
        <v>NO</v>
      </c>
      <c r="K2567">
        <v>6</v>
      </c>
      <c r="L2567" t="s">
        <v>836</v>
      </c>
      <c r="M2567">
        <v>24</v>
      </c>
      <c r="O2567" s="29" t="s">
        <v>8809</v>
      </c>
      <c r="P2567" s="25" t="s">
        <v>8983</v>
      </c>
      <c r="Q2567" s="25">
        <v>1448</v>
      </c>
      <c r="R2567" t="s">
        <v>436</v>
      </c>
    </row>
    <row r="2568" spans="1:18" hidden="1">
      <c r="A2568" t="s">
        <v>5122</v>
      </c>
      <c r="B2568" t="s">
        <v>5123</v>
      </c>
      <c r="I2568" s="3" t="str">
        <f>+IFERROR(VLOOKUP(C2568,'Mov 2023 hasta ahora '!$C$2:$D$314,2,FALSE),"NO")</f>
        <v>NO</v>
      </c>
      <c r="K2568">
        <v>4</v>
      </c>
      <c r="L2568" t="s">
        <v>836</v>
      </c>
      <c r="M2568">
        <v>14</v>
      </c>
    </row>
    <row r="2569" spans="1:18" hidden="1">
      <c r="A2569" t="s">
        <v>5124</v>
      </c>
      <c r="B2569" t="s">
        <v>5125</v>
      </c>
      <c r="I2569" s="3" t="str">
        <f>+IFERROR(VLOOKUP(C2569,'Mov 2023 hasta ahora '!$C$2:$D$314,2,FALSE),"NO")</f>
        <v>NO</v>
      </c>
      <c r="K2569">
        <v>5</v>
      </c>
      <c r="L2569" t="s">
        <v>836</v>
      </c>
      <c r="M2569">
        <v>18</v>
      </c>
    </row>
    <row r="2570" spans="1:18" s="13" customFormat="1" hidden="1">
      <c r="A2570" s="23" t="s">
        <v>5126</v>
      </c>
      <c r="B2570" s="23" t="s">
        <v>5127</v>
      </c>
      <c r="C2570" s="23">
        <v>2523</v>
      </c>
      <c r="G2570"/>
      <c r="I2570" s="14" t="str">
        <f>+IFERROR(VLOOKUP(C2570,'Mov 2023 hasta ahora '!$C$2:$D$314,2,FALSE),"NO")</f>
        <v>NO</v>
      </c>
      <c r="K2570">
        <v>6</v>
      </c>
      <c r="L2570" t="s">
        <v>836</v>
      </c>
      <c r="M2570">
        <v>24</v>
      </c>
      <c r="O2570" s="29" t="s">
        <v>8800</v>
      </c>
      <c r="P2570" s="25" t="s">
        <v>8988</v>
      </c>
      <c r="Q2570" s="25">
        <v>1457</v>
      </c>
      <c r="R2570" t="s">
        <v>436</v>
      </c>
    </row>
    <row r="2571" spans="1:18" s="13" customFormat="1" hidden="1">
      <c r="A2571" s="23" t="s">
        <v>5128</v>
      </c>
      <c r="B2571" s="23" t="s">
        <v>5129</v>
      </c>
      <c r="C2571" s="23">
        <v>2524</v>
      </c>
      <c r="G2571"/>
      <c r="I2571" s="14" t="str">
        <f>+IFERROR(VLOOKUP(C2571,'Mov 2023 hasta ahora '!$C$2:$D$314,2,FALSE),"NO")</f>
        <v>NO</v>
      </c>
      <c r="K2571">
        <v>6</v>
      </c>
      <c r="L2571" t="s">
        <v>836</v>
      </c>
      <c r="M2571">
        <v>24</v>
      </c>
      <c r="O2571" s="29" t="s">
        <v>8810</v>
      </c>
      <c r="P2571" s="25" t="s">
        <v>8989</v>
      </c>
      <c r="Q2571" s="25">
        <v>1465</v>
      </c>
      <c r="R2571" t="s">
        <v>436</v>
      </c>
    </row>
    <row r="2572" spans="1:18" hidden="1">
      <c r="A2572" t="s">
        <v>5130</v>
      </c>
      <c r="B2572" t="s">
        <v>5131</v>
      </c>
      <c r="I2572" s="3" t="str">
        <f>+IFERROR(VLOOKUP(C2572,'Mov 2023 hasta ahora '!$C$2:$D$314,2,FALSE),"NO")</f>
        <v>NO</v>
      </c>
      <c r="K2572">
        <v>4</v>
      </c>
      <c r="L2572" t="s">
        <v>836</v>
      </c>
      <c r="M2572">
        <v>14</v>
      </c>
    </row>
    <row r="2573" spans="1:18" hidden="1">
      <c r="A2573" t="s">
        <v>5132</v>
      </c>
      <c r="B2573" t="s">
        <v>5133</v>
      </c>
      <c r="I2573" s="3" t="str">
        <f>+IFERROR(VLOOKUP(C2573,'Mov 2023 hasta ahora '!$C$2:$D$314,2,FALSE),"NO")</f>
        <v>NO</v>
      </c>
      <c r="K2573">
        <v>5</v>
      </c>
      <c r="L2573" t="s">
        <v>836</v>
      </c>
      <c r="M2573">
        <v>18</v>
      </c>
    </row>
    <row r="2574" spans="1:18" s="13" customFormat="1" hidden="1">
      <c r="A2574" s="23" t="s">
        <v>5134</v>
      </c>
      <c r="B2574" s="23" t="s">
        <v>5135</v>
      </c>
      <c r="C2574" s="23">
        <v>2525</v>
      </c>
      <c r="G2574"/>
      <c r="I2574" s="14" t="str">
        <f>+IFERROR(VLOOKUP(C2574,'Mov 2023 hasta ahora '!$C$2:$D$314,2,FALSE),"NO")</f>
        <v>NO</v>
      </c>
      <c r="K2574">
        <v>6</v>
      </c>
      <c r="L2574" t="s">
        <v>836</v>
      </c>
      <c r="M2574">
        <v>24</v>
      </c>
      <c r="O2574" s="29" t="s">
        <v>8815</v>
      </c>
      <c r="P2574" s="25" t="s">
        <v>8796</v>
      </c>
      <c r="Q2574" s="25">
        <v>1579</v>
      </c>
      <c r="R2574" t="s">
        <v>436</v>
      </c>
    </row>
    <row r="2575" spans="1:18" s="13" customFormat="1" hidden="1">
      <c r="A2575" s="23" t="s">
        <v>5136</v>
      </c>
      <c r="B2575" s="23" t="s">
        <v>5137</v>
      </c>
      <c r="C2575" s="23">
        <v>2526</v>
      </c>
      <c r="G2575"/>
      <c r="I2575" s="14" t="str">
        <f>+IFERROR(VLOOKUP(C2575,'Mov 2023 hasta ahora '!$C$2:$D$314,2,FALSE),"NO")</f>
        <v>NO</v>
      </c>
      <c r="K2575">
        <v>6</v>
      </c>
      <c r="L2575" t="s">
        <v>836</v>
      </c>
      <c r="M2575">
        <v>24</v>
      </c>
      <c r="O2575" s="29" t="s">
        <v>8816</v>
      </c>
      <c r="P2575" s="25" t="s">
        <v>8806</v>
      </c>
      <c r="Q2575" s="25">
        <v>1589</v>
      </c>
      <c r="R2575" t="s">
        <v>436</v>
      </c>
    </row>
    <row r="2576" spans="1:18" hidden="1">
      <c r="A2576" t="s">
        <v>5138</v>
      </c>
      <c r="B2576" t="s">
        <v>5139</v>
      </c>
      <c r="I2576" s="3" t="str">
        <f>+IFERROR(VLOOKUP(C2576,'Mov 2023 hasta ahora '!$C$2:$D$314,2,FALSE),"NO")</f>
        <v>NO</v>
      </c>
      <c r="K2576">
        <v>4</v>
      </c>
      <c r="L2576" t="s">
        <v>836</v>
      </c>
      <c r="M2576">
        <v>14</v>
      </c>
    </row>
    <row r="2577" spans="1:18" hidden="1">
      <c r="A2577" t="s">
        <v>5140</v>
      </c>
      <c r="B2577" t="s">
        <v>5141</v>
      </c>
      <c r="I2577" s="3" t="str">
        <f>+IFERROR(VLOOKUP(C2577,'Mov 2023 hasta ahora '!$C$2:$D$314,2,FALSE),"NO")</f>
        <v>NO</v>
      </c>
      <c r="K2577">
        <v>5</v>
      </c>
      <c r="L2577" t="s">
        <v>836</v>
      </c>
      <c r="M2577">
        <v>18</v>
      </c>
    </row>
    <row r="2578" spans="1:18" s="13" customFormat="1" hidden="1">
      <c r="A2578" s="23" t="s">
        <v>5142</v>
      </c>
      <c r="B2578" s="23" t="s">
        <v>5143</v>
      </c>
      <c r="C2578" s="23">
        <v>2527</v>
      </c>
      <c r="G2578"/>
      <c r="I2578" s="14" t="str">
        <f>+IFERROR(VLOOKUP(C2578,'Mov 2023 hasta ahora '!$C$2:$D$314,2,FALSE),"NO")</f>
        <v>NO</v>
      </c>
      <c r="K2578">
        <v>6</v>
      </c>
      <c r="L2578" t="s">
        <v>836</v>
      </c>
      <c r="M2578">
        <v>24</v>
      </c>
      <c r="O2578" s="29" t="s">
        <v>8752</v>
      </c>
      <c r="P2578" s="25" t="s">
        <v>8995</v>
      </c>
      <c r="Q2578" s="25">
        <v>1481</v>
      </c>
      <c r="R2578" t="s">
        <v>436</v>
      </c>
    </row>
    <row r="2579" spans="1:18" s="13" customFormat="1" hidden="1">
      <c r="A2579" s="23" t="s">
        <v>5144</v>
      </c>
      <c r="B2579" s="23" t="s">
        <v>5145</v>
      </c>
      <c r="C2579" s="23">
        <v>2528</v>
      </c>
      <c r="G2579"/>
      <c r="I2579" s="14" t="str">
        <f>+IFERROR(VLOOKUP(C2579,'Mov 2023 hasta ahora '!$C$2:$D$314,2,FALSE),"NO")</f>
        <v>NO</v>
      </c>
      <c r="K2579">
        <v>6</v>
      </c>
      <c r="L2579" t="s">
        <v>836</v>
      </c>
      <c r="M2579">
        <v>24</v>
      </c>
      <c r="O2579" s="29" t="s">
        <v>8766</v>
      </c>
      <c r="P2579" s="25" t="s">
        <v>8996</v>
      </c>
      <c r="Q2579" s="25">
        <v>1473</v>
      </c>
      <c r="R2579" t="s">
        <v>436</v>
      </c>
    </row>
    <row r="2580" spans="1:18" hidden="1">
      <c r="A2580" t="s">
        <v>5146</v>
      </c>
      <c r="B2580" t="s">
        <v>5147</v>
      </c>
      <c r="I2580" s="3" t="str">
        <f>+IFERROR(VLOOKUP(C2580,'Mov 2023 hasta ahora '!$C$2:$D$314,2,FALSE),"NO")</f>
        <v>NO</v>
      </c>
      <c r="K2580">
        <v>4</v>
      </c>
      <c r="L2580" t="s">
        <v>836</v>
      </c>
      <c r="M2580">
        <v>14</v>
      </c>
    </row>
    <row r="2581" spans="1:18" hidden="1">
      <c r="A2581" t="s">
        <v>5148</v>
      </c>
      <c r="B2581" t="s">
        <v>5149</v>
      </c>
      <c r="I2581" s="3" t="str">
        <f>+IFERROR(VLOOKUP(C2581,'Mov 2023 hasta ahora '!$C$2:$D$314,2,FALSE),"NO")</f>
        <v>NO</v>
      </c>
      <c r="K2581">
        <v>5</v>
      </c>
      <c r="L2581" t="s">
        <v>836</v>
      </c>
      <c r="M2581">
        <v>18</v>
      </c>
    </row>
    <row r="2582" spans="1:18" s="13" customFormat="1" hidden="1">
      <c r="A2582" s="23" t="s">
        <v>5150</v>
      </c>
      <c r="B2582" s="23" t="s">
        <v>5151</v>
      </c>
      <c r="C2582" s="23">
        <v>2529</v>
      </c>
      <c r="G2582"/>
      <c r="I2582" s="14" t="str">
        <f>+IFERROR(VLOOKUP(C2582,'Mov 2023 hasta ahora '!$C$2:$D$314,2,FALSE),"NO")</f>
        <v>NO</v>
      </c>
      <c r="K2582">
        <v>6</v>
      </c>
      <c r="L2582" t="s">
        <v>836</v>
      </c>
      <c r="M2582">
        <v>24</v>
      </c>
      <c r="O2582" s="29" t="s">
        <v>8795</v>
      </c>
      <c r="P2582" s="25" t="s">
        <v>8798</v>
      </c>
      <c r="Q2582" s="25">
        <v>1489</v>
      </c>
      <c r="R2582" t="s">
        <v>436</v>
      </c>
    </row>
    <row r="2583" spans="1:18" s="13" customFormat="1" hidden="1">
      <c r="A2583" s="23" t="s">
        <v>5152</v>
      </c>
      <c r="B2583" s="23" t="s">
        <v>5153</v>
      </c>
      <c r="C2583" s="23">
        <v>2530</v>
      </c>
      <c r="G2583"/>
      <c r="I2583" s="14" t="str">
        <f>+IFERROR(VLOOKUP(C2583,'Mov 2023 hasta ahora '!$C$2:$D$314,2,FALSE),"NO")</f>
        <v>NO</v>
      </c>
      <c r="K2583">
        <v>6</v>
      </c>
      <c r="L2583" t="s">
        <v>836</v>
      </c>
      <c r="M2583">
        <v>24</v>
      </c>
      <c r="O2583" s="29" t="s">
        <v>8804</v>
      </c>
      <c r="P2583" s="25" t="s">
        <v>8808</v>
      </c>
      <c r="Q2583" s="25">
        <v>1497</v>
      </c>
      <c r="R2583" s="13" t="s">
        <v>436</v>
      </c>
    </row>
    <row r="2584" spans="1:18" hidden="1">
      <c r="A2584" t="s">
        <v>5154</v>
      </c>
      <c r="B2584" t="s">
        <v>5155</v>
      </c>
      <c r="I2584" s="3" t="str">
        <f>+IFERROR(VLOOKUP(C2584,'Mov 2023 hasta ahora '!$C$2:$D$314,2,FALSE),"NO")</f>
        <v>NO</v>
      </c>
      <c r="K2584">
        <v>4</v>
      </c>
      <c r="L2584" t="s">
        <v>836</v>
      </c>
      <c r="M2584">
        <v>14</v>
      </c>
    </row>
    <row r="2585" spans="1:18" hidden="1">
      <c r="A2585" t="s">
        <v>5156</v>
      </c>
      <c r="B2585" t="s">
        <v>5157</v>
      </c>
      <c r="I2585" s="3" t="str">
        <f>+IFERROR(VLOOKUP(C2585,'Mov 2023 hasta ahora '!$C$2:$D$314,2,FALSE),"NO")</f>
        <v>NO</v>
      </c>
      <c r="K2585">
        <v>5</v>
      </c>
      <c r="L2585" t="s">
        <v>836</v>
      </c>
      <c r="M2585">
        <v>18</v>
      </c>
    </row>
    <row r="2586" spans="1:18" s="13" customFormat="1" hidden="1">
      <c r="A2586" s="23" t="s">
        <v>5158</v>
      </c>
      <c r="B2586" s="23" t="s">
        <v>5159</v>
      </c>
      <c r="C2586" s="23">
        <v>2531</v>
      </c>
      <c r="G2586"/>
      <c r="I2586" s="14" t="str">
        <f>+IFERROR(VLOOKUP(C2586,'Mov 2023 hasta ahora '!$C$2:$D$314,2,FALSE),"NO")</f>
        <v>NO</v>
      </c>
      <c r="K2586">
        <v>6</v>
      </c>
      <c r="L2586" t="s">
        <v>836</v>
      </c>
      <c r="M2586">
        <v>24</v>
      </c>
      <c r="O2586" s="29" t="s">
        <v>9002</v>
      </c>
      <c r="P2586" s="25" t="s">
        <v>8799</v>
      </c>
      <c r="Q2586" s="25">
        <v>1513</v>
      </c>
      <c r="R2586" t="s">
        <v>436</v>
      </c>
    </row>
    <row r="2587" spans="1:18" s="13" customFormat="1" hidden="1">
      <c r="A2587" s="23" t="s">
        <v>5160</v>
      </c>
      <c r="B2587" s="23" t="s">
        <v>5161</v>
      </c>
      <c r="C2587" s="23">
        <v>2532</v>
      </c>
      <c r="G2587"/>
      <c r="I2587" s="14" t="str">
        <f>+IFERROR(VLOOKUP(C2587,'Mov 2023 hasta ahora '!$C$2:$D$314,2,FALSE),"NO")</f>
        <v>NO</v>
      </c>
      <c r="K2587">
        <v>6</v>
      </c>
      <c r="L2587" t="s">
        <v>836</v>
      </c>
      <c r="M2587">
        <v>24</v>
      </c>
      <c r="O2587" s="29" t="s">
        <v>9003</v>
      </c>
      <c r="P2587" s="25" t="s">
        <v>8803</v>
      </c>
      <c r="Q2587" s="25">
        <v>1505</v>
      </c>
      <c r="R2587" t="s">
        <v>436</v>
      </c>
    </row>
    <row r="2588" spans="1:18" hidden="1">
      <c r="A2588" t="s">
        <v>5162</v>
      </c>
      <c r="B2588" t="s">
        <v>5163</v>
      </c>
      <c r="I2588" s="3" t="str">
        <f>+IFERROR(VLOOKUP(C2588,'Mov 2023 hasta ahora '!$C$2:$D$314,2,FALSE),"NO")</f>
        <v>NO</v>
      </c>
      <c r="K2588">
        <v>4</v>
      </c>
      <c r="L2588" t="s">
        <v>836</v>
      </c>
      <c r="M2588">
        <v>14</v>
      </c>
    </row>
    <row r="2589" spans="1:18" hidden="1">
      <c r="A2589" t="s">
        <v>5164</v>
      </c>
      <c r="B2589" t="s">
        <v>5165</v>
      </c>
      <c r="I2589" s="3" t="str">
        <f>+IFERROR(VLOOKUP(C2589,'Mov 2023 hasta ahora '!$C$2:$D$314,2,FALSE),"NO")</f>
        <v>NO</v>
      </c>
      <c r="K2589">
        <v>5</v>
      </c>
      <c r="L2589" t="s">
        <v>836</v>
      </c>
      <c r="M2589">
        <v>18</v>
      </c>
    </row>
    <row r="2590" spans="1:18" hidden="1">
      <c r="A2590" s="23" t="s">
        <v>5166</v>
      </c>
      <c r="B2590" s="23" t="s">
        <v>5167</v>
      </c>
      <c r="C2590" s="23">
        <v>2533</v>
      </c>
      <c r="I2590" s="3" t="str">
        <f>+IFERROR(VLOOKUP(C2590,'Mov 2023 hasta ahora '!$C$2:$D$314,2,FALSE),"NO")</f>
        <v>NO</v>
      </c>
      <c r="K2590">
        <v>6</v>
      </c>
      <c r="L2590" t="s">
        <v>836</v>
      </c>
      <c r="M2590">
        <v>24</v>
      </c>
      <c r="O2590" s="29" t="s">
        <v>8861</v>
      </c>
      <c r="P2590" s="25" t="s">
        <v>8868</v>
      </c>
      <c r="Q2590" s="25">
        <v>1419</v>
      </c>
      <c r="R2590" t="s">
        <v>436</v>
      </c>
    </row>
    <row r="2591" spans="1:18" hidden="1">
      <c r="A2591" t="s">
        <v>5168</v>
      </c>
      <c r="B2591" t="s">
        <v>5169</v>
      </c>
      <c r="I2591" s="3" t="str">
        <f>+IFERROR(VLOOKUP(C2591,'Mov 2023 hasta ahora '!$C$2:$D$314,2,FALSE),"NO")</f>
        <v>NO</v>
      </c>
      <c r="K2591">
        <v>5</v>
      </c>
      <c r="L2591" t="s">
        <v>836</v>
      </c>
      <c r="M2591">
        <v>18</v>
      </c>
    </row>
    <row r="2592" spans="1:18" hidden="1">
      <c r="A2592" s="23" t="s">
        <v>5170</v>
      </c>
      <c r="B2592" s="23" t="s">
        <v>5171</v>
      </c>
      <c r="C2592" s="23">
        <v>2534</v>
      </c>
      <c r="I2592" s="3" t="str">
        <f>+IFERROR(VLOOKUP(C2592,'Mov 2023 hasta ahora '!$C$2:$D$314,2,FALSE),"NO")</f>
        <v>NO</v>
      </c>
      <c r="K2592">
        <v>6</v>
      </c>
      <c r="L2592" t="s">
        <v>836</v>
      </c>
      <c r="M2592">
        <v>24</v>
      </c>
      <c r="O2592" s="29" t="s">
        <v>9049</v>
      </c>
      <c r="P2592" s="25" t="s">
        <v>9050</v>
      </c>
      <c r="Q2592" s="25">
        <v>1363</v>
      </c>
      <c r="R2592" t="s">
        <v>436</v>
      </c>
    </row>
    <row r="2593" spans="1:18" hidden="1">
      <c r="A2593" s="23" t="s">
        <v>5172</v>
      </c>
      <c r="B2593" s="23" t="s">
        <v>5173</v>
      </c>
      <c r="C2593" s="23">
        <v>2535</v>
      </c>
      <c r="I2593" s="3" t="str">
        <f>+IFERROR(VLOOKUP(C2593,'Mov 2023 hasta ahora '!$C$2:$D$314,2,FALSE),"NO")</f>
        <v>NO</v>
      </c>
      <c r="K2593">
        <v>6</v>
      </c>
      <c r="L2593" t="s">
        <v>836</v>
      </c>
      <c r="M2593">
        <v>24</v>
      </c>
      <c r="O2593" s="29" t="s">
        <v>9014</v>
      </c>
      <c r="P2593" s="25" t="s">
        <v>8890</v>
      </c>
      <c r="Q2593" s="25">
        <v>1244</v>
      </c>
      <c r="R2593" t="s">
        <v>436</v>
      </c>
    </row>
    <row r="2594" spans="1:18" hidden="1">
      <c r="A2594" s="23" t="s">
        <v>5174</v>
      </c>
      <c r="B2594" s="23" t="s">
        <v>5175</v>
      </c>
      <c r="C2594" s="23">
        <v>2536</v>
      </c>
      <c r="I2594" s="3" t="str">
        <f>+IFERROR(VLOOKUP(C2594,'Mov 2023 hasta ahora '!$C$2:$D$314,2,FALSE),"NO")</f>
        <v>NO</v>
      </c>
      <c r="K2594">
        <v>6</v>
      </c>
      <c r="L2594" t="s">
        <v>836</v>
      </c>
      <c r="M2594">
        <v>24</v>
      </c>
      <c r="O2594" s="29" t="s">
        <v>9030</v>
      </c>
      <c r="P2594" s="25" t="s">
        <v>9029</v>
      </c>
      <c r="Q2594" s="25">
        <v>3817</v>
      </c>
      <c r="R2594" t="s">
        <v>436</v>
      </c>
    </row>
    <row r="2595" spans="1:18" s="13" customFormat="1" hidden="1">
      <c r="A2595" s="23" t="s">
        <v>5176</v>
      </c>
      <c r="B2595" s="23" t="s">
        <v>5177</v>
      </c>
      <c r="C2595" s="23">
        <v>2537</v>
      </c>
      <c r="G2595"/>
      <c r="I2595" s="14" t="str">
        <f>+IFERROR(VLOOKUP(C2595,'Mov 2023 hasta ahora '!$C$2:$D$314,2,FALSE),"NO")</f>
        <v>NO</v>
      </c>
      <c r="K2595">
        <v>6</v>
      </c>
      <c r="L2595" t="s">
        <v>836</v>
      </c>
      <c r="M2595">
        <v>24</v>
      </c>
      <c r="O2595" s="29" t="s">
        <v>8825</v>
      </c>
      <c r="P2595" s="25" t="s">
        <v>8832</v>
      </c>
      <c r="Q2595" s="25">
        <v>3601</v>
      </c>
      <c r="R2595" t="s">
        <v>436</v>
      </c>
    </row>
    <row r="2596" spans="1:18" s="13" customFormat="1" hidden="1">
      <c r="A2596" s="23" t="s">
        <v>5178</v>
      </c>
      <c r="B2596" s="23" t="s">
        <v>5179</v>
      </c>
      <c r="C2596" s="23">
        <v>2538</v>
      </c>
      <c r="G2596"/>
      <c r="I2596" s="14" t="str">
        <f>+IFERROR(VLOOKUP(C2596,'Mov 2023 hasta ahora '!$C$2:$D$314,2,FALSE),"NO")</f>
        <v>NO</v>
      </c>
      <c r="K2596">
        <v>6</v>
      </c>
      <c r="L2596" t="s">
        <v>836</v>
      </c>
      <c r="M2596">
        <v>24</v>
      </c>
      <c r="O2596" s="29" t="s">
        <v>8992</v>
      </c>
      <c r="P2596" s="25" t="s">
        <v>8836</v>
      </c>
      <c r="Q2596" s="25">
        <v>3603</v>
      </c>
      <c r="R2596" t="s">
        <v>436</v>
      </c>
    </row>
    <row r="2597" spans="1:18" hidden="1">
      <c r="A2597" t="s">
        <v>5180</v>
      </c>
      <c r="B2597" t="s">
        <v>1491</v>
      </c>
      <c r="I2597" s="3" t="str">
        <f>+IFERROR(VLOOKUP(C2597,'Mov 2023 hasta ahora '!$C$2:$D$314,2,FALSE),"NO")</f>
        <v>NO</v>
      </c>
      <c r="K2597">
        <v>3</v>
      </c>
      <c r="L2597" t="s">
        <v>836</v>
      </c>
      <c r="M2597">
        <v>10</v>
      </c>
    </row>
    <row r="2598" spans="1:18" hidden="1">
      <c r="A2598" t="s">
        <v>5181</v>
      </c>
      <c r="B2598" t="s">
        <v>5182</v>
      </c>
      <c r="I2598" s="3" t="str">
        <f>+IFERROR(VLOOKUP(C2598,'Mov 2023 hasta ahora '!$C$2:$D$314,2,FALSE),"NO")</f>
        <v>NO</v>
      </c>
      <c r="K2598">
        <v>4</v>
      </c>
      <c r="L2598" t="s">
        <v>836</v>
      </c>
      <c r="M2598">
        <v>14</v>
      </c>
    </row>
    <row r="2599" spans="1:18" hidden="1">
      <c r="A2599" t="s">
        <v>5183</v>
      </c>
      <c r="B2599" t="s">
        <v>5184</v>
      </c>
      <c r="I2599" s="3" t="str">
        <f>+IFERROR(VLOOKUP(C2599,'Mov 2023 hasta ahora '!$C$2:$D$314,2,FALSE),"NO")</f>
        <v>NO</v>
      </c>
      <c r="K2599">
        <v>5</v>
      </c>
      <c r="L2599" t="s">
        <v>836</v>
      </c>
      <c r="M2599">
        <v>18</v>
      </c>
    </row>
    <row r="2600" spans="1:18" hidden="1">
      <c r="A2600" s="23" t="s">
        <v>5185</v>
      </c>
      <c r="B2600" s="23" t="s">
        <v>5186</v>
      </c>
      <c r="C2600" s="23">
        <v>2555</v>
      </c>
      <c r="I2600" s="3" t="str">
        <f>+IFERROR(VLOOKUP(C2600,'Mov 2023 hasta ahora '!$C$2:$D$314,2,FALSE),"NO")</f>
        <v>NO</v>
      </c>
      <c r="K2600">
        <v>6</v>
      </c>
      <c r="L2600" t="s">
        <v>836</v>
      </c>
      <c r="M2600">
        <v>24</v>
      </c>
      <c r="O2600" s="29" t="s">
        <v>8742</v>
      </c>
      <c r="P2600" s="25" t="s">
        <v>9063</v>
      </c>
      <c r="Q2600" s="25">
        <v>176</v>
      </c>
      <c r="R2600" t="s">
        <v>436</v>
      </c>
    </row>
    <row r="2601" spans="1:18" hidden="1">
      <c r="A2601" t="s">
        <v>5187</v>
      </c>
      <c r="B2601" t="s">
        <v>5188</v>
      </c>
      <c r="I2601" s="3" t="str">
        <f>+IFERROR(VLOOKUP(C2601,'Mov 2023 hasta ahora '!$C$2:$D$314,2,FALSE),"NO")</f>
        <v>NO</v>
      </c>
      <c r="K2601">
        <v>4</v>
      </c>
      <c r="L2601" t="s">
        <v>836</v>
      </c>
      <c r="M2601">
        <v>14</v>
      </c>
    </row>
    <row r="2602" spans="1:18" hidden="1">
      <c r="A2602" t="s">
        <v>5189</v>
      </c>
      <c r="B2602" t="s">
        <v>5190</v>
      </c>
      <c r="I2602" s="3" t="str">
        <f>+IFERROR(VLOOKUP(C2602,'Mov 2023 hasta ahora '!$C$2:$D$314,2,FALSE),"NO")</f>
        <v>NO</v>
      </c>
      <c r="K2602">
        <v>5</v>
      </c>
      <c r="L2602" t="s">
        <v>836</v>
      </c>
      <c r="M2602">
        <v>18</v>
      </c>
    </row>
    <row r="2603" spans="1:18" s="15" customFormat="1" hidden="1">
      <c r="A2603" s="23" t="s">
        <v>5191</v>
      </c>
      <c r="B2603" s="23" t="s">
        <v>5192</v>
      </c>
      <c r="C2603" s="23">
        <v>2567</v>
      </c>
      <c r="G2603"/>
      <c r="I2603" s="16" t="str">
        <f>+IFERROR(VLOOKUP(C2603,'Mov 2023 hasta ahora '!$C$2:$D$314,2,FALSE),"NO")</f>
        <v>NO</v>
      </c>
      <c r="K2603">
        <v>6</v>
      </c>
      <c r="L2603" t="s">
        <v>836</v>
      </c>
      <c r="M2603">
        <v>24</v>
      </c>
      <c r="O2603" s="29" t="s">
        <v>8864</v>
      </c>
      <c r="P2603" s="25" t="s">
        <v>8979</v>
      </c>
      <c r="Q2603" s="25">
        <v>2177</v>
      </c>
      <c r="R2603" t="s">
        <v>436</v>
      </c>
    </row>
    <row r="2604" spans="1:18" s="15" customFormat="1" hidden="1">
      <c r="A2604" s="23" t="s">
        <v>5193</v>
      </c>
      <c r="B2604" s="23" t="s">
        <v>5194</v>
      </c>
      <c r="C2604" s="23">
        <v>2556</v>
      </c>
      <c r="G2604"/>
      <c r="I2604" s="16" t="str">
        <f>+IFERROR(VLOOKUP(C2604,'Mov 2023 hasta ahora '!$C$2:$D$314,2,FALSE),"NO")</f>
        <v>NO</v>
      </c>
      <c r="K2604">
        <v>6</v>
      </c>
      <c r="L2604" t="s">
        <v>836</v>
      </c>
      <c r="M2604">
        <v>24</v>
      </c>
      <c r="O2604" s="29" t="s">
        <v>8793</v>
      </c>
      <c r="P2604" s="25" t="s">
        <v>8975</v>
      </c>
      <c r="Q2604" s="25">
        <v>1616</v>
      </c>
      <c r="R2604" t="s">
        <v>436</v>
      </c>
    </row>
    <row r="2605" spans="1:18" hidden="1">
      <c r="A2605" s="23" t="s">
        <v>5195</v>
      </c>
      <c r="B2605" s="23" t="s">
        <v>5196</v>
      </c>
      <c r="C2605" s="23">
        <v>2539</v>
      </c>
      <c r="I2605" s="3" t="str">
        <f>+IFERROR(VLOOKUP(C2605,'Mov 2023 hasta ahora '!$C$2:$D$314,2,FALSE),"NO")</f>
        <v>NO</v>
      </c>
      <c r="K2605">
        <v>6</v>
      </c>
      <c r="L2605" t="s">
        <v>836</v>
      </c>
      <c r="M2605">
        <v>24</v>
      </c>
      <c r="O2605" s="29" t="s">
        <v>8794</v>
      </c>
      <c r="P2605" s="25" t="s">
        <v>8982</v>
      </c>
      <c r="Q2605" s="25">
        <v>1441</v>
      </c>
      <c r="R2605" t="s">
        <v>436</v>
      </c>
    </row>
    <row r="2606" spans="1:18" hidden="1">
      <c r="A2606" s="23" t="s">
        <v>5197</v>
      </c>
      <c r="B2606" s="23" t="s">
        <v>5198</v>
      </c>
      <c r="C2606" s="23">
        <v>2540</v>
      </c>
      <c r="I2606" s="3" t="str">
        <f>+IFERROR(VLOOKUP(C2606,'Mov 2023 hasta ahora '!$C$2:$D$314,2,FALSE),"NO")</f>
        <v>NO</v>
      </c>
      <c r="K2606">
        <v>6</v>
      </c>
      <c r="L2606" t="s">
        <v>836</v>
      </c>
      <c r="M2606">
        <v>24</v>
      </c>
      <c r="O2606" s="29" t="s">
        <v>8809</v>
      </c>
      <c r="P2606" s="25" t="s">
        <v>8983</v>
      </c>
      <c r="Q2606" s="25">
        <v>1448</v>
      </c>
      <c r="R2606" t="s">
        <v>436</v>
      </c>
    </row>
    <row r="2607" spans="1:18" hidden="1">
      <c r="A2607" t="s">
        <v>5199</v>
      </c>
      <c r="B2607" t="s">
        <v>5200</v>
      </c>
      <c r="I2607" s="3" t="str">
        <f>+IFERROR(VLOOKUP(C2607,'Mov 2023 hasta ahora '!$C$2:$D$314,2,FALSE),"NO")</f>
        <v>NO</v>
      </c>
      <c r="K2607">
        <v>5</v>
      </c>
      <c r="L2607" t="s">
        <v>836</v>
      </c>
      <c r="M2607">
        <v>18</v>
      </c>
    </row>
    <row r="2608" spans="1:18" s="15" customFormat="1" hidden="1">
      <c r="A2608" s="23" t="s">
        <v>5201</v>
      </c>
      <c r="B2608" s="23" t="s">
        <v>5202</v>
      </c>
      <c r="C2608" s="23">
        <v>2566</v>
      </c>
      <c r="G2608"/>
      <c r="I2608" s="16" t="str">
        <f>+IFERROR(VLOOKUP(C2608,'Mov 2023 hasta ahora '!$C$2:$D$314,2,FALSE),"NO")</f>
        <v>NO</v>
      </c>
      <c r="K2608">
        <v>6</v>
      </c>
      <c r="L2608" t="s">
        <v>836</v>
      </c>
      <c r="M2608">
        <v>24</v>
      </c>
      <c r="O2608" s="29" t="s">
        <v>8793</v>
      </c>
      <c r="P2608" s="25" t="s">
        <v>8975</v>
      </c>
      <c r="Q2608" s="25">
        <v>1616</v>
      </c>
      <c r="R2608" t="s">
        <v>436</v>
      </c>
    </row>
    <row r="2609" spans="1:18" hidden="1">
      <c r="A2609" t="s">
        <v>5203</v>
      </c>
      <c r="B2609" t="s">
        <v>5204</v>
      </c>
      <c r="I2609" s="3" t="str">
        <f>+IFERROR(VLOOKUP(C2609,'Mov 2023 hasta ahora '!$C$2:$D$314,2,FALSE),"NO")</f>
        <v>NO</v>
      </c>
      <c r="K2609">
        <v>5</v>
      </c>
      <c r="L2609" t="s">
        <v>836</v>
      </c>
      <c r="M2609">
        <v>18</v>
      </c>
    </row>
    <row r="2610" spans="1:18" hidden="1">
      <c r="A2610" s="23" t="s">
        <v>5205</v>
      </c>
      <c r="B2610" s="23" t="s">
        <v>5206</v>
      </c>
      <c r="C2610" s="23">
        <v>2541</v>
      </c>
      <c r="I2610" s="3" t="str">
        <f>+IFERROR(VLOOKUP(C2610,'Mov 2023 hasta ahora '!$C$2:$D$314,2,FALSE),"NO")</f>
        <v>NO</v>
      </c>
      <c r="K2610">
        <v>6</v>
      </c>
      <c r="L2610" t="s">
        <v>836</v>
      </c>
      <c r="M2610">
        <v>24</v>
      </c>
      <c r="O2610" s="29" t="s">
        <v>8794</v>
      </c>
      <c r="P2610" s="25" t="s">
        <v>8982</v>
      </c>
      <c r="Q2610" s="25">
        <v>1441</v>
      </c>
      <c r="R2610" t="s">
        <v>436</v>
      </c>
    </row>
    <row r="2611" spans="1:18" hidden="1">
      <c r="A2611" s="23" t="s">
        <v>5207</v>
      </c>
      <c r="B2611" s="23" t="s">
        <v>5208</v>
      </c>
      <c r="C2611" s="23">
        <v>2542</v>
      </c>
      <c r="I2611" s="3" t="str">
        <f>+IFERROR(VLOOKUP(C2611,'Mov 2023 hasta ahora '!$C$2:$D$314,2,FALSE),"NO")</f>
        <v>NO</v>
      </c>
      <c r="K2611">
        <v>6</v>
      </c>
      <c r="L2611" t="s">
        <v>836</v>
      </c>
      <c r="M2611">
        <v>24</v>
      </c>
      <c r="O2611" s="29" t="s">
        <v>8809</v>
      </c>
      <c r="P2611" s="25" t="s">
        <v>8983</v>
      </c>
      <c r="Q2611" s="25">
        <v>1448</v>
      </c>
      <c r="R2611" t="s">
        <v>436</v>
      </c>
    </row>
    <row r="2612" spans="1:18" hidden="1">
      <c r="A2612" t="s">
        <v>5209</v>
      </c>
      <c r="B2612" t="s">
        <v>5210</v>
      </c>
      <c r="I2612" s="3" t="str">
        <f>+IFERROR(VLOOKUP(C2612,'Mov 2023 hasta ahora '!$C$2:$D$314,2,FALSE),"NO")</f>
        <v>NO</v>
      </c>
      <c r="K2612">
        <v>4</v>
      </c>
      <c r="L2612" t="s">
        <v>836</v>
      </c>
      <c r="M2612">
        <v>14</v>
      </c>
    </row>
    <row r="2613" spans="1:18" hidden="1">
      <c r="A2613" t="s">
        <v>5211</v>
      </c>
      <c r="B2613" t="s">
        <v>5212</v>
      </c>
      <c r="I2613" s="3" t="str">
        <f>+IFERROR(VLOOKUP(C2613,'Mov 2023 hasta ahora '!$C$2:$D$314,2,FALSE),"NO")</f>
        <v>NO</v>
      </c>
      <c r="K2613">
        <v>5</v>
      </c>
      <c r="L2613" t="s">
        <v>836</v>
      </c>
      <c r="M2613">
        <v>18</v>
      </c>
    </row>
    <row r="2614" spans="1:18" s="13" customFormat="1" hidden="1">
      <c r="A2614" s="23" t="s">
        <v>5213</v>
      </c>
      <c r="B2614" s="23" t="s">
        <v>5214</v>
      </c>
      <c r="C2614" s="23">
        <v>2568</v>
      </c>
      <c r="G2614"/>
      <c r="I2614" s="14" t="str">
        <f>+IFERROR(VLOOKUP(C2614,'Mov 2023 hasta ahora '!$C$2:$D$314,2,FALSE),"NO")</f>
        <v>NO</v>
      </c>
      <c r="K2614">
        <v>6</v>
      </c>
      <c r="L2614" t="s">
        <v>836</v>
      </c>
      <c r="M2614">
        <v>24</v>
      </c>
      <c r="O2614" s="29" t="s">
        <v>8857</v>
      </c>
      <c r="P2614" s="25" t="s">
        <v>8980</v>
      </c>
      <c r="Q2614" s="25">
        <v>2178</v>
      </c>
      <c r="R2614" t="s">
        <v>436</v>
      </c>
    </row>
    <row r="2615" spans="1:18" s="13" customFormat="1" hidden="1">
      <c r="A2615" s="23" t="s">
        <v>5215</v>
      </c>
      <c r="B2615" s="23" t="s">
        <v>5216</v>
      </c>
      <c r="C2615" s="23">
        <v>2559</v>
      </c>
      <c r="G2615"/>
      <c r="I2615" s="14" t="str">
        <f>+IFERROR(VLOOKUP(C2615,'Mov 2023 hasta ahora '!$C$2:$D$314,2,FALSE),"NO")</f>
        <v>NO</v>
      </c>
      <c r="K2615">
        <v>6</v>
      </c>
      <c r="L2615" t="s">
        <v>836</v>
      </c>
      <c r="M2615">
        <v>24</v>
      </c>
      <c r="O2615" s="29" t="s">
        <v>8846</v>
      </c>
      <c r="P2615" s="25" t="s">
        <v>8981</v>
      </c>
      <c r="Q2615" s="25">
        <v>2179</v>
      </c>
      <c r="R2615" t="s">
        <v>436</v>
      </c>
    </row>
    <row r="2616" spans="1:18" s="13" customFormat="1" hidden="1">
      <c r="A2616" s="23" t="s">
        <v>5217</v>
      </c>
      <c r="B2616" s="23" t="s">
        <v>5218</v>
      </c>
      <c r="C2616" s="23">
        <v>2560</v>
      </c>
      <c r="G2616"/>
      <c r="I2616" s="14" t="str">
        <f>+IFERROR(VLOOKUP(C2616,'Mov 2023 hasta ahora '!$C$2:$D$314,2,FALSE),"NO")</f>
        <v>NO</v>
      </c>
      <c r="K2616">
        <v>6</v>
      </c>
      <c r="L2616" t="s">
        <v>836</v>
      </c>
      <c r="M2616">
        <v>24</v>
      </c>
      <c r="O2616" s="29" t="s">
        <v>8746</v>
      </c>
      <c r="P2616" s="25" t="s">
        <v>9054</v>
      </c>
      <c r="Q2616" s="25">
        <v>185</v>
      </c>
      <c r="R2616" t="s">
        <v>436</v>
      </c>
    </row>
    <row r="2617" spans="1:18" s="13" customFormat="1" hidden="1">
      <c r="A2617" s="23" t="s">
        <v>5219</v>
      </c>
      <c r="B2617" s="23" t="s">
        <v>5220</v>
      </c>
      <c r="C2617" s="23">
        <v>2561</v>
      </c>
      <c r="G2617"/>
      <c r="I2617" s="14" t="str">
        <f>+IFERROR(VLOOKUP(C2617,'Mov 2023 hasta ahora '!$C$2:$D$314,2,FALSE),"NO")</f>
        <v>NO</v>
      </c>
      <c r="K2617">
        <v>6</v>
      </c>
      <c r="L2617" t="s">
        <v>836</v>
      </c>
      <c r="M2617">
        <v>24</v>
      </c>
      <c r="O2617" s="29" t="s">
        <v>9013</v>
      </c>
      <c r="P2617" s="25" t="s">
        <v>8756</v>
      </c>
      <c r="Q2617" s="25">
        <v>212</v>
      </c>
      <c r="R2617" t="s">
        <v>436</v>
      </c>
    </row>
    <row r="2618" spans="1:18" s="13" customFormat="1" hidden="1">
      <c r="A2618" s="23" t="s">
        <v>5221</v>
      </c>
      <c r="B2618" s="23" t="s">
        <v>5222</v>
      </c>
      <c r="C2618" s="23">
        <v>2543</v>
      </c>
      <c r="G2618"/>
      <c r="I2618" s="14" t="str">
        <f>+IFERROR(VLOOKUP(C2618,'Mov 2023 hasta ahora '!$C$2:$D$314,2,FALSE),"NO")</f>
        <v>NO</v>
      </c>
      <c r="K2618">
        <v>6</v>
      </c>
      <c r="L2618" t="s">
        <v>836</v>
      </c>
      <c r="M2618">
        <v>24</v>
      </c>
      <c r="O2618" s="29" t="s">
        <v>8794</v>
      </c>
      <c r="P2618" s="25" t="s">
        <v>8982</v>
      </c>
      <c r="Q2618" s="25">
        <v>1441</v>
      </c>
      <c r="R2618" t="s">
        <v>436</v>
      </c>
    </row>
    <row r="2619" spans="1:18" s="13" customFormat="1" hidden="1">
      <c r="A2619" s="23" t="s">
        <v>5223</v>
      </c>
      <c r="B2619" s="23" t="s">
        <v>5224</v>
      </c>
      <c r="C2619" s="23">
        <v>2544</v>
      </c>
      <c r="G2619"/>
      <c r="I2619" s="14" t="str">
        <f>+IFERROR(VLOOKUP(C2619,'Mov 2023 hasta ahora '!$C$2:$D$314,2,FALSE),"NO")</f>
        <v>NO</v>
      </c>
      <c r="K2619">
        <v>6</v>
      </c>
      <c r="L2619" t="s">
        <v>836</v>
      </c>
      <c r="M2619">
        <v>24</v>
      </c>
      <c r="O2619" s="29" t="s">
        <v>8809</v>
      </c>
      <c r="P2619" s="25" t="s">
        <v>8983</v>
      </c>
      <c r="Q2619" s="25">
        <v>1448</v>
      </c>
      <c r="R2619" t="s">
        <v>436</v>
      </c>
    </row>
    <row r="2620" spans="1:18" hidden="1">
      <c r="A2620" t="s">
        <v>5225</v>
      </c>
      <c r="B2620" t="s">
        <v>5226</v>
      </c>
      <c r="I2620" s="3" t="str">
        <f>+IFERROR(VLOOKUP(C2620,'Mov 2023 hasta ahora '!$C$2:$D$314,2,FALSE),"NO")</f>
        <v>NO</v>
      </c>
      <c r="K2620">
        <v>4</v>
      </c>
      <c r="L2620" t="s">
        <v>836</v>
      </c>
      <c r="M2620">
        <v>14</v>
      </c>
    </row>
    <row r="2621" spans="1:18" hidden="1">
      <c r="A2621" t="s">
        <v>5227</v>
      </c>
      <c r="B2621" t="s">
        <v>5228</v>
      </c>
      <c r="I2621" s="3" t="str">
        <f>+IFERROR(VLOOKUP(C2621,'Mov 2023 hasta ahora '!$C$2:$D$314,2,FALSE),"NO")</f>
        <v>NO</v>
      </c>
      <c r="K2621">
        <v>5</v>
      </c>
      <c r="L2621" t="s">
        <v>836</v>
      </c>
      <c r="M2621">
        <v>18</v>
      </c>
    </row>
    <row r="2622" spans="1:18" s="13" customFormat="1" hidden="1">
      <c r="A2622" s="23" t="s">
        <v>5229</v>
      </c>
      <c r="B2622" s="23" t="s">
        <v>5230</v>
      </c>
      <c r="C2622" s="23">
        <v>2616</v>
      </c>
      <c r="G2622"/>
      <c r="I2622" s="14" t="str">
        <f>+IFERROR(VLOOKUP(C2622,'Mov 2023 hasta ahora '!$C$2:$D$314,2,FALSE),"NO")</f>
        <v>NO</v>
      </c>
      <c r="K2622">
        <v>6</v>
      </c>
      <c r="L2622" t="s">
        <v>836</v>
      </c>
      <c r="M2622">
        <v>24</v>
      </c>
      <c r="O2622" s="29" t="s">
        <v>8867</v>
      </c>
      <c r="P2622" s="25" t="s">
        <v>8987</v>
      </c>
      <c r="Q2622" s="25">
        <v>456</v>
      </c>
      <c r="R2622" t="s">
        <v>436</v>
      </c>
    </row>
    <row r="2623" spans="1:18" s="13" customFormat="1" hidden="1">
      <c r="A2623" s="23" t="s">
        <v>5231</v>
      </c>
      <c r="B2623" s="23" t="s">
        <v>5232</v>
      </c>
      <c r="C2623" s="23">
        <v>2617</v>
      </c>
      <c r="G2623"/>
      <c r="I2623" s="14" t="str">
        <f>+IFERROR(VLOOKUP(C2623,'Mov 2023 hasta ahora '!$C$2:$D$314,2,FALSE),"NO")</f>
        <v>NO</v>
      </c>
      <c r="K2623">
        <v>6</v>
      </c>
      <c r="L2623" t="s">
        <v>836</v>
      </c>
      <c r="M2623">
        <v>24</v>
      </c>
      <c r="O2623" s="29" t="s">
        <v>8853</v>
      </c>
      <c r="P2623" s="25" t="s">
        <v>8986</v>
      </c>
      <c r="Q2623" s="25">
        <v>366</v>
      </c>
      <c r="R2623" t="s">
        <v>436</v>
      </c>
    </row>
    <row r="2624" spans="1:18" hidden="1">
      <c r="A2624" s="23" t="s">
        <v>5233</v>
      </c>
      <c r="B2624" s="23" t="s">
        <v>5234</v>
      </c>
      <c r="C2624" s="23">
        <v>2618</v>
      </c>
      <c r="I2624" s="3" t="str">
        <f>+IFERROR(VLOOKUP(C2624,'Mov 2023 hasta ahora '!$C$2:$D$314,2,FALSE),"NO")</f>
        <v>NO</v>
      </c>
      <c r="K2624">
        <v>6</v>
      </c>
      <c r="L2624" t="s">
        <v>836</v>
      </c>
      <c r="M2624">
        <v>24</v>
      </c>
      <c r="O2624" s="29" t="s">
        <v>8746</v>
      </c>
      <c r="P2624" s="25" t="s">
        <v>9054</v>
      </c>
      <c r="Q2624" s="25">
        <v>185</v>
      </c>
      <c r="R2624" t="s">
        <v>436</v>
      </c>
    </row>
    <row r="2625" spans="1:18" hidden="1">
      <c r="A2625" s="23" t="s">
        <v>5235</v>
      </c>
      <c r="B2625" s="23" t="s">
        <v>5236</v>
      </c>
      <c r="C2625" s="23">
        <v>2619</v>
      </c>
      <c r="I2625" s="3" t="str">
        <f>+IFERROR(VLOOKUP(C2625,'Mov 2023 hasta ahora '!$C$2:$D$314,2,FALSE),"NO")</f>
        <v>NO</v>
      </c>
      <c r="K2625">
        <v>6</v>
      </c>
      <c r="L2625" t="s">
        <v>836</v>
      </c>
      <c r="M2625">
        <v>24</v>
      </c>
      <c r="O2625" s="29" t="s">
        <v>9013</v>
      </c>
      <c r="P2625" s="25" t="s">
        <v>8756</v>
      </c>
      <c r="Q2625" s="25">
        <v>212</v>
      </c>
      <c r="R2625" t="s">
        <v>436</v>
      </c>
    </row>
    <row r="2626" spans="1:18" s="13" customFormat="1" hidden="1">
      <c r="A2626" s="23" t="s">
        <v>5237</v>
      </c>
      <c r="B2626" s="23" t="s">
        <v>5238</v>
      </c>
      <c r="C2626" s="23">
        <v>2620</v>
      </c>
      <c r="G2626"/>
      <c r="I2626" s="14" t="str">
        <f>+IFERROR(VLOOKUP(C2626,'Mov 2023 hasta ahora '!$C$2:$D$314,2,FALSE),"NO")</f>
        <v>NO</v>
      </c>
      <c r="K2626">
        <v>6</v>
      </c>
      <c r="L2626" t="s">
        <v>836</v>
      </c>
      <c r="M2626">
        <v>24</v>
      </c>
      <c r="O2626" s="29" t="s">
        <v>8800</v>
      </c>
      <c r="P2626" s="25" t="s">
        <v>8988</v>
      </c>
      <c r="Q2626" s="25">
        <v>1457</v>
      </c>
      <c r="R2626" t="s">
        <v>436</v>
      </c>
    </row>
    <row r="2627" spans="1:18" s="13" customFormat="1" hidden="1">
      <c r="A2627" s="23" t="s">
        <v>5239</v>
      </c>
      <c r="B2627" s="23" t="s">
        <v>5240</v>
      </c>
      <c r="C2627" s="23">
        <v>2621</v>
      </c>
      <c r="G2627"/>
      <c r="I2627" s="14" t="str">
        <f>+IFERROR(VLOOKUP(C2627,'Mov 2023 hasta ahora '!$C$2:$D$314,2,FALSE),"NO")</f>
        <v>NO</v>
      </c>
      <c r="K2627">
        <v>6</v>
      </c>
      <c r="L2627" t="s">
        <v>836</v>
      </c>
      <c r="M2627">
        <v>24</v>
      </c>
      <c r="O2627" s="29" t="s">
        <v>8810</v>
      </c>
      <c r="P2627" s="25" t="s">
        <v>8989</v>
      </c>
      <c r="Q2627" s="25">
        <v>1465</v>
      </c>
      <c r="R2627" t="s">
        <v>436</v>
      </c>
    </row>
    <row r="2628" spans="1:18" hidden="1">
      <c r="A2628" t="s">
        <v>5241</v>
      </c>
      <c r="B2628" t="s">
        <v>5242</v>
      </c>
      <c r="I2628" s="3" t="str">
        <f>+IFERROR(VLOOKUP(C2628,'Mov 2023 hasta ahora '!$C$2:$D$314,2,FALSE),"NO")</f>
        <v>NO</v>
      </c>
      <c r="K2628">
        <v>4</v>
      </c>
      <c r="L2628" t="s">
        <v>836</v>
      </c>
      <c r="M2628">
        <v>14</v>
      </c>
    </row>
    <row r="2629" spans="1:18" hidden="1">
      <c r="A2629" t="s">
        <v>5243</v>
      </c>
      <c r="B2629" t="s">
        <v>5244</v>
      </c>
      <c r="I2629" s="3" t="str">
        <f>+IFERROR(VLOOKUP(C2629,'Mov 2023 hasta ahora '!$C$2:$D$314,2,FALSE),"NO")</f>
        <v>NO</v>
      </c>
      <c r="K2629">
        <v>5</v>
      </c>
      <c r="L2629" t="s">
        <v>836</v>
      </c>
      <c r="M2629">
        <v>18</v>
      </c>
    </row>
    <row r="2630" spans="1:18" s="13" customFormat="1" hidden="1">
      <c r="A2630" s="23" t="s">
        <v>5245</v>
      </c>
      <c r="B2630" s="23" t="s">
        <v>5246</v>
      </c>
      <c r="C2630" s="23">
        <v>2749</v>
      </c>
      <c r="G2630"/>
      <c r="I2630" s="14" t="str">
        <f>+IFERROR(VLOOKUP(C2630,'Mov 2023 hasta ahora '!$C$2:$D$314,2,FALSE),"NO")</f>
        <v>NO</v>
      </c>
      <c r="K2630">
        <v>6</v>
      </c>
      <c r="L2630" t="s">
        <v>836</v>
      </c>
      <c r="M2630">
        <v>24</v>
      </c>
      <c r="O2630" s="29" t="s">
        <v>8795</v>
      </c>
      <c r="P2630" s="25" t="s">
        <v>8798</v>
      </c>
      <c r="Q2630" s="25">
        <v>1489</v>
      </c>
      <c r="R2630" t="s">
        <v>436</v>
      </c>
    </row>
    <row r="2631" spans="1:18" s="13" customFormat="1" hidden="1">
      <c r="A2631" s="23" t="s">
        <v>5247</v>
      </c>
      <c r="B2631" s="23" t="s">
        <v>5248</v>
      </c>
      <c r="C2631" s="23">
        <v>2750</v>
      </c>
      <c r="G2631"/>
      <c r="I2631" s="14" t="str">
        <f>+IFERROR(VLOOKUP(C2631,'Mov 2023 hasta ahora '!$C$2:$D$314,2,FALSE),"NO")</f>
        <v>NO</v>
      </c>
      <c r="K2631">
        <v>6</v>
      </c>
      <c r="L2631" t="s">
        <v>836</v>
      </c>
      <c r="M2631">
        <v>24</v>
      </c>
      <c r="O2631" s="29" t="s">
        <v>8804</v>
      </c>
      <c r="P2631" s="25" t="s">
        <v>8808</v>
      </c>
      <c r="Q2631" s="25">
        <v>1497</v>
      </c>
      <c r="R2631" s="13" t="s">
        <v>436</v>
      </c>
    </row>
    <row r="2632" spans="1:18" hidden="1">
      <c r="A2632" t="s">
        <v>5249</v>
      </c>
      <c r="B2632" t="s">
        <v>5250</v>
      </c>
      <c r="I2632" s="3" t="str">
        <f>+IFERROR(VLOOKUP(C2632,'Mov 2023 hasta ahora '!$C$2:$D$314,2,FALSE),"NO")</f>
        <v>NO</v>
      </c>
      <c r="K2632">
        <v>4</v>
      </c>
      <c r="L2632" t="s">
        <v>836</v>
      </c>
      <c r="M2632">
        <v>14</v>
      </c>
    </row>
    <row r="2633" spans="1:18" hidden="1">
      <c r="A2633" t="s">
        <v>5251</v>
      </c>
      <c r="B2633" t="s">
        <v>5252</v>
      </c>
      <c r="I2633" s="3" t="str">
        <f>+IFERROR(VLOOKUP(C2633,'Mov 2023 hasta ahora '!$C$2:$D$314,2,FALSE),"NO")</f>
        <v>NO</v>
      </c>
      <c r="K2633">
        <v>5</v>
      </c>
      <c r="L2633" t="s">
        <v>836</v>
      </c>
      <c r="M2633">
        <v>18</v>
      </c>
    </row>
    <row r="2634" spans="1:18" s="13" customFormat="1" hidden="1">
      <c r="A2634" s="23" t="s">
        <v>5253</v>
      </c>
      <c r="B2634" s="23" t="s">
        <v>5254</v>
      </c>
      <c r="C2634" s="23">
        <v>2587</v>
      </c>
      <c r="G2634"/>
      <c r="I2634" s="14" t="str">
        <f>+IFERROR(VLOOKUP(C2634,'Mov 2023 hasta ahora '!$C$2:$D$314,2,FALSE),"NO")</f>
        <v>NO</v>
      </c>
      <c r="K2634">
        <v>6</v>
      </c>
      <c r="L2634" t="s">
        <v>836</v>
      </c>
      <c r="M2634">
        <v>24</v>
      </c>
      <c r="O2634" s="29" t="s">
        <v>9009</v>
      </c>
      <c r="P2634" s="25" t="s">
        <v>9005</v>
      </c>
      <c r="Q2634" s="25">
        <v>1024</v>
      </c>
      <c r="R2634" t="s">
        <v>436</v>
      </c>
    </row>
    <row r="2635" spans="1:18" s="13" customFormat="1" hidden="1">
      <c r="A2635" s="23" t="s">
        <v>5255</v>
      </c>
      <c r="B2635" s="23" t="s">
        <v>5256</v>
      </c>
      <c r="C2635" s="23">
        <v>2586</v>
      </c>
      <c r="G2635"/>
      <c r="I2635" s="14" t="str">
        <f>+IFERROR(VLOOKUP(C2635,'Mov 2023 hasta ahora '!$C$2:$D$314,2,FALSE),"NO")</f>
        <v>NO</v>
      </c>
      <c r="K2635">
        <v>6</v>
      </c>
      <c r="L2635" t="s">
        <v>836</v>
      </c>
      <c r="M2635">
        <v>24</v>
      </c>
      <c r="O2635" s="29" t="s">
        <v>9010</v>
      </c>
      <c r="P2635" s="25" t="s">
        <v>9006</v>
      </c>
      <c r="Q2635" s="25">
        <v>1042</v>
      </c>
      <c r="R2635" t="s">
        <v>436</v>
      </c>
    </row>
    <row r="2636" spans="1:18" s="13" customFormat="1" hidden="1">
      <c r="A2636" s="23" t="s">
        <v>5257</v>
      </c>
      <c r="B2636" s="23" t="s">
        <v>5258</v>
      </c>
      <c r="C2636" s="23">
        <v>2588</v>
      </c>
      <c r="G2636"/>
      <c r="I2636" s="14" t="str">
        <f>+IFERROR(VLOOKUP(C2636,'Mov 2023 hasta ahora '!$C$2:$D$314,2,FALSE),"NO")</f>
        <v>NO</v>
      </c>
      <c r="K2636">
        <v>6</v>
      </c>
      <c r="L2636" t="s">
        <v>836</v>
      </c>
      <c r="M2636">
        <v>24</v>
      </c>
      <c r="O2636" s="29" t="s">
        <v>9011</v>
      </c>
      <c r="P2636" s="25" t="s">
        <v>9007</v>
      </c>
      <c r="Q2636" s="25">
        <v>2243</v>
      </c>
      <c r="R2636" t="s">
        <v>436</v>
      </c>
    </row>
    <row r="2637" spans="1:18" s="13" customFormat="1" hidden="1">
      <c r="A2637" s="23" t="s">
        <v>5259</v>
      </c>
      <c r="B2637" s="23" t="s">
        <v>5260</v>
      </c>
      <c r="C2637" s="23">
        <v>2585</v>
      </c>
      <c r="G2637"/>
      <c r="I2637" s="14" t="str">
        <f>+IFERROR(VLOOKUP(C2637,'Mov 2023 hasta ahora '!$C$2:$D$314,2,FALSE),"NO")</f>
        <v>NO</v>
      </c>
      <c r="K2637">
        <v>6</v>
      </c>
      <c r="L2637" t="s">
        <v>836</v>
      </c>
      <c r="M2637">
        <v>24</v>
      </c>
      <c r="O2637" s="29" t="s">
        <v>9012</v>
      </c>
      <c r="P2637" s="25" t="s">
        <v>9008</v>
      </c>
      <c r="Q2637" s="25">
        <v>2244</v>
      </c>
      <c r="R2637" t="s">
        <v>436</v>
      </c>
    </row>
    <row r="2638" spans="1:18" hidden="1">
      <c r="A2638" t="s">
        <v>5261</v>
      </c>
      <c r="B2638" t="s">
        <v>5262</v>
      </c>
      <c r="I2638" s="3" t="str">
        <f>+IFERROR(VLOOKUP(C2638,'Mov 2023 hasta ahora '!$C$2:$D$314,2,FALSE),"NO")</f>
        <v>NO</v>
      </c>
      <c r="K2638">
        <v>4</v>
      </c>
      <c r="L2638" t="s">
        <v>836</v>
      </c>
      <c r="M2638">
        <v>14</v>
      </c>
    </row>
    <row r="2639" spans="1:18" hidden="1">
      <c r="A2639" t="s">
        <v>5263</v>
      </c>
      <c r="B2639" t="s">
        <v>5264</v>
      </c>
      <c r="I2639" s="3" t="str">
        <f>+IFERROR(VLOOKUP(C2639,'Mov 2023 hasta ahora '!$C$2:$D$314,2,FALSE),"NO")</f>
        <v>NO</v>
      </c>
      <c r="K2639">
        <v>5</v>
      </c>
      <c r="L2639" t="s">
        <v>836</v>
      </c>
      <c r="M2639">
        <v>18</v>
      </c>
    </row>
    <row r="2640" spans="1:18" hidden="1">
      <c r="A2640" s="23" t="s">
        <v>5265</v>
      </c>
      <c r="B2640" s="23" t="s">
        <v>5266</v>
      </c>
      <c r="C2640" s="23">
        <v>2545</v>
      </c>
      <c r="I2640" s="3" t="str">
        <f>+IFERROR(VLOOKUP(C2640,'Mov 2023 hasta ahora '!$C$2:$D$314,2,FALSE),"NO")</f>
        <v>NO</v>
      </c>
      <c r="K2640">
        <v>6</v>
      </c>
      <c r="L2640" t="s">
        <v>836</v>
      </c>
      <c r="M2640">
        <v>24</v>
      </c>
      <c r="O2640" s="29" t="s">
        <v>8861</v>
      </c>
      <c r="P2640" s="25" t="s">
        <v>8868</v>
      </c>
      <c r="Q2640" s="25">
        <v>1419</v>
      </c>
      <c r="R2640" t="s">
        <v>436</v>
      </c>
    </row>
    <row r="2641" spans="1:18" hidden="1">
      <c r="A2641" t="s">
        <v>5267</v>
      </c>
      <c r="B2641" t="s">
        <v>5268</v>
      </c>
      <c r="I2641" s="3" t="str">
        <f>+IFERROR(VLOOKUP(C2641,'Mov 2023 hasta ahora '!$C$2:$D$314,2,FALSE),"NO")</f>
        <v>NO</v>
      </c>
      <c r="K2641">
        <v>5</v>
      </c>
      <c r="L2641" t="s">
        <v>836</v>
      </c>
      <c r="M2641">
        <v>18</v>
      </c>
    </row>
    <row r="2642" spans="1:18" hidden="1">
      <c r="A2642" s="23" t="s">
        <v>5269</v>
      </c>
      <c r="B2642" s="23" t="s">
        <v>5270</v>
      </c>
      <c r="C2642" s="23">
        <v>2546</v>
      </c>
      <c r="I2642" s="3" t="str">
        <f>+IFERROR(VLOOKUP(C2642,'Mov 2023 hasta ahora '!$C$2:$D$314,2,FALSE),"NO")</f>
        <v>NO</v>
      </c>
      <c r="K2642">
        <v>6</v>
      </c>
      <c r="L2642" t="s">
        <v>836</v>
      </c>
      <c r="M2642">
        <v>24</v>
      </c>
      <c r="O2642" s="29" t="s">
        <v>9049</v>
      </c>
      <c r="P2642" s="25" t="s">
        <v>9050</v>
      </c>
      <c r="Q2642" s="25">
        <v>1363</v>
      </c>
      <c r="R2642" t="s">
        <v>436</v>
      </c>
    </row>
    <row r="2643" spans="1:18" hidden="1">
      <c r="A2643" s="23" t="s">
        <v>5271</v>
      </c>
      <c r="B2643" s="23" t="s">
        <v>5272</v>
      </c>
      <c r="C2643" s="23">
        <v>2547</v>
      </c>
      <c r="I2643" s="3" t="str">
        <f>+IFERROR(VLOOKUP(C2643,'Mov 2023 hasta ahora '!$C$2:$D$314,2,FALSE),"NO")</f>
        <v>NO</v>
      </c>
      <c r="K2643">
        <v>6</v>
      </c>
      <c r="L2643" t="s">
        <v>836</v>
      </c>
      <c r="M2643">
        <v>24</v>
      </c>
      <c r="O2643" s="29" t="s">
        <v>9014</v>
      </c>
      <c r="P2643" s="25" t="s">
        <v>8890</v>
      </c>
      <c r="Q2643" s="25">
        <v>1244</v>
      </c>
      <c r="R2643" t="s">
        <v>436</v>
      </c>
    </row>
    <row r="2644" spans="1:18" hidden="1">
      <c r="A2644" s="23" t="s">
        <v>5273</v>
      </c>
      <c r="B2644" s="23" t="s">
        <v>5274</v>
      </c>
      <c r="C2644" s="23">
        <v>2548</v>
      </c>
      <c r="I2644" s="3" t="str">
        <f>+IFERROR(VLOOKUP(C2644,'Mov 2023 hasta ahora '!$C$2:$D$314,2,FALSE),"NO")</f>
        <v>NO</v>
      </c>
      <c r="K2644">
        <v>6</v>
      </c>
      <c r="L2644" t="s">
        <v>836</v>
      </c>
      <c r="M2644">
        <v>24</v>
      </c>
      <c r="O2644" s="29" t="s">
        <v>9030</v>
      </c>
      <c r="P2644" s="25" t="s">
        <v>9029</v>
      </c>
      <c r="Q2644" s="25">
        <v>3817</v>
      </c>
      <c r="R2644" t="s">
        <v>436</v>
      </c>
    </row>
    <row r="2645" spans="1:18" s="13" customFormat="1" hidden="1">
      <c r="A2645" s="23" t="s">
        <v>5275</v>
      </c>
      <c r="B2645" s="23" t="s">
        <v>5276</v>
      </c>
      <c r="C2645" s="23">
        <v>2549</v>
      </c>
      <c r="G2645"/>
      <c r="I2645" s="14" t="str">
        <f>+IFERROR(VLOOKUP(C2645,'Mov 2023 hasta ahora '!$C$2:$D$314,2,FALSE),"NO")</f>
        <v>NO</v>
      </c>
      <c r="K2645">
        <v>6</v>
      </c>
      <c r="L2645" t="s">
        <v>836</v>
      </c>
      <c r="M2645">
        <v>24</v>
      </c>
      <c r="O2645" s="29" t="s">
        <v>8825</v>
      </c>
      <c r="P2645" s="25" t="s">
        <v>8832</v>
      </c>
      <c r="Q2645" s="25">
        <v>3601</v>
      </c>
      <c r="R2645" t="s">
        <v>436</v>
      </c>
    </row>
    <row r="2646" spans="1:18" s="13" customFormat="1" hidden="1">
      <c r="A2646" s="23" t="s">
        <v>5277</v>
      </c>
      <c r="B2646" s="23" t="s">
        <v>5278</v>
      </c>
      <c r="C2646" s="23">
        <v>2550</v>
      </c>
      <c r="G2646"/>
      <c r="I2646" s="14" t="str">
        <f>+IFERROR(VLOOKUP(C2646,'Mov 2023 hasta ahora '!$C$2:$D$314,2,FALSE),"NO")</f>
        <v>NO</v>
      </c>
      <c r="K2646">
        <v>6</v>
      </c>
      <c r="L2646" t="s">
        <v>836</v>
      </c>
      <c r="M2646">
        <v>24</v>
      </c>
      <c r="O2646" s="29" t="s">
        <v>8992</v>
      </c>
      <c r="P2646" s="25" t="s">
        <v>8836</v>
      </c>
      <c r="Q2646" s="25">
        <v>3603</v>
      </c>
      <c r="R2646" t="s">
        <v>436</v>
      </c>
    </row>
    <row r="2647" spans="1:18" hidden="1">
      <c r="A2647" t="s">
        <v>5279</v>
      </c>
      <c r="B2647" t="s">
        <v>1499</v>
      </c>
      <c r="I2647" s="3" t="str">
        <f>+IFERROR(VLOOKUP(C2647,'Mov 2023 hasta ahora '!$C$2:$D$314,2,FALSE),"NO")</f>
        <v>NO</v>
      </c>
      <c r="K2647">
        <v>3</v>
      </c>
      <c r="L2647" t="s">
        <v>836</v>
      </c>
      <c r="M2647">
        <v>10</v>
      </c>
    </row>
    <row r="2648" spans="1:18" hidden="1">
      <c r="A2648" t="s">
        <v>5280</v>
      </c>
      <c r="B2648" t="s">
        <v>5281</v>
      </c>
      <c r="I2648" s="3" t="str">
        <f>+IFERROR(VLOOKUP(C2648,'Mov 2023 hasta ahora '!$C$2:$D$314,2,FALSE),"NO")</f>
        <v>NO</v>
      </c>
      <c r="K2648">
        <v>4</v>
      </c>
      <c r="L2648" t="s">
        <v>836</v>
      </c>
      <c r="M2648">
        <v>14</v>
      </c>
    </row>
    <row r="2649" spans="1:18" hidden="1">
      <c r="A2649" t="s">
        <v>5282</v>
      </c>
      <c r="B2649" t="s">
        <v>5283</v>
      </c>
      <c r="I2649" s="3" t="str">
        <f>+IFERROR(VLOOKUP(C2649,'Mov 2023 hasta ahora '!$C$2:$D$314,2,FALSE),"NO")</f>
        <v>NO</v>
      </c>
      <c r="K2649">
        <v>5</v>
      </c>
      <c r="L2649" t="s">
        <v>836</v>
      </c>
      <c r="M2649">
        <v>18</v>
      </c>
    </row>
    <row r="2650" spans="1:18" hidden="1">
      <c r="A2650" s="23" t="s">
        <v>5284</v>
      </c>
      <c r="B2650" s="23" t="s">
        <v>5285</v>
      </c>
      <c r="C2650" s="23">
        <v>3369</v>
      </c>
      <c r="I2650" s="3" t="str">
        <f>+IFERROR(VLOOKUP(C2650,'Mov 2023 hasta ahora '!$C$2:$D$314,2,FALSE),"NO")</f>
        <v>NO</v>
      </c>
      <c r="K2650">
        <v>6</v>
      </c>
      <c r="L2650" t="s">
        <v>836</v>
      </c>
      <c r="M2650">
        <v>24</v>
      </c>
      <c r="O2650" s="29" t="s">
        <v>8742</v>
      </c>
      <c r="P2650" s="25" t="s">
        <v>9063</v>
      </c>
      <c r="Q2650" s="25">
        <v>176</v>
      </c>
      <c r="R2650" t="s">
        <v>436</v>
      </c>
    </row>
    <row r="2651" spans="1:18" hidden="1">
      <c r="A2651" s="23" t="s">
        <v>5286</v>
      </c>
      <c r="B2651" s="23" t="s">
        <v>5287</v>
      </c>
      <c r="C2651" s="23">
        <v>3211</v>
      </c>
      <c r="I2651" s="3" t="str">
        <f>+IFERROR(VLOOKUP(C2651,'Mov 2023 hasta ahora '!$C$2:$D$314,2,FALSE),"NO")</f>
        <v>NO</v>
      </c>
      <c r="K2651">
        <v>6</v>
      </c>
      <c r="L2651" t="s">
        <v>836</v>
      </c>
      <c r="M2651">
        <v>24</v>
      </c>
      <c r="O2651" s="29" t="s">
        <v>9057</v>
      </c>
      <c r="P2651" s="25" t="s">
        <v>9058</v>
      </c>
      <c r="Q2651" s="25">
        <v>3212</v>
      </c>
      <c r="R2651" t="s">
        <v>436</v>
      </c>
    </row>
    <row r="2652" spans="1:18" hidden="1">
      <c r="A2652" t="s">
        <v>5288</v>
      </c>
      <c r="B2652" t="s">
        <v>5289</v>
      </c>
      <c r="I2652" s="3" t="str">
        <f>+IFERROR(VLOOKUP(C2652,'Mov 2023 hasta ahora '!$C$2:$D$314,2,FALSE),"NO")</f>
        <v>NO</v>
      </c>
      <c r="K2652">
        <v>4</v>
      </c>
      <c r="L2652" t="s">
        <v>836</v>
      </c>
      <c r="M2652">
        <v>14</v>
      </c>
    </row>
    <row r="2653" spans="1:18" hidden="1">
      <c r="A2653" t="s">
        <v>5290</v>
      </c>
      <c r="B2653" t="s">
        <v>5291</v>
      </c>
      <c r="I2653" s="3" t="str">
        <f>+IFERROR(VLOOKUP(C2653,'Mov 2023 hasta ahora '!$C$2:$D$314,2,FALSE),"NO")</f>
        <v>NO</v>
      </c>
      <c r="K2653">
        <v>5</v>
      </c>
      <c r="L2653" t="s">
        <v>836</v>
      </c>
      <c r="M2653">
        <v>18</v>
      </c>
    </row>
    <row r="2654" spans="1:18" hidden="1">
      <c r="A2654" s="23" t="s">
        <v>5292</v>
      </c>
      <c r="B2654" s="23" t="s">
        <v>5293</v>
      </c>
      <c r="C2654" s="23">
        <v>3370</v>
      </c>
      <c r="I2654" s="3" t="str">
        <f>+IFERROR(VLOOKUP(C2654,'Mov 2023 hasta ahora '!$C$2:$D$314,2,FALSE),"NO")</f>
        <v>NO</v>
      </c>
      <c r="K2654">
        <v>6</v>
      </c>
      <c r="L2654" t="s">
        <v>836</v>
      </c>
      <c r="M2654">
        <v>24</v>
      </c>
      <c r="O2654" s="29" t="s">
        <v>9013</v>
      </c>
      <c r="P2654" s="25" t="s">
        <v>8756</v>
      </c>
      <c r="Q2654" s="25">
        <v>212</v>
      </c>
      <c r="R2654" t="s">
        <v>436</v>
      </c>
    </row>
    <row r="2655" spans="1:18" hidden="1">
      <c r="A2655" t="s">
        <v>5294</v>
      </c>
      <c r="B2655" t="s">
        <v>5295</v>
      </c>
      <c r="I2655" s="3" t="str">
        <f>+IFERROR(VLOOKUP(C2655,'Mov 2023 hasta ahora '!$C$2:$D$314,2,FALSE),"NO")</f>
        <v>NO</v>
      </c>
      <c r="K2655">
        <v>4</v>
      </c>
      <c r="L2655" t="s">
        <v>836</v>
      </c>
      <c r="M2655">
        <v>14</v>
      </c>
    </row>
    <row r="2656" spans="1:18" hidden="1">
      <c r="A2656" t="s">
        <v>5296</v>
      </c>
      <c r="B2656" t="s">
        <v>5297</v>
      </c>
      <c r="I2656" s="3" t="str">
        <f>+IFERROR(VLOOKUP(C2656,'Mov 2023 hasta ahora '!$C$2:$D$314,2,FALSE),"NO")</f>
        <v>NO</v>
      </c>
      <c r="K2656">
        <v>5</v>
      </c>
      <c r="L2656" t="s">
        <v>836</v>
      </c>
      <c r="M2656">
        <v>18</v>
      </c>
    </row>
    <row r="2657" spans="1:18" s="15" customFormat="1" hidden="1">
      <c r="A2657" s="23" t="s">
        <v>5298</v>
      </c>
      <c r="B2657" s="23" t="s">
        <v>5299</v>
      </c>
      <c r="C2657" s="23">
        <v>3222</v>
      </c>
      <c r="G2657"/>
      <c r="I2657" s="16" t="str">
        <f>+IFERROR(VLOOKUP(C2657,'Mov 2023 hasta ahora '!$C$2:$D$314,2,FALSE),"NO")</f>
        <v>NO</v>
      </c>
      <c r="K2657">
        <v>6</v>
      </c>
      <c r="L2657" t="s">
        <v>836</v>
      </c>
      <c r="M2657">
        <v>24</v>
      </c>
      <c r="O2657" s="29" t="s">
        <v>8802</v>
      </c>
      <c r="P2657" s="25" t="s">
        <v>8976</v>
      </c>
      <c r="Q2657" s="25">
        <v>3222</v>
      </c>
      <c r="R2657" t="s">
        <v>436</v>
      </c>
    </row>
    <row r="2658" spans="1:18" s="15" customFormat="1" hidden="1">
      <c r="A2658" s="23" t="s">
        <v>5300</v>
      </c>
      <c r="B2658" s="23" t="s">
        <v>5301</v>
      </c>
      <c r="C2658" s="23">
        <v>3233</v>
      </c>
      <c r="G2658"/>
      <c r="I2658" s="16" t="str">
        <f>+IFERROR(VLOOKUP(C2658,'Mov 2023 hasta ahora '!$C$2:$D$314,2,FALSE),"NO")</f>
        <v>NO</v>
      </c>
      <c r="K2658">
        <v>6</v>
      </c>
      <c r="L2658" t="s">
        <v>836</v>
      </c>
      <c r="M2658">
        <v>24</v>
      </c>
      <c r="O2658" s="29" t="s">
        <v>8833</v>
      </c>
      <c r="P2658" s="25" t="s">
        <v>8977</v>
      </c>
      <c r="Q2658" s="25">
        <v>3233</v>
      </c>
      <c r="R2658" t="s">
        <v>436</v>
      </c>
    </row>
    <row r="2659" spans="1:18" s="15" customFormat="1" hidden="1">
      <c r="A2659" s="23" t="s">
        <v>5302</v>
      </c>
      <c r="B2659" s="23" t="s">
        <v>5303</v>
      </c>
      <c r="C2659" s="23">
        <v>3244</v>
      </c>
      <c r="G2659"/>
      <c r="I2659" s="16" t="str">
        <f>+IFERROR(VLOOKUP(C2659,'Mov 2023 hasta ahora '!$C$2:$D$314,2,FALSE),"NO")</f>
        <v>NO</v>
      </c>
      <c r="K2659">
        <v>6</v>
      </c>
      <c r="L2659" t="s">
        <v>836</v>
      </c>
      <c r="M2659">
        <v>24</v>
      </c>
      <c r="O2659" s="29" t="s">
        <v>8755</v>
      </c>
      <c r="P2659" s="25" t="s">
        <v>8978</v>
      </c>
      <c r="Q2659" s="25">
        <v>3244</v>
      </c>
      <c r="R2659" t="s">
        <v>436</v>
      </c>
    </row>
    <row r="2660" spans="1:18" hidden="1">
      <c r="A2660" t="s">
        <v>5304</v>
      </c>
      <c r="B2660" t="s">
        <v>5305</v>
      </c>
      <c r="I2660" s="3" t="str">
        <f>+IFERROR(VLOOKUP(C2660,'Mov 2023 hasta ahora '!$C$2:$D$314,2,FALSE),"NO")</f>
        <v>NO</v>
      </c>
      <c r="K2660">
        <v>5</v>
      </c>
      <c r="L2660" t="s">
        <v>836</v>
      </c>
      <c r="M2660">
        <v>18</v>
      </c>
    </row>
    <row r="2661" spans="1:18" s="15" customFormat="1" hidden="1">
      <c r="A2661" s="23" t="s">
        <v>5306</v>
      </c>
      <c r="B2661" s="23" t="s">
        <v>5307</v>
      </c>
      <c r="C2661" s="23">
        <v>2760</v>
      </c>
      <c r="G2661"/>
      <c r="I2661" s="16" t="str">
        <f>+IFERROR(VLOOKUP(C2661,'Mov 2023 hasta ahora '!$C$2:$D$314,2,FALSE),"NO")</f>
        <v>NO</v>
      </c>
      <c r="K2661">
        <v>6</v>
      </c>
      <c r="L2661" t="s">
        <v>836</v>
      </c>
      <c r="M2661">
        <v>24</v>
      </c>
      <c r="O2661" s="29" t="s">
        <v>8793</v>
      </c>
      <c r="P2661" s="25" t="s">
        <v>8975</v>
      </c>
      <c r="Q2661" s="25">
        <v>1616</v>
      </c>
      <c r="R2661" t="s">
        <v>436</v>
      </c>
    </row>
    <row r="2662" spans="1:18" s="15" customFormat="1" hidden="1">
      <c r="A2662" s="23" t="s">
        <v>5308</v>
      </c>
      <c r="B2662" s="23" t="s">
        <v>5309</v>
      </c>
      <c r="C2662" s="23">
        <v>2759</v>
      </c>
      <c r="G2662"/>
      <c r="I2662" s="16" t="str">
        <f>+IFERROR(VLOOKUP(C2662,'Mov 2023 hasta ahora '!$C$2:$D$314,2,FALSE),"NO")</f>
        <v>NO</v>
      </c>
      <c r="K2662">
        <v>6</v>
      </c>
      <c r="L2662" t="s">
        <v>836</v>
      </c>
      <c r="M2662">
        <v>24</v>
      </c>
      <c r="O2662" s="29" t="s">
        <v>8793</v>
      </c>
      <c r="P2662" s="25" t="s">
        <v>8975</v>
      </c>
      <c r="Q2662" s="25">
        <v>1616</v>
      </c>
      <c r="R2662" t="s">
        <v>436</v>
      </c>
    </row>
    <row r="2663" spans="1:18" s="15" customFormat="1" hidden="1">
      <c r="A2663" s="23" t="s">
        <v>5310</v>
      </c>
      <c r="B2663" s="23" t="s">
        <v>5311</v>
      </c>
      <c r="C2663" s="23">
        <v>2914</v>
      </c>
      <c r="G2663"/>
      <c r="I2663" s="16" t="str">
        <f>+IFERROR(VLOOKUP(C2663,'Mov 2023 hasta ahora '!$C$2:$D$314,2,FALSE),"NO")</f>
        <v>NO</v>
      </c>
      <c r="K2663">
        <v>6</v>
      </c>
      <c r="L2663" t="s">
        <v>836</v>
      </c>
      <c r="M2663">
        <v>24</v>
      </c>
      <c r="O2663" s="29" t="s">
        <v>8864</v>
      </c>
      <c r="P2663" s="25" t="s">
        <v>8979</v>
      </c>
      <c r="Q2663" s="25">
        <v>2177</v>
      </c>
      <c r="R2663" t="s">
        <v>436</v>
      </c>
    </row>
    <row r="2664" spans="1:18" hidden="1">
      <c r="A2664" t="s">
        <v>5312</v>
      </c>
      <c r="B2664" t="s">
        <v>5313</v>
      </c>
      <c r="I2664" s="3" t="str">
        <f>+IFERROR(VLOOKUP(C2664,'Mov 2023 hasta ahora '!$C$2:$D$314,2,FALSE),"NO")</f>
        <v>NO</v>
      </c>
      <c r="K2664">
        <v>4</v>
      </c>
      <c r="L2664" t="s">
        <v>836</v>
      </c>
      <c r="M2664">
        <v>14</v>
      </c>
    </row>
    <row r="2665" spans="1:18" hidden="1">
      <c r="A2665" t="s">
        <v>5314</v>
      </c>
      <c r="B2665" t="s">
        <v>5315</v>
      </c>
      <c r="I2665" s="3" t="str">
        <f>+IFERROR(VLOOKUP(C2665,'Mov 2023 hasta ahora '!$C$2:$D$314,2,FALSE),"NO")</f>
        <v>NO</v>
      </c>
      <c r="K2665">
        <v>5</v>
      </c>
      <c r="L2665" t="s">
        <v>836</v>
      </c>
      <c r="M2665">
        <v>18</v>
      </c>
    </row>
    <row r="2666" spans="1:18" s="13" customFormat="1" hidden="1">
      <c r="A2666" s="23" t="s">
        <v>5316</v>
      </c>
      <c r="B2666" s="23" t="s">
        <v>5317</v>
      </c>
      <c r="C2666" s="23">
        <v>2915</v>
      </c>
      <c r="G2666"/>
      <c r="I2666" s="14" t="str">
        <f>+IFERROR(VLOOKUP(C2666,'Mov 2023 hasta ahora '!$C$2:$D$314,2,FALSE),"NO")</f>
        <v>NO</v>
      </c>
      <c r="K2666">
        <v>6</v>
      </c>
      <c r="L2666" t="s">
        <v>836</v>
      </c>
      <c r="M2666">
        <v>24</v>
      </c>
      <c r="O2666" s="29" t="s">
        <v>8857</v>
      </c>
      <c r="P2666" s="25" t="s">
        <v>8980</v>
      </c>
      <c r="Q2666" s="25">
        <v>2178</v>
      </c>
      <c r="R2666" t="s">
        <v>436</v>
      </c>
    </row>
    <row r="2667" spans="1:18" hidden="1">
      <c r="A2667" t="s">
        <v>5318</v>
      </c>
      <c r="B2667" t="s">
        <v>5319</v>
      </c>
      <c r="I2667" s="3" t="str">
        <f>+IFERROR(VLOOKUP(C2667,'Mov 2023 hasta ahora '!$C$2:$D$314,2,FALSE),"NO")</f>
        <v>NO</v>
      </c>
      <c r="K2667">
        <v>5</v>
      </c>
      <c r="L2667" t="s">
        <v>836</v>
      </c>
      <c r="M2667">
        <v>18</v>
      </c>
    </row>
    <row r="2668" spans="1:18" s="13" customFormat="1" hidden="1">
      <c r="A2668" s="23" t="s">
        <v>5320</v>
      </c>
      <c r="B2668" s="23" t="s">
        <v>5321</v>
      </c>
      <c r="C2668" s="23">
        <v>2602</v>
      </c>
      <c r="G2668"/>
      <c r="I2668" s="14" t="str">
        <f>+IFERROR(VLOOKUP(C2668,'Mov 2023 hasta ahora '!$C$2:$D$314,2,FALSE),"NO")</f>
        <v>NO</v>
      </c>
      <c r="K2668">
        <v>6</v>
      </c>
      <c r="L2668" t="s">
        <v>836</v>
      </c>
      <c r="M2668">
        <v>24</v>
      </c>
      <c r="O2668" s="29" t="s">
        <v>8857</v>
      </c>
      <c r="P2668" s="25" t="s">
        <v>8980</v>
      </c>
      <c r="Q2668" s="25">
        <v>2178</v>
      </c>
      <c r="R2668" t="s">
        <v>436</v>
      </c>
    </row>
    <row r="2669" spans="1:18" s="13" customFormat="1" hidden="1">
      <c r="A2669" s="23" t="s">
        <v>5322</v>
      </c>
      <c r="B2669" s="23" t="s">
        <v>5323</v>
      </c>
      <c r="C2669" s="23">
        <v>2603</v>
      </c>
      <c r="G2669"/>
      <c r="I2669" s="14" t="str">
        <f>+IFERROR(VLOOKUP(C2669,'Mov 2023 hasta ahora '!$C$2:$D$314,2,FALSE),"NO")</f>
        <v>NO</v>
      </c>
      <c r="K2669">
        <v>6</v>
      </c>
      <c r="L2669" t="s">
        <v>836</v>
      </c>
      <c r="M2669">
        <v>24</v>
      </c>
      <c r="O2669" s="29" t="s">
        <v>8846</v>
      </c>
      <c r="P2669" s="25" t="s">
        <v>8981</v>
      </c>
      <c r="Q2669" s="25">
        <v>2179</v>
      </c>
      <c r="R2669" t="s">
        <v>436</v>
      </c>
    </row>
    <row r="2670" spans="1:18" s="13" customFormat="1" hidden="1">
      <c r="A2670" s="23" t="s">
        <v>5324</v>
      </c>
      <c r="B2670" s="23" t="s">
        <v>5325</v>
      </c>
      <c r="C2670" s="23">
        <v>2604</v>
      </c>
      <c r="G2670"/>
      <c r="I2670" s="14" t="str">
        <f>+IFERROR(VLOOKUP(C2670,'Mov 2023 hasta ahora '!$C$2:$D$314,2,FALSE),"NO")</f>
        <v>NO</v>
      </c>
      <c r="K2670">
        <v>6</v>
      </c>
      <c r="L2670" t="s">
        <v>836</v>
      </c>
      <c r="M2670">
        <v>24</v>
      </c>
      <c r="O2670" s="29" t="s">
        <v>8746</v>
      </c>
      <c r="P2670" s="25" t="s">
        <v>9054</v>
      </c>
      <c r="Q2670" s="25">
        <v>185</v>
      </c>
      <c r="R2670" t="s">
        <v>436</v>
      </c>
    </row>
    <row r="2671" spans="1:18" s="13" customFormat="1" hidden="1">
      <c r="A2671" s="23" t="s">
        <v>5326</v>
      </c>
      <c r="B2671" s="23" t="s">
        <v>5327</v>
      </c>
      <c r="C2671" s="23">
        <v>2605</v>
      </c>
      <c r="G2671"/>
      <c r="I2671" s="14" t="str">
        <f>+IFERROR(VLOOKUP(C2671,'Mov 2023 hasta ahora '!$C$2:$D$314,2,FALSE),"NO")</f>
        <v>NO</v>
      </c>
      <c r="K2671">
        <v>6</v>
      </c>
      <c r="L2671" t="s">
        <v>836</v>
      </c>
      <c r="M2671">
        <v>24</v>
      </c>
      <c r="O2671" s="29" t="s">
        <v>9013</v>
      </c>
      <c r="P2671" s="25" t="s">
        <v>8756</v>
      </c>
      <c r="Q2671" s="25">
        <v>212</v>
      </c>
      <c r="R2671" t="s">
        <v>436</v>
      </c>
    </row>
    <row r="2672" spans="1:18" s="13" customFormat="1" hidden="1">
      <c r="A2672" s="23" t="s">
        <v>5328</v>
      </c>
      <c r="B2672" s="23" t="s">
        <v>5329</v>
      </c>
      <c r="C2672" s="23">
        <v>2591</v>
      </c>
      <c r="G2672"/>
      <c r="I2672" s="14" t="str">
        <f>+IFERROR(VLOOKUP(C2672,'Mov 2023 hasta ahora '!$C$2:$D$314,2,FALSE),"NO")</f>
        <v>NO</v>
      </c>
      <c r="K2672">
        <v>6</v>
      </c>
      <c r="L2672" t="s">
        <v>836</v>
      </c>
      <c r="M2672">
        <v>24</v>
      </c>
      <c r="O2672" s="29" t="s">
        <v>8794</v>
      </c>
      <c r="P2672" s="25" t="s">
        <v>8982</v>
      </c>
      <c r="Q2672" s="25">
        <v>1441</v>
      </c>
      <c r="R2672" t="s">
        <v>436</v>
      </c>
    </row>
    <row r="2673" spans="1:18" s="13" customFormat="1" hidden="1">
      <c r="A2673" s="23" t="s">
        <v>5330</v>
      </c>
      <c r="B2673" s="23" t="s">
        <v>5331</v>
      </c>
      <c r="C2673" s="23">
        <v>2592</v>
      </c>
      <c r="G2673"/>
      <c r="I2673" s="14" t="str">
        <f>+IFERROR(VLOOKUP(C2673,'Mov 2023 hasta ahora '!$C$2:$D$314,2,FALSE),"NO")</f>
        <v>NO</v>
      </c>
      <c r="K2673">
        <v>6</v>
      </c>
      <c r="L2673" t="s">
        <v>836</v>
      </c>
      <c r="M2673">
        <v>24</v>
      </c>
      <c r="O2673" s="29" t="s">
        <v>8809</v>
      </c>
      <c r="P2673" s="25" t="s">
        <v>8983</v>
      </c>
      <c r="Q2673" s="25">
        <v>1448</v>
      </c>
      <c r="R2673" t="s">
        <v>436</v>
      </c>
    </row>
    <row r="2674" spans="1:18" s="13" customFormat="1" hidden="1">
      <c r="A2674" s="23" t="s">
        <v>5332</v>
      </c>
      <c r="B2674" s="23" t="s">
        <v>5333</v>
      </c>
      <c r="C2674" s="23">
        <v>3255</v>
      </c>
      <c r="G2674"/>
      <c r="I2674" s="14" t="str">
        <f>+IFERROR(VLOOKUP(C2674,'Mov 2023 hasta ahora '!$C$2:$D$314,2,FALSE),"NO")</f>
        <v>NO</v>
      </c>
      <c r="K2674">
        <v>6</v>
      </c>
      <c r="L2674" t="s">
        <v>836</v>
      </c>
      <c r="M2674">
        <v>24</v>
      </c>
      <c r="O2674" s="29" t="s">
        <v>8857</v>
      </c>
      <c r="P2674" s="25" t="s">
        <v>8980</v>
      </c>
      <c r="Q2674" s="25">
        <v>2178</v>
      </c>
      <c r="R2674" t="s">
        <v>436</v>
      </c>
    </row>
    <row r="2675" spans="1:18" s="13" customFormat="1" hidden="1">
      <c r="A2675" s="23" t="s">
        <v>5334</v>
      </c>
      <c r="B2675" s="23" t="s">
        <v>5335</v>
      </c>
      <c r="C2675" s="23">
        <v>3266</v>
      </c>
      <c r="G2675"/>
      <c r="I2675" s="14" t="str">
        <f>+IFERROR(VLOOKUP(C2675,'Mov 2023 hasta ahora '!$C$2:$D$314,2,FALSE),"NO")</f>
        <v>NO</v>
      </c>
      <c r="K2675">
        <v>6</v>
      </c>
      <c r="L2675" t="s">
        <v>836</v>
      </c>
      <c r="M2675">
        <v>24</v>
      </c>
      <c r="O2675" s="29" t="s">
        <v>8857</v>
      </c>
      <c r="P2675" s="25" t="s">
        <v>8980</v>
      </c>
      <c r="Q2675" s="25">
        <v>2178</v>
      </c>
      <c r="R2675" t="s">
        <v>436</v>
      </c>
    </row>
    <row r="2676" spans="1:18" s="13" customFormat="1" hidden="1">
      <c r="A2676" s="23" t="s">
        <v>5336</v>
      </c>
      <c r="B2676" s="23" t="s">
        <v>5337</v>
      </c>
      <c r="C2676" s="23">
        <v>3277</v>
      </c>
      <c r="G2676"/>
      <c r="I2676" s="14" t="str">
        <f>+IFERROR(VLOOKUP(C2676,'Mov 2023 hasta ahora '!$C$2:$D$314,2,FALSE),"NO")</f>
        <v>NO</v>
      </c>
      <c r="K2676">
        <v>6</v>
      </c>
      <c r="L2676" t="s">
        <v>836</v>
      </c>
      <c r="M2676">
        <v>24</v>
      </c>
      <c r="O2676" s="29" t="s">
        <v>8857</v>
      </c>
      <c r="P2676" s="25" t="s">
        <v>8980</v>
      </c>
      <c r="Q2676" s="25">
        <v>2178</v>
      </c>
      <c r="R2676" t="s">
        <v>436</v>
      </c>
    </row>
    <row r="2677" spans="1:18" s="13" customFormat="1" hidden="1">
      <c r="A2677" s="23" t="s">
        <v>5338</v>
      </c>
      <c r="B2677" s="23" t="s">
        <v>5339</v>
      </c>
      <c r="C2677" s="23">
        <v>3288</v>
      </c>
      <c r="G2677"/>
      <c r="I2677" s="14" t="str">
        <f>+IFERROR(VLOOKUP(C2677,'Mov 2023 hasta ahora '!$C$2:$D$314,2,FALSE),"NO")</f>
        <v>NO</v>
      </c>
      <c r="K2677">
        <v>6</v>
      </c>
      <c r="L2677" t="s">
        <v>836</v>
      </c>
      <c r="M2677">
        <v>24</v>
      </c>
      <c r="O2677" s="29" t="s">
        <v>8857</v>
      </c>
      <c r="P2677" s="25" t="s">
        <v>8980</v>
      </c>
      <c r="Q2677" s="25">
        <v>2178</v>
      </c>
      <c r="R2677" t="s">
        <v>436</v>
      </c>
    </row>
    <row r="2678" spans="1:18" hidden="1">
      <c r="A2678" t="s">
        <v>5340</v>
      </c>
      <c r="B2678" t="s">
        <v>5341</v>
      </c>
      <c r="I2678" s="3" t="str">
        <f>+IFERROR(VLOOKUP(C2678,'Mov 2023 hasta ahora '!$C$2:$D$314,2,FALSE),"NO")</f>
        <v>NO</v>
      </c>
      <c r="K2678">
        <v>4</v>
      </c>
      <c r="L2678" t="s">
        <v>836</v>
      </c>
      <c r="M2678">
        <v>14</v>
      </c>
    </row>
    <row r="2679" spans="1:18" hidden="1">
      <c r="A2679" t="s">
        <v>5342</v>
      </c>
      <c r="B2679" t="s">
        <v>5343</v>
      </c>
      <c r="I2679" s="3" t="str">
        <f>+IFERROR(VLOOKUP(C2679,'Mov 2023 hasta ahora '!$C$2:$D$314,2,FALSE),"NO")</f>
        <v>NO</v>
      </c>
      <c r="K2679">
        <v>5</v>
      </c>
      <c r="L2679" t="s">
        <v>836</v>
      </c>
      <c r="M2679">
        <v>18</v>
      </c>
    </row>
    <row r="2680" spans="1:18" s="13" customFormat="1" hidden="1">
      <c r="A2680" s="23" t="s">
        <v>5344</v>
      </c>
      <c r="B2680" s="23" t="s">
        <v>5345</v>
      </c>
      <c r="C2680" s="23">
        <v>2606</v>
      </c>
      <c r="G2680"/>
      <c r="I2680" s="14" t="str">
        <f>+IFERROR(VLOOKUP(C2680,'Mov 2023 hasta ahora '!$C$2:$D$314,2,FALSE),"NO")</f>
        <v>NO</v>
      </c>
      <c r="K2680">
        <v>6</v>
      </c>
      <c r="L2680" t="s">
        <v>836</v>
      </c>
      <c r="M2680">
        <v>24</v>
      </c>
      <c r="O2680" s="29" t="s">
        <v>8867</v>
      </c>
      <c r="P2680" s="25" t="s">
        <v>8987</v>
      </c>
      <c r="Q2680" s="25">
        <v>456</v>
      </c>
      <c r="R2680" t="s">
        <v>436</v>
      </c>
    </row>
    <row r="2681" spans="1:18" s="13" customFormat="1" hidden="1">
      <c r="A2681" s="23" t="s">
        <v>5346</v>
      </c>
      <c r="B2681" s="23" t="s">
        <v>5347</v>
      </c>
      <c r="C2681" s="23">
        <v>2607</v>
      </c>
      <c r="G2681"/>
      <c r="I2681" s="14" t="str">
        <f>+IFERROR(VLOOKUP(C2681,'Mov 2023 hasta ahora '!$C$2:$D$314,2,FALSE),"NO")</f>
        <v>NO</v>
      </c>
      <c r="K2681">
        <v>6</v>
      </c>
      <c r="L2681" t="s">
        <v>836</v>
      </c>
      <c r="M2681">
        <v>24</v>
      </c>
      <c r="O2681" s="29" t="s">
        <v>8853</v>
      </c>
      <c r="P2681" s="25" t="s">
        <v>8986</v>
      </c>
      <c r="Q2681" s="25">
        <v>366</v>
      </c>
      <c r="R2681" t="s">
        <v>436</v>
      </c>
    </row>
    <row r="2682" spans="1:18" hidden="1">
      <c r="A2682" s="23" t="s">
        <v>5348</v>
      </c>
      <c r="B2682" s="23" t="s">
        <v>5349</v>
      </c>
      <c r="C2682" s="23">
        <v>2608</v>
      </c>
      <c r="I2682" s="3" t="str">
        <f>+IFERROR(VLOOKUP(C2682,'Mov 2023 hasta ahora '!$C$2:$D$314,2,FALSE),"NO")</f>
        <v>NO</v>
      </c>
      <c r="K2682">
        <v>6</v>
      </c>
      <c r="L2682" t="s">
        <v>836</v>
      </c>
      <c r="M2682">
        <v>24</v>
      </c>
      <c r="O2682" s="29" t="s">
        <v>8746</v>
      </c>
      <c r="P2682" s="25" t="s">
        <v>9054</v>
      </c>
      <c r="Q2682" s="25">
        <v>185</v>
      </c>
      <c r="R2682" t="s">
        <v>436</v>
      </c>
    </row>
    <row r="2683" spans="1:18" hidden="1">
      <c r="A2683" s="23" t="s">
        <v>5350</v>
      </c>
      <c r="B2683" s="23" t="s">
        <v>5351</v>
      </c>
      <c r="C2683" s="23">
        <v>2609</v>
      </c>
      <c r="I2683" s="3" t="str">
        <f>+IFERROR(VLOOKUP(C2683,'Mov 2023 hasta ahora '!$C$2:$D$314,2,FALSE),"NO")</f>
        <v>NO</v>
      </c>
      <c r="K2683">
        <v>6</v>
      </c>
      <c r="L2683" t="s">
        <v>836</v>
      </c>
      <c r="M2683">
        <v>24</v>
      </c>
      <c r="O2683" s="29" t="s">
        <v>9013</v>
      </c>
      <c r="P2683" s="25" t="s">
        <v>8756</v>
      </c>
      <c r="Q2683" s="25">
        <v>212</v>
      </c>
      <c r="R2683" t="s">
        <v>436</v>
      </c>
    </row>
    <row r="2684" spans="1:18" s="13" customFormat="1" hidden="1">
      <c r="A2684" s="23" t="s">
        <v>5352</v>
      </c>
      <c r="B2684" s="23" t="s">
        <v>5353</v>
      </c>
      <c r="C2684" s="23">
        <v>2593</v>
      </c>
      <c r="G2684"/>
      <c r="I2684" s="14" t="str">
        <f>+IFERROR(VLOOKUP(C2684,'Mov 2023 hasta ahora '!$C$2:$D$314,2,FALSE),"NO")</f>
        <v>NO</v>
      </c>
      <c r="K2684">
        <v>6</v>
      </c>
      <c r="L2684" t="s">
        <v>836</v>
      </c>
      <c r="M2684">
        <v>24</v>
      </c>
      <c r="O2684" s="29" t="s">
        <v>8800</v>
      </c>
      <c r="P2684" s="25" t="s">
        <v>8988</v>
      </c>
      <c r="Q2684" s="25">
        <v>1457</v>
      </c>
      <c r="R2684" t="s">
        <v>436</v>
      </c>
    </row>
    <row r="2685" spans="1:18" s="13" customFormat="1" hidden="1">
      <c r="A2685" s="23" t="s">
        <v>5354</v>
      </c>
      <c r="B2685" s="23" t="s">
        <v>5355</v>
      </c>
      <c r="C2685" s="23">
        <v>2594</v>
      </c>
      <c r="G2685"/>
      <c r="I2685" s="14" t="str">
        <f>+IFERROR(VLOOKUP(C2685,'Mov 2023 hasta ahora '!$C$2:$D$314,2,FALSE),"NO")</f>
        <v>NO</v>
      </c>
      <c r="K2685">
        <v>6</v>
      </c>
      <c r="L2685" t="s">
        <v>836</v>
      </c>
      <c r="M2685">
        <v>24</v>
      </c>
      <c r="O2685" s="29" t="s">
        <v>8810</v>
      </c>
      <c r="P2685" s="25" t="s">
        <v>8989</v>
      </c>
      <c r="Q2685" s="25">
        <v>1465</v>
      </c>
      <c r="R2685" t="s">
        <v>436</v>
      </c>
    </row>
    <row r="2686" spans="1:18" hidden="1">
      <c r="A2686" t="s">
        <v>5356</v>
      </c>
      <c r="B2686" t="s">
        <v>5357</v>
      </c>
      <c r="I2686" s="3" t="str">
        <f>+IFERROR(VLOOKUP(C2686,'Mov 2023 hasta ahora '!$C$2:$D$314,2,FALSE),"NO")</f>
        <v>NO</v>
      </c>
      <c r="K2686">
        <v>4</v>
      </c>
      <c r="L2686" t="s">
        <v>836</v>
      </c>
      <c r="M2686">
        <v>14</v>
      </c>
    </row>
    <row r="2687" spans="1:18" hidden="1">
      <c r="A2687" t="s">
        <v>5358</v>
      </c>
      <c r="B2687" t="s">
        <v>5359</v>
      </c>
      <c r="I2687" s="3" t="str">
        <f>+IFERROR(VLOOKUP(C2687,'Mov 2023 hasta ahora '!$C$2:$D$314,2,FALSE),"NO")</f>
        <v>NO</v>
      </c>
      <c r="K2687">
        <v>5</v>
      </c>
      <c r="L2687" t="s">
        <v>836</v>
      </c>
      <c r="M2687">
        <v>18</v>
      </c>
    </row>
    <row r="2688" spans="1:18" s="13" customFormat="1" hidden="1">
      <c r="A2688" s="23" t="s">
        <v>5360</v>
      </c>
      <c r="B2688" s="23" t="s">
        <v>5361</v>
      </c>
      <c r="C2688" s="23">
        <v>2761</v>
      </c>
      <c r="G2688"/>
      <c r="I2688" s="14" t="str">
        <f>+IFERROR(VLOOKUP(C2688,'Mov 2023 hasta ahora '!$C$2:$D$314,2,FALSE),"NO")</f>
        <v>NO</v>
      </c>
      <c r="K2688">
        <v>6</v>
      </c>
      <c r="L2688" t="s">
        <v>836</v>
      </c>
      <c r="M2688">
        <v>24</v>
      </c>
      <c r="O2688" s="29" t="s">
        <v>8752</v>
      </c>
      <c r="P2688" s="25" t="s">
        <v>8995</v>
      </c>
      <c r="Q2688" s="25">
        <v>1481</v>
      </c>
      <c r="R2688" t="s">
        <v>436</v>
      </c>
    </row>
    <row r="2689" spans="1:18" s="13" customFormat="1" hidden="1">
      <c r="A2689" s="23" t="s">
        <v>5362</v>
      </c>
      <c r="B2689" s="23" t="s">
        <v>5363</v>
      </c>
      <c r="C2689" s="23">
        <v>2762</v>
      </c>
      <c r="G2689"/>
      <c r="I2689" s="14" t="str">
        <f>+IFERROR(VLOOKUP(C2689,'Mov 2023 hasta ahora '!$C$2:$D$314,2,FALSE),"NO")</f>
        <v>NO</v>
      </c>
      <c r="K2689">
        <v>6</v>
      </c>
      <c r="L2689" t="s">
        <v>836</v>
      </c>
      <c r="M2689">
        <v>24</v>
      </c>
      <c r="O2689" s="29" t="s">
        <v>8766</v>
      </c>
      <c r="P2689" s="25" t="s">
        <v>8996</v>
      </c>
      <c r="Q2689" s="25">
        <v>1473</v>
      </c>
      <c r="R2689" t="s">
        <v>436</v>
      </c>
    </row>
    <row r="2690" spans="1:18" hidden="1">
      <c r="A2690" t="s">
        <v>5364</v>
      </c>
      <c r="B2690" t="s">
        <v>5365</v>
      </c>
      <c r="I2690" s="3" t="str">
        <f>+IFERROR(VLOOKUP(C2690,'Mov 2023 hasta ahora '!$C$2:$D$314,2,FALSE),"NO")</f>
        <v>NO</v>
      </c>
      <c r="K2690">
        <v>4</v>
      </c>
      <c r="L2690" t="s">
        <v>836</v>
      </c>
      <c r="M2690">
        <v>14</v>
      </c>
    </row>
    <row r="2691" spans="1:18" hidden="1">
      <c r="A2691" t="s">
        <v>5366</v>
      </c>
      <c r="B2691" t="s">
        <v>5367</v>
      </c>
      <c r="I2691" s="3" t="str">
        <f>+IFERROR(VLOOKUP(C2691,'Mov 2023 hasta ahora '!$C$2:$D$314,2,FALSE),"NO")</f>
        <v>NO</v>
      </c>
      <c r="K2691">
        <v>5</v>
      </c>
      <c r="L2691" t="s">
        <v>836</v>
      </c>
      <c r="M2691">
        <v>18</v>
      </c>
    </row>
    <row r="2692" spans="1:18" s="13" customFormat="1" hidden="1">
      <c r="A2692" s="23" t="s">
        <v>5368</v>
      </c>
      <c r="B2692" s="23" t="s">
        <v>5369</v>
      </c>
      <c r="C2692" s="23">
        <v>2913</v>
      </c>
      <c r="G2692"/>
      <c r="I2692" s="14" t="str">
        <f>+IFERROR(VLOOKUP(C2692,'Mov 2023 hasta ahora '!$C$2:$D$314,2,FALSE),"NO")</f>
        <v>NO</v>
      </c>
      <c r="K2692">
        <v>6</v>
      </c>
      <c r="L2692" t="s">
        <v>836</v>
      </c>
      <c r="M2692">
        <v>24</v>
      </c>
      <c r="O2692" s="29" t="s">
        <v>8847</v>
      </c>
      <c r="P2692" s="25" t="s">
        <v>8851</v>
      </c>
      <c r="Q2692" s="25">
        <v>852</v>
      </c>
      <c r="R2692" t="s">
        <v>436</v>
      </c>
    </row>
    <row r="2693" spans="1:18" hidden="1">
      <c r="A2693" t="s">
        <v>5370</v>
      </c>
      <c r="B2693" t="s">
        <v>5371</v>
      </c>
      <c r="I2693" s="3" t="str">
        <f>+IFERROR(VLOOKUP(C2693,'Mov 2023 hasta ahora '!$C$2:$D$314,2,FALSE),"NO")</f>
        <v>NO</v>
      </c>
      <c r="K2693">
        <v>4</v>
      </c>
      <c r="L2693" t="s">
        <v>836</v>
      </c>
      <c r="M2693">
        <v>14</v>
      </c>
    </row>
    <row r="2694" spans="1:18" hidden="1">
      <c r="A2694" t="s">
        <v>5372</v>
      </c>
      <c r="B2694" t="s">
        <v>5373</v>
      </c>
      <c r="I2694" s="3" t="str">
        <f>+IFERROR(VLOOKUP(C2694,'Mov 2023 hasta ahora '!$C$2:$D$314,2,FALSE),"NO")</f>
        <v>NO</v>
      </c>
      <c r="K2694">
        <v>5</v>
      </c>
      <c r="L2694" t="s">
        <v>836</v>
      </c>
      <c r="M2694">
        <v>18</v>
      </c>
    </row>
    <row r="2695" spans="1:18" s="13" customFormat="1" hidden="1">
      <c r="A2695" s="23" t="s">
        <v>5374</v>
      </c>
      <c r="B2695" s="23" t="s">
        <v>5375</v>
      </c>
      <c r="C2695" s="23">
        <v>2912</v>
      </c>
      <c r="G2695"/>
      <c r="I2695" s="14" t="str">
        <f>+IFERROR(VLOOKUP(C2695,'Mov 2023 hasta ahora '!$C$2:$D$314,2,FALSE),"NO")</f>
        <v>NO</v>
      </c>
      <c r="K2695">
        <v>6</v>
      </c>
      <c r="L2695" t="s">
        <v>836</v>
      </c>
      <c r="M2695">
        <v>24</v>
      </c>
      <c r="O2695" s="29" t="s">
        <v>9010</v>
      </c>
      <c r="P2695" s="25" t="s">
        <v>9006</v>
      </c>
      <c r="Q2695" s="25">
        <v>1042</v>
      </c>
      <c r="R2695" t="s">
        <v>436</v>
      </c>
    </row>
    <row r="2696" spans="1:18" hidden="1">
      <c r="A2696" t="s">
        <v>5376</v>
      </c>
      <c r="B2696" t="s">
        <v>5377</v>
      </c>
      <c r="I2696" s="3" t="str">
        <f>+IFERROR(VLOOKUP(C2696,'Mov 2023 hasta ahora '!$C$2:$D$314,2,FALSE),"NO")</f>
        <v>NO</v>
      </c>
      <c r="K2696">
        <v>4</v>
      </c>
      <c r="L2696" t="s">
        <v>836</v>
      </c>
      <c r="M2696">
        <v>14</v>
      </c>
    </row>
    <row r="2697" spans="1:18" hidden="1">
      <c r="A2697" t="s">
        <v>5378</v>
      </c>
      <c r="B2697" t="s">
        <v>5379</v>
      </c>
      <c r="I2697" s="3" t="str">
        <f>+IFERROR(VLOOKUP(C2697,'Mov 2023 hasta ahora '!$C$2:$D$314,2,FALSE),"NO")</f>
        <v>NO</v>
      </c>
      <c r="K2697">
        <v>5</v>
      </c>
      <c r="L2697" t="s">
        <v>836</v>
      </c>
      <c r="M2697">
        <v>18</v>
      </c>
    </row>
    <row r="2698" spans="1:18" s="13" customFormat="1" hidden="1">
      <c r="A2698" s="23" t="s">
        <v>5380</v>
      </c>
      <c r="B2698" s="23" t="s">
        <v>5381</v>
      </c>
      <c r="C2698" s="23">
        <v>2916</v>
      </c>
      <c r="G2698"/>
      <c r="I2698" s="14" t="str">
        <f>+IFERROR(VLOOKUP(C2698,'Mov 2023 hasta ahora '!$C$2:$D$314,2,FALSE),"NO")</f>
        <v>NO</v>
      </c>
      <c r="K2698">
        <v>6</v>
      </c>
      <c r="L2698" t="s">
        <v>836</v>
      </c>
      <c r="M2698">
        <v>24</v>
      </c>
      <c r="O2698" s="29" t="s">
        <v>9001</v>
      </c>
      <c r="P2698" s="25" t="s">
        <v>8852</v>
      </c>
      <c r="Q2698" s="25">
        <v>1150</v>
      </c>
      <c r="R2698" t="s">
        <v>436</v>
      </c>
    </row>
    <row r="2699" spans="1:18" hidden="1">
      <c r="A2699" t="s">
        <v>5382</v>
      </c>
      <c r="B2699" t="s">
        <v>5383</v>
      </c>
      <c r="I2699" s="3" t="str">
        <f>+IFERROR(VLOOKUP(C2699,'Mov 2023 hasta ahora '!$C$2:$D$314,2,FALSE),"NO")</f>
        <v>NO</v>
      </c>
      <c r="K2699">
        <v>4</v>
      </c>
      <c r="L2699" t="s">
        <v>836</v>
      </c>
      <c r="M2699">
        <v>14</v>
      </c>
    </row>
    <row r="2700" spans="1:18" hidden="1">
      <c r="A2700" t="s">
        <v>5384</v>
      </c>
      <c r="B2700" t="s">
        <v>5385</v>
      </c>
      <c r="I2700" s="3" t="str">
        <f>+IFERROR(VLOOKUP(C2700,'Mov 2023 hasta ahora '!$C$2:$D$314,2,FALSE),"NO")</f>
        <v>NO</v>
      </c>
      <c r="K2700">
        <v>5</v>
      </c>
      <c r="L2700" t="s">
        <v>836</v>
      </c>
      <c r="M2700">
        <v>18</v>
      </c>
    </row>
    <row r="2701" spans="1:18" hidden="1">
      <c r="A2701" s="23" t="s">
        <v>5386</v>
      </c>
      <c r="B2701" s="23" t="s">
        <v>5387</v>
      </c>
      <c r="C2701" s="23">
        <v>3299</v>
      </c>
      <c r="I2701" s="3" t="str">
        <f>+IFERROR(VLOOKUP(C2701,'Mov 2023 hasta ahora '!$C$2:$D$314,2,FALSE),"NO")</f>
        <v>NO</v>
      </c>
      <c r="K2701">
        <v>6</v>
      </c>
      <c r="L2701" t="s">
        <v>836</v>
      </c>
      <c r="M2701">
        <v>24</v>
      </c>
      <c r="O2701" s="29" t="s">
        <v>9061</v>
      </c>
      <c r="P2701" s="25" t="s">
        <v>9062</v>
      </c>
      <c r="Q2701" s="25">
        <v>2671</v>
      </c>
      <c r="R2701" t="s">
        <v>436</v>
      </c>
    </row>
    <row r="2702" spans="1:18" s="13" customFormat="1" hidden="1">
      <c r="A2702" s="23" t="s">
        <v>5388</v>
      </c>
      <c r="B2702" s="23" t="s">
        <v>5389</v>
      </c>
      <c r="C2702" s="23">
        <v>3310</v>
      </c>
      <c r="G2702"/>
      <c r="I2702" s="14" t="str">
        <f>+IFERROR(VLOOKUP(C2702,'Mov 2023 hasta ahora '!$C$2:$D$314,2,FALSE),"NO")</f>
        <v>NO</v>
      </c>
      <c r="K2702">
        <v>6</v>
      </c>
      <c r="L2702" t="s">
        <v>836</v>
      </c>
      <c r="M2702">
        <v>24</v>
      </c>
      <c r="O2702" s="29" t="s">
        <v>8861</v>
      </c>
      <c r="P2702" s="25" t="s">
        <v>8868</v>
      </c>
      <c r="Q2702" s="25">
        <v>1419</v>
      </c>
      <c r="R2702" t="s">
        <v>436</v>
      </c>
    </row>
    <row r="2703" spans="1:18" hidden="1">
      <c r="A2703" t="s">
        <v>5390</v>
      </c>
      <c r="B2703" t="s">
        <v>5391</v>
      </c>
      <c r="I2703" s="3" t="str">
        <f>+IFERROR(VLOOKUP(C2703,'Mov 2023 hasta ahora '!$C$2:$D$314,2,FALSE),"NO")</f>
        <v>NO</v>
      </c>
      <c r="K2703">
        <v>5</v>
      </c>
      <c r="L2703" t="s">
        <v>836</v>
      </c>
      <c r="M2703">
        <v>18</v>
      </c>
    </row>
    <row r="2704" spans="1:18" hidden="1">
      <c r="A2704" s="23" t="s">
        <v>5392</v>
      </c>
      <c r="B2704" s="23" t="s">
        <v>5393</v>
      </c>
      <c r="C2704" s="23">
        <v>2595</v>
      </c>
      <c r="I2704" s="3" t="str">
        <f>+IFERROR(VLOOKUP(C2704,'Mov 2023 hasta ahora '!$C$2:$D$314,2,FALSE),"NO")</f>
        <v>NO</v>
      </c>
      <c r="K2704">
        <v>6</v>
      </c>
      <c r="L2704" t="s">
        <v>836</v>
      </c>
      <c r="M2704">
        <v>24</v>
      </c>
      <c r="O2704" s="29" t="s">
        <v>9049</v>
      </c>
      <c r="P2704" s="25" t="s">
        <v>9050</v>
      </c>
      <c r="Q2704" s="25">
        <v>1363</v>
      </c>
      <c r="R2704" t="s">
        <v>436</v>
      </c>
    </row>
    <row r="2705" spans="1:18" hidden="1">
      <c r="A2705" s="23" t="s">
        <v>5394</v>
      </c>
      <c r="B2705" s="23" t="s">
        <v>5395</v>
      </c>
      <c r="C2705" s="23">
        <v>2596</v>
      </c>
      <c r="I2705" s="3" t="str">
        <f>+IFERROR(VLOOKUP(C2705,'Mov 2023 hasta ahora '!$C$2:$D$314,2,FALSE),"NO")</f>
        <v>NO</v>
      </c>
      <c r="K2705">
        <v>6</v>
      </c>
      <c r="L2705" t="s">
        <v>836</v>
      </c>
      <c r="M2705">
        <v>24</v>
      </c>
      <c r="O2705" s="29" t="s">
        <v>9014</v>
      </c>
      <c r="P2705" s="25" t="s">
        <v>8890</v>
      </c>
      <c r="Q2705" s="25">
        <v>1244</v>
      </c>
      <c r="R2705" t="s">
        <v>436</v>
      </c>
    </row>
    <row r="2706" spans="1:18" hidden="1">
      <c r="A2706" s="23" t="s">
        <v>5396</v>
      </c>
      <c r="B2706" s="23" t="s">
        <v>5397</v>
      </c>
      <c r="C2706" s="23">
        <v>2597</v>
      </c>
      <c r="I2706" s="3" t="str">
        <f>+IFERROR(VLOOKUP(C2706,'Mov 2023 hasta ahora '!$C$2:$D$314,2,FALSE),"NO")</f>
        <v>NO</v>
      </c>
      <c r="K2706">
        <v>6</v>
      </c>
      <c r="L2706" t="s">
        <v>836</v>
      </c>
      <c r="M2706">
        <v>24</v>
      </c>
      <c r="O2706" s="29" t="s">
        <v>9030</v>
      </c>
      <c r="P2706" s="25" t="s">
        <v>9029</v>
      </c>
      <c r="Q2706" s="25">
        <v>3817</v>
      </c>
      <c r="R2706" t="s">
        <v>436</v>
      </c>
    </row>
    <row r="2707" spans="1:18" s="13" customFormat="1" hidden="1">
      <c r="A2707" s="23" t="s">
        <v>5398</v>
      </c>
      <c r="B2707" s="23" t="s">
        <v>5399</v>
      </c>
      <c r="C2707" s="23">
        <v>2598</v>
      </c>
      <c r="G2707"/>
      <c r="I2707" s="14" t="str">
        <f>+IFERROR(VLOOKUP(C2707,'Mov 2023 hasta ahora '!$C$2:$D$314,2,FALSE),"NO")</f>
        <v>NO</v>
      </c>
      <c r="K2707">
        <v>6</v>
      </c>
      <c r="L2707" t="s">
        <v>836</v>
      </c>
      <c r="M2707">
        <v>24</v>
      </c>
      <c r="O2707" s="29" t="s">
        <v>8825</v>
      </c>
      <c r="P2707" s="25" t="s">
        <v>8832</v>
      </c>
      <c r="Q2707" s="25">
        <v>3601</v>
      </c>
      <c r="R2707" t="s">
        <v>436</v>
      </c>
    </row>
    <row r="2708" spans="1:18" s="13" customFormat="1" hidden="1">
      <c r="A2708" s="23" t="s">
        <v>5400</v>
      </c>
      <c r="B2708" s="23" t="s">
        <v>5401</v>
      </c>
      <c r="C2708" s="23">
        <v>2599</v>
      </c>
      <c r="G2708"/>
      <c r="I2708" s="14" t="str">
        <f>+IFERROR(VLOOKUP(C2708,'Mov 2023 hasta ahora '!$C$2:$D$314,2,FALSE),"NO")</f>
        <v>NO</v>
      </c>
      <c r="K2708">
        <v>6</v>
      </c>
      <c r="L2708" t="s">
        <v>836</v>
      </c>
      <c r="M2708">
        <v>24</v>
      </c>
      <c r="O2708" s="29" t="s">
        <v>8992</v>
      </c>
      <c r="P2708" s="25" t="s">
        <v>8836</v>
      </c>
      <c r="Q2708" s="25">
        <v>3603</v>
      </c>
      <c r="R2708" t="s">
        <v>436</v>
      </c>
    </row>
    <row r="2709" spans="1:18" hidden="1">
      <c r="A2709" t="s">
        <v>5402</v>
      </c>
      <c r="B2709" t="s">
        <v>1509</v>
      </c>
      <c r="I2709" s="3" t="str">
        <f>+IFERROR(VLOOKUP(C2709,'Mov 2023 hasta ahora '!$C$2:$D$314,2,FALSE),"NO")</f>
        <v>NO</v>
      </c>
      <c r="K2709">
        <v>3</v>
      </c>
      <c r="L2709" t="s">
        <v>836</v>
      </c>
      <c r="M2709">
        <v>10</v>
      </c>
    </row>
    <row r="2710" spans="1:18" hidden="1">
      <c r="A2710" t="s">
        <v>5403</v>
      </c>
      <c r="B2710" t="s">
        <v>5404</v>
      </c>
      <c r="I2710" s="3" t="str">
        <f>+IFERROR(VLOOKUP(C2710,'Mov 2023 hasta ahora '!$C$2:$D$314,2,FALSE),"NO")</f>
        <v>NO</v>
      </c>
      <c r="K2710">
        <v>4</v>
      </c>
      <c r="L2710" t="s">
        <v>836</v>
      </c>
      <c r="M2710">
        <v>14</v>
      </c>
    </row>
    <row r="2711" spans="1:18" hidden="1">
      <c r="A2711" t="s">
        <v>5405</v>
      </c>
      <c r="B2711" t="s">
        <v>5406</v>
      </c>
      <c r="I2711" s="3" t="str">
        <f>+IFERROR(VLOOKUP(C2711,'Mov 2023 hasta ahora '!$C$2:$D$314,2,FALSE),"NO")</f>
        <v>NO</v>
      </c>
      <c r="K2711">
        <v>5</v>
      </c>
      <c r="L2711" t="s">
        <v>836</v>
      </c>
      <c r="M2711">
        <v>18</v>
      </c>
    </row>
    <row r="2712" spans="1:18" hidden="1">
      <c r="A2712" s="23" t="s">
        <v>5407</v>
      </c>
      <c r="B2712" s="23" t="s">
        <v>5408</v>
      </c>
      <c r="C2712" s="23">
        <v>2751</v>
      </c>
      <c r="I2712" s="3" t="str">
        <f>+IFERROR(VLOOKUP(C2712,'Mov 2023 hasta ahora '!$C$2:$D$314,2,FALSE),"NO")</f>
        <v>NO</v>
      </c>
      <c r="K2712">
        <v>6</v>
      </c>
      <c r="L2712" t="s">
        <v>836</v>
      </c>
      <c r="M2712">
        <v>24</v>
      </c>
      <c r="O2712" s="29" t="s">
        <v>8742</v>
      </c>
      <c r="P2712" s="25" t="s">
        <v>9063</v>
      </c>
      <c r="Q2712" s="25">
        <v>176</v>
      </c>
      <c r="R2712" t="s">
        <v>436</v>
      </c>
    </row>
    <row r="2713" spans="1:18" hidden="1">
      <c r="A2713" t="s">
        <v>5409</v>
      </c>
      <c r="B2713" t="s">
        <v>5410</v>
      </c>
      <c r="I2713" s="3" t="str">
        <f>+IFERROR(VLOOKUP(C2713,'Mov 2023 hasta ahora '!$C$2:$D$314,2,FALSE),"NO")</f>
        <v>NO</v>
      </c>
      <c r="K2713">
        <v>4</v>
      </c>
      <c r="L2713" t="s">
        <v>836</v>
      </c>
      <c r="M2713">
        <v>14</v>
      </c>
    </row>
    <row r="2714" spans="1:18" hidden="1">
      <c r="A2714" t="s">
        <v>5411</v>
      </c>
      <c r="B2714" t="s">
        <v>5412</v>
      </c>
      <c r="I2714" s="3" t="str">
        <f>+IFERROR(VLOOKUP(C2714,'Mov 2023 hasta ahora '!$C$2:$D$314,2,FALSE),"NO")</f>
        <v>NO</v>
      </c>
      <c r="K2714">
        <v>5</v>
      </c>
      <c r="L2714" t="s">
        <v>836</v>
      </c>
      <c r="M2714">
        <v>18</v>
      </c>
    </row>
    <row r="2715" spans="1:18" s="15" customFormat="1" hidden="1">
      <c r="A2715" s="23" t="s">
        <v>5413</v>
      </c>
      <c r="B2715" s="23" t="s">
        <v>5414</v>
      </c>
      <c r="C2715" s="23">
        <v>2745</v>
      </c>
      <c r="G2715"/>
      <c r="I2715" s="16" t="str">
        <f>+IFERROR(VLOOKUP(C2715,'Mov 2023 hasta ahora '!$C$2:$D$314,2,FALSE),"NO")</f>
        <v>NO</v>
      </c>
      <c r="K2715">
        <v>6</v>
      </c>
      <c r="L2715" t="s">
        <v>836</v>
      </c>
      <c r="M2715">
        <v>24</v>
      </c>
      <c r="O2715" s="29" t="s">
        <v>8864</v>
      </c>
      <c r="P2715" s="25" t="s">
        <v>8979</v>
      </c>
      <c r="Q2715" s="25">
        <v>2177</v>
      </c>
      <c r="R2715" t="s">
        <v>436</v>
      </c>
    </row>
    <row r="2716" spans="1:18" s="15" customFormat="1" hidden="1">
      <c r="A2716" s="23" t="s">
        <v>5415</v>
      </c>
      <c r="B2716" s="23" t="s">
        <v>5416</v>
      </c>
      <c r="C2716" s="23">
        <v>2746</v>
      </c>
      <c r="G2716"/>
      <c r="I2716" s="16" t="str">
        <f>+IFERROR(VLOOKUP(C2716,'Mov 2023 hasta ahora '!$C$2:$D$314,2,FALSE),"NO")</f>
        <v>NO</v>
      </c>
      <c r="K2716">
        <v>6</v>
      </c>
      <c r="L2716" t="s">
        <v>836</v>
      </c>
      <c r="M2716">
        <v>24</v>
      </c>
      <c r="O2716" s="29" t="s">
        <v>8793</v>
      </c>
      <c r="P2716" s="25" t="s">
        <v>8975</v>
      </c>
      <c r="Q2716" s="25">
        <v>1616</v>
      </c>
      <c r="R2716" t="s">
        <v>436</v>
      </c>
    </row>
    <row r="2717" spans="1:18" hidden="1">
      <c r="A2717" s="23" t="s">
        <v>5417</v>
      </c>
      <c r="B2717" s="23" t="s">
        <v>5418</v>
      </c>
      <c r="C2717" s="23">
        <v>2747</v>
      </c>
      <c r="I2717" s="3" t="str">
        <f>+IFERROR(VLOOKUP(C2717,'Mov 2023 hasta ahora '!$C$2:$D$314,2,FALSE),"NO")</f>
        <v>NO</v>
      </c>
      <c r="K2717">
        <v>6</v>
      </c>
      <c r="L2717" t="s">
        <v>836</v>
      </c>
      <c r="M2717">
        <v>24</v>
      </c>
      <c r="O2717" s="29" t="s">
        <v>8794</v>
      </c>
      <c r="P2717" s="25" t="s">
        <v>8982</v>
      </c>
      <c r="Q2717" s="25">
        <v>1441</v>
      </c>
      <c r="R2717" t="s">
        <v>436</v>
      </c>
    </row>
    <row r="2718" spans="1:18" hidden="1">
      <c r="A2718" s="23" t="s">
        <v>5419</v>
      </c>
      <c r="B2718" s="23" t="s">
        <v>5420</v>
      </c>
      <c r="C2718" s="23">
        <v>2748</v>
      </c>
      <c r="I2718" s="3" t="str">
        <f>+IFERROR(VLOOKUP(C2718,'Mov 2023 hasta ahora '!$C$2:$D$314,2,FALSE),"NO")</f>
        <v>NO</v>
      </c>
      <c r="K2718">
        <v>6</v>
      </c>
      <c r="L2718" t="s">
        <v>836</v>
      </c>
      <c r="M2718">
        <v>24</v>
      </c>
      <c r="O2718" s="29" t="s">
        <v>8809</v>
      </c>
      <c r="P2718" s="25" t="s">
        <v>8983</v>
      </c>
      <c r="Q2718" s="25">
        <v>1448</v>
      </c>
      <c r="R2718" t="s">
        <v>436</v>
      </c>
    </row>
    <row r="2719" spans="1:18" hidden="1">
      <c r="A2719" t="s">
        <v>5421</v>
      </c>
      <c r="B2719" t="s">
        <v>5422</v>
      </c>
      <c r="I2719" s="3" t="str">
        <f>+IFERROR(VLOOKUP(C2719,'Mov 2023 hasta ahora '!$C$2:$D$314,2,FALSE),"NO")</f>
        <v>NO</v>
      </c>
      <c r="K2719">
        <v>4</v>
      </c>
      <c r="L2719" t="s">
        <v>836</v>
      </c>
      <c r="M2719">
        <v>14</v>
      </c>
    </row>
    <row r="2720" spans="1:18" hidden="1">
      <c r="A2720" t="s">
        <v>5423</v>
      </c>
      <c r="B2720" t="s">
        <v>5424</v>
      </c>
      <c r="I2720" s="3" t="str">
        <f>+IFERROR(VLOOKUP(C2720,'Mov 2023 hasta ahora '!$C$2:$D$314,2,FALSE),"NO")</f>
        <v>NO</v>
      </c>
      <c r="K2720">
        <v>5</v>
      </c>
      <c r="L2720" t="s">
        <v>836</v>
      </c>
      <c r="M2720">
        <v>18</v>
      </c>
    </row>
    <row r="2721" spans="1:18" s="13" customFormat="1" hidden="1">
      <c r="A2721" s="23" t="s">
        <v>5425</v>
      </c>
      <c r="B2721" s="23" t="s">
        <v>5426</v>
      </c>
      <c r="C2721" s="23">
        <v>2699</v>
      </c>
      <c r="G2721"/>
      <c r="I2721" s="14" t="str">
        <f>+IFERROR(VLOOKUP(C2721,'Mov 2023 hasta ahora '!$C$2:$D$314,2,FALSE),"NO")</f>
        <v>NO</v>
      </c>
      <c r="K2721">
        <v>6</v>
      </c>
      <c r="L2721" t="s">
        <v>836</v>
      </c>
      <c r="M2721">
        <v>24</v>
      </c>
      <c r="O2721" s="29" t="s">
        <v>8857</v>
      </c>
      <c r="P2721" s="25" t="s">
        <v>8980</v>
      </c>
      <c r="Q2721" s="25">
        <v>2178</v>
      </c>
      <c r="R2721" t="s">
        <v>436</v>
      </c>
    </row>
    <row r="2722" spans="1:18" s="13" customFormat="1" hidden="1">
      <c r="A2722" s="23" t="s">
        <v>5427</v>
      </c>
      <c r="B2722" s="23" t="s">
        <v>5428</v>
      </c>
      <c r="C2722" s="23">
        <v>2700</v>
      </c>
      <c r="G2722"/>
      <c r="I2722" s="14" t="str">
        <f>+IFERROR(VLOOKUP(C2722,'Mov 2023 hasta ahora '!$C$2:$D$314,2,FALSE),"NO")</f>
        <v>NO</v>
      </c>
      <c r="K2722">
        <v>6</v>
      </c>
      <c r="L2722" t="s">
        <v>836</v>
      </c>
      <c r="M2722">
        <v>24</v>
      </c>
      <c r="O2722" s="29" t="s">
        <v>8846</v>
      </c>
      <c r="P2722" s="25" t="s">
        <v>8981</v>
      </c>
      <c r="Q2722" s="25">
        <v>2179</v>
      </c>
      <c r="R2722" t="s">
        <v>436</v>
      </c>
    </row>
    <row r="2723" spans="1:18" s="13" customFormat="1" hidden="1">
      <c r="A2723" s="23" t="s">
        <v>5429</v>
      </c>
      <c r="B2723" s="23" t="s">
        <v>5430</v>
      </c>
      <c r="C2723" s="23">
        <v>2701</v>
      </c>
      <c r="G2723"/>
      <c r="I2723" s="14" t="str">
        <f>+IFERROR(VLOOKUP(C2723,'Mov 2023 hasta ahora '!$C$2:$D$314,2,FALSE),"NO")</f>
        <v>NO</v>
      </c>
      <c r="K2723">
        <v>6</v>
      </c>
      <c r="L2723" t="s">
        <v>836</v>
      </c>
      <c r="M2723">
        <v>24</v>
      </c>
      <c r="O2723" s="29" t="s">
        <v>8746</v>
      </c>
      <c r="P2723" s="25" t="s">
        <v>9054</v>
      </c>
      <c r="Q2723" s="25">
        <v>185</v>
      </c>
      <c r="R2723" t="s">
        <v>436</v>
      </c>
    </row>
    <row r="2724" spans="1:18" s="13" customFormat="1" hidden="1">
      <c r="A2724" s="23" t="s">
        <v>5431</v>
      </c>
      <c r="B2724" s="23" t="s">
        <v>5432</v>
      </c>
      <c r="C2724" s="23">
        <v>2702</v>
      </c>
      <c r="G2724"/>
      <c r="I2724" s="14" t="str">
        <f>+IFERROR(VLOOKUP(C2724,'Mov 2023 hasta ahora '!$C$2:$D$314,2,FALSE),"NO")</f>
        <v>NO</v>
      </c>
      <c r="K2724">
        <v>6</v>
      </c>
      <c r="L2724" t="s">
        <v>836</v>
      </c>
      <c r="M2724">
        <v>24</v>
      </c>
      <c r="O2724" s="29" t="s">
        <v>9013</v>
      </c>
      <c r="P2724" s="25" t="s">
        <v>8756</v>
      </c>
      <c r="Q2724" s="25">
        <v>212</v>
      </c>
      <c r="R2724" t="s">
        <v>436</v>
      </c>
    </row>
    <row r="2725" spans="1:18" s="13" customFormat="1" hidden="1">
      <c r="A2725" s="23" t="s">
        <v>5433</v>
      </c>
      <c r="B2725" s="23" t="s">
        <v>5434</v>
      </c>
      <c r="C2725" s="23">
        <v>2703</v>
      </c>
      <c r="G2725"/>
      <c r="I2725" s="14" t="str">
        <f>+IFERROR(VLOOKUP(C2725,'Mov 2023 hasta ahora '!$C$2:$D$314,2,FALSE),"NO")</f>
        <v>NO</v>
      </c>
      <c r="K2725">
        <v>6</v>
      </c>
      <c r="L2725" t="s">
        <v>836</v>
      </c>
      <c r="M2725">
        <v>24</v>
      </c>
      <c r="O2725" s="29" t="s">
        <v>8794</v>
      </c>
      <c r="P2725" s="25" t="s">
        <v>8982</v>
      </c>
      <c r="Q2725" s="25">
        <v>1441</v>
      </c>
      <c r="R2725" t="s">
        <v>436</v>
      </c>
    </row>
    <row r="2726" spans="1:18" s="13" customFormat="1" hidden="1">
      <c r="A2726" s="23" t="s">
        <v>5435</v>
      </c>
      <c r="B2726" s="23" t="s">
        <v>5436</v>
      </c>
      <c r="C2726" s="23">
        <v>2704</v>
      </c>
      <c r="G2726"/>
      <c r="I2726" s="14" t="str">
        <f>+IFERROR(VLOOKUP(C2726,'Mov 2023 hasta ahora '!$C$2:$D$314,2,FALSE),"NO")</f>
        <v>NO</v>
      </c>
      <c r="K2726">
        <v>6</v>
      </c>
      <c r="L2726" t="s">
        <v>836</v>
      </c>
      <c r="M2726">
        <v>24</v>
      </c>
      <c r="O2726" s="29" t="s">
        <v>8809</v>
      </c>
      <c r="P2726" s="25" t="s">
        <v>8983</v>
      </c>
      <c r="Q2726" s="25">
        <v>1448</v>
      </c>
      <c r="R2726" t="s">
        <v>436</v>
      </c>
    </row>
    <row r="2727" spans="1:18" hidden="1">
      <c r="A2727" t="s">
        <v>5437</v>
      </c>
      <c r="B2727" t="s">
        <v>5438</v>
      </c>
      <c r="I2727" s="3" t="str">
        <f>+IFERROR(VLOOKUP(C2727,'Mov 2023 hasta ahora '!$C$2:$D$314,2,FALSE),"NO")</f>
        <v>NO</v>
      </c>
      <c r="K2727">
        <v>4</v>
      </c>
      <c r="L2727" t="s">
        <v>836</v>
      </c>
      <c r="M2727">
        <v>14</v>
      </c>
    </row>
    <row r="2728" spans="1:18" hidden="1">
      <c r="A2728" t="s">
        <v>5439</v>
      </c>
      <c r="B2728" t="s">
        <v>5440</v>
      </c>
      <c r="I2728" s="3" t="str">
        <f>+IFERROR(VLOOKUP(C2728,'Mov 2023 hasta ahora '!$C$2:$D$314,2,FALSE),"NO")</f>
        <v>NO</v>
      </c>
      <c r="K2728">
        <v>5</v>
      </c>
      <c r="L2728" t="s">
        <v>836</v>
      </c>
      <c r="M2728">
        <v>18</v>
      </c>
    </row>
    <row r="2729" spans="1:18" s="13" customFormat="1" hidden="1">
      <c r="A2729" s="23" t="s">
        <v>5441</v>
      </c>
      <c r="B2729" s="23" t="s">
        <v>5442</v>
      </c>
      <c r="C2729" s="23">
        <v>2705</v>
      </c>
      <c r="G2729"/>
      <c r="I2729" s="14" t="str">
        <f>+IFERROR(VLOOKUP(C2729,'Mov 2023 hasta ahora '!$C$2:$D$314,2,FALSE),"NO")</f>
        <v>NO</v>
      </c>
      <c r="K2729">
        <v>6</v>
      </c>
      <c r="L2729" t="s">
        <v>836</v>
      </c>
      <c r="M2729">
        <v>24</v>
      </c>
      <c r="O2729" s="29" t="s">
        <v>8867</v>
      </c>
      <c r="P2729" s="25" t="s">
        <v>8987</v>
      </c>
      <c r="Q2729" s="25">
        <v>456</v>
      </c>
      <c r="R2729" t="s">
        <v>436</v>
      </c>
    </row>
    <row r="2730" spans="1:18" s="13" customFormat="1" hidden="1">
      <c r="A2730" s="23" t="s">
        <v>5443</v>
      </c>
      <c r="B2730" s="23" t="s">
        <v>5444</v>
      </c>
      <c r="C2730" s="23">
        <v>2706</v>
      </c>
      <c r="G2730"/>
      <c r="I2730" s="14" t="str">
        <f>+IFERROR(VLOOKUP(C2730,'Mov 2023 hasta ahora '!$C$2:$D$314,2,FALSE),"NO")</f>
        <v>NO</v>
      </c>
      <c r="K2730">
        <v>6</v>
      </c>
      <c r="L2730" t="s">
        <v>836</v>
      </c>
      <c r="M2730">
        <v>24</v>
      </c>
      <c r="O2730" s="29" t="s">
        <v>8853</v>
      </c>
      <c r="P2730" s="25" t="s">
        <v>8986</v>
      </c>
      <c r="Q2730" s="25">
        <v>366</v>
      </c>
      <c r="R2730" t="s">
        <v>436</v>
      </c>
    </row>
    <row r="2731" spans="1:18" hidden="1">
      <c r="A2731" s="23" t="s">
        <v>5445</v>
      </c>
      <c r="B2731" s="23" t="s">
        <v>5446</v>
      </c>
      <c r="C2731" s="23">
        <v>2707</v>
      </c>
      <c r="I2731" s="3" t="str">
        <f>+IFERROR(VLOOKUP(C2731,'Mov 2023 hasta ahora '!$C$2:$D$314,2,FALSE),"NO")</f>
        <v>NO</v>
      </c>
      <c r="K2731">
        <v>6</v>
      </c>
      <c r="L2731" t="s">
        <v>836</v>
      </c>
      <c r="M2731">
        <v>24</v>
      </c>
      <c r="O2731" s="29" t="s">
        <v>8746</v>
      </c>
      <c r="P2731" s="25" t="s">
        <v>9054</v>
      </c>
      <c r="Q2731" s="25">
        <v>185</v>
      </c>
      <c r="R2731" t="s">
        <v>436</v>
      </c>
    </row>
    <row r="2732" spans="1:18" hidden="1">
      <c r="A2732" s="23" t="s">
        <v>5447</v>
      </c>
      <c r="B2732" s="23" t="s">
        <v>5448</v>
      </c>
      <c r="C2732" s="23">
        <v>2708</v>
      </c>
      <c r="I2732" s="3" t="str">
        <f>+IFERROR(VLOOKUP(C2732,'Mov 2023 hasta ahora '!$C$2:$D$314,2,FALSE),"NO")</f>
        <v>NO</v>
      </c>
      <c r="K2732">
        <v>6</v>
      </c>
      <c r="L2732" t="s">
        <v>836</v>
      </c>
      <c r="M2732">
        <v>24</v>
      </c>
      <c r="O2732" s="29" t="s">
        <v>9013</v>
      </c>
      <c r="P2732" s="25" t="s">
        <v>8756</v>
      </c>
      <c r="Q2732" s="25">
        <v>212</v>
      </c>
      <c r="R2732" t="s">
        <v>436</v>
      </c>
    </row>
    <row r="2733" spans="1:18" s="13" customFormat="1" hidden="1">
      <c r="A2733" s="23" t="s">
        <v>5449</v>
      </c>
      <c r="B2733" s="23" t="s">
        <v>5450</v>
      </c>
      <c r="C2733" s="23">
        <v>2709</v>
      </c>
      <c r="G2733"/>
      <c r="I2733" s="14" t="str">
        <f>+IFERROR(VLOOKUP(C2733,'Mov 2023 hasta ahora '!$C$2:$D$314,2,FALSE),"NO")</f>
        <v>NO</v>
      </c>
      <c r="K2733">
        <v>6</v>
      </c>
      <c r="L2733" t="s">
        <v>836</v>
      </c>
      <c r="M2733">
        <v>24</v>
      </c>
      <c r="O2733" s="29" t="s">
        <v>8800</v>
      </c>
      <c r="P2733" s="25" t="s">
        <v>8988</v>
      </c>
      <c r="Q2733" s="25">
        <v>1457</v>
      </c>
      <c r="R2733" t="s">
        <v>436</v>
      </c>
    </row>
    <row r="2734" spans="1:18" s="13" customFormat="1" hidden="1">
      <c r="A2734" s="23" t="s">
        <v>5451</v>
      </c>
      <c r="B2734" s="23" t="s">
        <v>5452</v>
      </c>
      <c r="C2734" s="23">
        <v>2710</v>
      </c>
      <c r="G2734"/>
      <c r="I2734" s="14" t="str">
        <f>+IFERROR(VLOOKUP(C2734,'Mov 2023 hasta ahora '!$C$2:$D$314,2,FALSE),"NO")</f>
        <v>NO</v>
      </c>
      <c r="K2734">
        <v>6</v>
      </c>
      <c r="L2734" t="s">
        <v>836</v>
      </c>
      <c r="M2734">
        <v>24</v>
      </c>
      <c r="O2734" s="29" t="s">
        <v>8810</v>
      </c>
      <c r="P2734" s="25" t="s">
        <v>8989</v>
      </c>
      <c r="Q2734" s="25">
        <v>1465</v>
      </c>
      <c r="R2734" t="s">
        <v>436</v>
      </c>
    </row>
    <row r="2735" spans="1:18" hidden="1">
      <c r="A2735" t="s">
        <v>5453</v>
      </c>
      <c r="B2735" t="s">
        <v>5454</v>
      </c>
      <c r="I2735" s="3" t="str">
        <f>+IFERROR(VLOOKUP(C2735,'Mov 2023 hasta ahora '!$C$2:$D$314,2,FALSE),"NO")</f>
        <v>NO</v>
      </c>
      <c r="K2735">
        <v>4</v>
      </c>
      <c r="L2735" t="s">
        <v>836</v>
      </c>
      <c r="M2735">
        <v>14</v>
      </c>
    </row>
    <row r="2736" spans="1:18" hidden="1">
      <c r="A2736" t="s">
        <v>5455</v>
      </c>
      <c r="B2736" t="s">
        <v>5456</v>
      </c>
      <c r="I2736" s="3" t="str">
        <f>+IFERROR(VLOOKUP(C2736,'Mov 2023 hasta ahora '!$C$2:$D$314,2,FALSE),"NO")</f>
        <v>NO</v>
      </c>
      <c r="K2736">
        <v>5</v>
      </c>
      <c r="L2736" t="s">
        <v>836</v>
      </c>
      <c r="M2736">
        <v>18</v>
      </c>
    </row>
    <row r="2737" spans="1:18" s="13" customFormat="1" hidden="1">
      <c r="A2737" s="23" t="s">
        <v>5457</v>
      </c>
      <c r="B2737" s="23" t="s">
        <v>5458</v>
      </c>
      <c r="C2737" s="23">
        <v>2711</v>
      </c>
      <c r="G2737"/>
      <c r="I2737" s="14" t="str">
        <f>+IFERROR(VLOOKUP(C2737,'Mov 2023 hasta ahora '!$C$2:$D$314,2,FALSE),"NO")</f>
        <v>NO</v>
      </c>
      <c r="K2737">
        <v>6</v>
      </c>
      <c r="L2737" t="s">
        <v>836</v>
      </c>
      <c r="M2737">
        <v>24</v>
      </c>
      <c r="O2737" s="29" t="s">
        <v>8858</v>
      </c>
      <c r="P2737" s="25" t="s">
        <v>8862</v>
      </c>
      <c r="Q2737" s="25">
        <v>834</v>
      </c>
      <c r="R2737" t="s">
        <v>436</v>
      </c>
    </row>
    <row r="2738" spans="1:18" hidden="1">
      <c r="A2738" t="s">
        <v>5459</v>
      </c>
      <c r="B2738" t="s">
        <v>5460</v>
      </c>
      <c r="I2738" s="3" t="str">
        <f>+IFERROR(VLOOKUP(C2738,'Mov 2023 hasta ahora '!$C$2:$D$314,2,FALSE),"NO")</f>
        <v>NO</v>
      </c>
      <c r="K2738">
        <v>4</v>
      </c>
      <c r="L2738" t="s">
        <v>836</v>
      </c>
      <c r="M2738">
        <v>14</v>
      </c>
    </row>
    <row r="2739" spans="1:18" hidden="1">
      <c r="A2739" t="s">
        <v>5461</v>
      </c>
      <c r="B2739" t="s">
        <v>5462</v>
      </c>
      <c r="I2739" s="3" t="str">
        <f>+IFERROR(VLOOKUP(C2739,'Mov 2023 hasta ahora '!$C$2:$D$314,2,FALSE),"NO")</f>
        <v>NO</v>
      </c>
      <c r="K2739">
        <v>5</v>
      </c>
      <c r="L2739" t="s">
        <v>836</v>
      </c>
      <c r="M2739">
        <v>18</v>
      </c>
    </row>
    <row r="2740" spans="1:18" s="13" customFormat="1" hidden="1">
      <c r="A2740" s="23" t="s">
        <v>5463</v>
      </c>
      <c r="B2740" s="23" t="s">
        <v>5464</v>
      </c>
      <c r="C2740" s="23">
        <v>2712</v>
      </c>
      <c r="G2740"/>
      <c r="I2740" s="14" t="str">
        <f>+IFERROR(VLOOKUP(C2740,'Mov 2023 hasta ahora '!$C$2:$D$314,2,FALSE),"NO")</f>
        <v>NO</v>
      </c>
      <c r="K2740">
        <v>6</v>
      </c>
      <c r="L2740" t="s">
        <v>836</v>
      </c>
      <c r="M2740">
        <v>24</v>
      </c>
      <c r="O2740" s="29" t="s">
        <v>9009</v>
      </c>
      <c r="P2740" s="25" t="s">
        <v>9005</v>
      </c>
      <c r="Q2740" s="25">
        <v>1024</v>
      </c>
      <c r="R2740" t="s">
        <v>436</v>
      </c>
    </row>
    <row r="2741" spans="1:18" s="13" customFormat="1" hidden="1">
      <c r="A2741" s="23" t="s">
        <v>5465</v>
      </c>
      <c r="B2741" s="23" t="s">
        <v>5466</v>
      </c>
      <c r="C2741" s="23">
        <v>2713</v>
      </c>
      <c r="G2741"/>
      <c r="I2741" s="14" t="str">
        <f>+IFERROR(VLOOKUP(C2741,'Mov 2023 hasta ahora '!$C$2:$D$314,2,FALSE),"NO")</f>
        <v>NO</v>
      </c>
      <c r="K2741">
        <v>6</v>
      </c>
      <c r="L2741" t="s">
        <v>836</v>
      </c>
      <c r="M2741">
        <v>24</v>
      </c>
      <c r="O2741" s="29" t="s">
        <v>9010</v>
      </c>
      <c r="P2741" s="25" t="s">
        <v>9006</v>
      </c>
      <c r="Q2741" s="25">
        <v>1042</v>
      </c>
      <c r="R2741" t="s">
        <v>436</v>
      </c>
    </row>
    <row r="2742" spans="1:18" s="13" customFormat="1" hidden="1">
      <c r="A2742" s="23" t="s">
        <v>5467</v>
      </c>
      <c r="B2742" s="23" t="s">
        <v>5468</v>
      </c>
      <c r="C2742" s="23">
        <v>2714</v>
      </c>
      <c r="G2742"/>
      <c r="I2742" s="14" t="str">
        <f>+IFERROR(VLOOKUP(C2742,'Mov 2023 hasta ahora '!$C$2:$D$314,2,FALSE),"NO")</f>
        <v>NO</v>
      </c>
      <c r="K2742">
        <v>6</v>
      </c>
      <c r="L2742" t="s">
        <v>836</v>
      </c>
      <c r="M2742">
        <v>24</v>
      </c>
      <c r="O2742" s="29" t="s">
        <v>9011</v>
      </c>
      <c r="P2742" s="25" t="s">
        <v>9007</v>
      </c>
      <c r="Q2742" s="25">
        <v>2243</v>
      </c>
      <c r="R2742" t="s">
        <v>436</v>
      </c>
    </row>
    <row r="2743" spans="1:18" s="13" customFormat="1" hidden="1">
      <c r="A2743" s="23" t="s">
        <v>5469</v>
      </c>
      <c r="B2743" s="23" t="s">
        <v>5470</v>
      </c>
      <c r="C2743" s="23">
        <v>2715</v>
      </c>
      <c r="G2743"/>
      <c r="I2743" s="14" t="str">
        <f>+IFERROR(VLOOKUP(C2743,'Mov 2023 hasta ahora '!$C$2:$D$314,2,FALSE),"NO")</f>
        <v>NO</v>
      </c>
      <c r="K2743">
        <v>6</v>
      </c>
      <c r="L2743" t="s">
        <v>836</v>
      </c>
      <c r="M2743">
        <v>24</v>
      </c>
      <c r="O2743" s="29" t="s">
        <v>9012</v>
      </c>
      <c r="P2743" s="25" t="s">
        <v>9008</v>
      </c>
      <c r="Q2743" s="25">
        <v>2244</v>
      </c>
      <c r="R2743" t="s">
        <v>436</v>
      </c>
    </row>
    <row r="2744" spans="1:18" hidden="1">
      <c r="A2744" t="s">
        <v>5471</v>
      </c>
      <c r="B2744" t="s">
        <v>5472</v>
      </c>
      <c r="I2744" s="3" t="str">
        <f>+IFERROR(VLOOKUP(C2744,'Mov 2023 hasta ahora '!$C$2:$D$314,2,FALSE),"NO")</f>
        <v>NO</v>
      </c>
      <c r="K2744">
        <v>4</v>
      </c>
      <c r="L2744" t="s">
        <v>836</v>
      </c>
      <c r="M2744">
        <v>14</v>
      </c>
    </row>
    <row r="2745" spans="1:18" hidden="1">
      <c r="A2745" t="s">
        <v>5473</v>
      </c>
      <c r="B2745" t="s">
        <v>5474</v>
      </c>
      <c r="I2745" s="3" t="str">
        <f>+IFERROR(VLOOKUP(C2745,'Mov 2023 hasta ahora '!$C$2:$D$314,2,FALSE),"NO")</f>
        <v>NO</v>
      </c>
      <c r="K2745">
        <v>5</v>
      </c>
      <c r="L2745" t="s">
        <v>836</v>
      </c>
      <c r="M2745">
        <v>18</v>
      </c>
    </row>
    <row r="2746" spans="1:18" hidden="1">
      <c r="A2746" s="23" t="s">
        <v>5475</v>
      </c>
      <c r="B2746" s="23" t="s">
        <v>5476</v>
      </c>
      <c r="C2746" s="23">
        <v>2716</v>
      </c>
      <c r="I2746" s="3" t="str">
        <f>+IFERROR(VLOOKUP(C2746,'Mov 2023 hasta ahora '!$C$2:$D$314,2,FALSE),"NO")</f>
        <v>NO</v>
      </c>
      <c r="K2746">
        <v>6</v>
      </c>
      <c r="L2746" t="s">
        <v>836</v>
      </c>
      <c r="M2746">
        <v>24</v>
      </c>
      <c r="O2746" s="29" t="s">
        <v>8861</v>
      </c>
      <c r="P2746" s="25" t="s">
        <v>8868</v>
      </c>
      <c r="Q2746" s="25">
        <v>1419</v>
      </c>
      <c r="R2746" t="s">
        <v>436</v>
      </c>
    </row>
    <row r="2747" spans="1:18" hidden="1">
      <c r="A2747" t="s">
        <v>5477</v>
      </c>
      <c r="B2747" t="s">
        <v>5478</v>
      </c>
      <c r="I2747" s="3" t="str">
        <f>+IFERROR(VLOOKUP(C2747,'Mov 2023 hasta ahora '!$C$2:$D$314,2,FALSE),"NO")</f>
        <v>NO</v>
      </c>
      <c r="K2747">
        <v>5</v>
      </c>
      <c r="L2747" t="s">
        <v>836</v>
      </c>
      <c r="M2747">
        <v>18</v>
      </c>
    </row>
    <row r="2748" spans="1:18" hidden="1">
      <c r="A2748" s="23" t="s">
        <v>5479</v>
      </c>
      <c r="B2748" s="23" t="s">
        <v>5480</v>
      </c>
      <c r="C2748" s="23">
        <v>2717</v>
      </c>
      <c r="I2748" s="3" t="str">
        <f>+IFERROR(VLOOKUP(C2748,'Mov 2023 hasta ahora '!$C$2:$D$314,2,FALSE),"NO")</f>
        <v>NO</v>
      </c>
      <c r="K2748">
        <v>6</v>
      </c>
      <c r="L2748" t="s">
        <v>836</v>
      </c>
      <c r="M2748">
        <v>24</v>
      </c>
      <c r="O2748" s="29" t="s">
        <v>9049</v>
      </c>
      <c r="P2748" s="25" t="s">
        <v>9050</v>
      </c>
      <c r="Q2748" s="25">
        <v>1363</v>
      </c>
      <c r="R2748" t="s">
        <v>436</v>
      </c>
    </row>
    <row r="2749" spans="1:18" hidden="1">
      <c r="A2749" s="23" t="s">
        <v>5481</v>
      </c>
      <c r="B2749" s="23" t="s">
        <v>5482</v>
      </c>
      <c r="C2749" s="23">
        <v>2718</v>
      </c>
      <c r="I2749" s="3" t="str">
        <f>+IFERROR(VLOOKUP(C2749,'Mov 2023 hasta ahora '!$C$2:$D$314,2,FALSE),"NO")</f>
        <v>NO</v>
      </c>
      <c r="K2749">
        <v>6</v>
      </c>
      <c r="L2749" t="s">
        <v>836</v>
      </c>
      <c r="M2749">
        <v>24</v>
      </c>
      <c r="O2749" s="29" t="s">
        <v>9014</v>
      </c>
      <c r="P2749" s="25" t="s">
        <v>8890</v>
      </c>
      <c r="Q2749" s="25">
        <v>1244</v>
      </c>
      <c r="R2749" t="s">
        <v>436</v>
      </c>
    </row>
    <row r="2750" spans="1:18" hidden="1">
      <c r="A2750" s="23" t="s">
        <v>5483</v>
      </c>
      <c r="B2750" s="23" t="s">
        <v>5484</v>
      </c>
      <c r="C2750" s="23">
        <v>2719</v>
      </c>
      <c r="I2750" s="3" t="str">
        <f>+IFERROR(VLOOKUP(C2750,'Mov 2023 hasta ahora '!$C$2:$D$314,2,FALSE),"NO")</f>
        <v>NO</v>
      </c>
      <c r="K2750">
        <v>6</v>
      </c>
      <c r="L2750" t="s">
        <v>836</v>
      </c>
      <c r="M2750">
        <v>24</v>
      </c>
      <c r="O2750" s="29" t="s">
        <v>9030</v>
      </c>
      <c r="P2750" s="25" t="s">
        <v>9029</v>
      </c>
      <c r="Q2750" s="25">
        <v>3817</v>
      </c>
      <c r="R2750" t="s">
        <v>436</v>
      </c>
    </row>
    <row r="2751" spans="1:18" s="13" customFormat="1" hidden="1">
      <c r="A2751" s="23" t="s">
        <v>5485</v>
      </c>
      <c r="B2751" s="23" t="s">
        <v>5486</v>
      </c>
      <c r="C2751" s="23">
        <v>2720</v>
      </c>
      <c r="G2751"/>
      <c r="I2751" s="14" t="str">
        <f>+IFERROR(VLOOKUP(C2751,'Mov 2023 hasta ahora '!$C$2:$D$314,2,FALSE),"NO")</f>
        <v>NO</v>
      </c>
      <c r="K2751">
        <v>6</v>
      </c>
      <c r="L2751" t="s">
        <v>836</v>
      </c>
      <c r="M2751">
        <v>24</v>
      </c>
      <c r="O2751" s="29" t="s">
        <v>8825</v>
      </c>
      <c r="P2751" s="25" t="s">
        <v>8832</v>
      </c>
      <c r="Q2751" s="25">
        <v>3601</v>
      </c>
      <c r="R2751" t="s">
        <v>436</v>
      </c>
    </row>
    <row r="2752" spans="1:18" s="13" customFormat="1" hidden="1">
      <c r="A2752" s="23" t="s">
        <v>5487</v>
      </c>
      <c r="B2752" s="23" t="s">
        <v>5488</v>
      </c>
      <c r="C2752" s="23">
        <v>2721</v>
      </c>
      <c r="G2752"/>
      <c r="I2752" s="14" t="str">
        <f>+IFERROR(VLOOKUP(C2752,'Mov 2023 hasta ahora '!$C$2:$D$314,2,FALSE),"NO")</f>
        <v>NO</v>
      </c>
      <c r="K2752">
        <v>6</v>
      </c>
      <c r="L2752" t="s">
        <v>836</v>
      </c>
      <c r="M2752">
        <v>24</v>
      </c>
      <c r="O2752" s="29" t="s">
        <v>8992</v>
      </c>
      <c r="P2752" s="25" t="s">
        <v>8836</v>
      </c>
      <c r="Q2752" s="25">
        <v>3603</v>
      </c>
      <c r="R2752" t="s">
        <v>436</v>
      </c>
    </row>
    <row r="2753" spans="1:18" hidden="1">
      <c r="A2753" t="s">
        <v>5489</v>
      </c>
      <c r="B2753" t="s">
        <v>1517</v>
      </c>
      <c r="I2753" s="3" t="str">
        <f>+IFERROR(VLOOKUP(C2753,'Mov 2023 hasta ahora '!$C$2:$D$314,2,FALSE),"NO")</f>
        <v>NO</v>
      </c>
      <c r="K2753">
        <v>3</v>
      </c>
      <c r="L2753" t="s">
        <v>836</v>
      </c>
      <c r="M2753">
        <v>10</v>
      </c>
    </row>
    <row r="2754" spans="1:18" hidden="1">
      <c r="A2754" t="s">
        <v>5490</v>
      </c>
      <c r="B2754" t="s">
        <v>5491</v>
      </c>
      <c r="I2754" s="3" t="str">
        <f>+IFERROR(VLOOKUP(C2754,'Mov 2023 hasta ahora '!$C$2:$D$314,2,FALSE),"NO")</f>
        <v>NO</v>
      </c>
      <c r="K2754">
        <v>4</v>
      </c>
      <c r="L2754" t="s">
        <v>836</v>
      </c>
      <c r="M2754">
        <v>14</v>
      </c>
    </row>
    <row r="2755" spans="1:18" hidden="1">
      <c r="A2755" t="s">
        <v>5492</v>
      </c>
      <c r="B2755" t="s">
        <v>5493</v>
      </c>
      <c r="I2755" s="3" t="str">
        <f>+IFERROR(VLOOKUP(C2755,'Mov 2023 hasta ahora '!$C$2:$D$314,2,FALSE),"NO")</f>
        <v>NO</v>
      </c>
      <c r="K2755">
        <v>5</v>
      </c>
      <c r="L2755" t="s">
        <v>836</v>
      </c>
      <c r="M2755">
        <v>18</v>
      </c>
    </row>
    <row r="2756" spans="1:18" hidden="1">
      <c r="A2756" s="23" t="s">
        <v>5494</v>
      </c>
      <c r="B2756" s="23" t="s">
        <v>5495</v>
      </c>
      <c r="C2756" s="23">
        <v>2754</v>
      </c>
      <c r="I2756" s="3" t="str">
        <f>+IFERROR(VLOOKUP(C2756,'Mov 2023 hasta ahora '!$C$2:$D$314,2,FALSE),"NO")</f>
        <v>NO</v>
      </c>
      <c r="K2756">
        <v>6</v>
      </c>
      <c r="L2756" t="s">
        <v>836</v>
      </c>
      <c r="M2756">
        <v>24</v>
      </c>
      <c r="O2756" s="29" t="s">
        <v>8742</v>
      </c>
      <c r="P2756" s="25" t="s">
        <v>9063</v>
      </c>
      <c r="Q2756" s="25">
        <v>176</v>
      </c>
      <c r="R2756" t="s">
        <v>436</v>
      </c>
    </row>
    <row r="2757" spans="1:18" hidden="1">
      <c r="A2757" t="s">
        <v>5496</v>
      </c>
      <c r="B2757" t="s">
        <v>5497</v>
      </c>
      <c r="I2757" s="3" t="str">
        <f>+IFERROR(VLOOKUP(C2757,'Mov 2023 hasta ahora '!$C$2:$D$314,2,FALSE),"NO")</f>
        <v>NO</v>
      </c>
      <c r="K2757">
        <v>4</v>
      </c>
      <c r="L2757" t="s">
        <v>836</v>
      </c>
      <c r="M2757">
        <v>14</v>
      </c>
    </row>
    <row r="2758" spans="1:18" hidden="1">
      <c r="A2758" t="s">
        <v>5498</v>
      </c>
      <c r="B2758" t="s">
        <v>5499</v>
      </c>
      <c r="I2758" s="3" t="str">
        <f>+IFERROR(VLOOKUP(C2758,'Mov 2023 hasta ahora '!$C$2:$D$314,2,FALSE),"NO")</f>
        <v>NO</v>
      </c>
      <c r="K2758">
        <v>5</v>
      </c>
      <c r="L2758" t="s">
        <v>836</v>
      </c>
      <c r="M2758">
        <v>18</v>
      </c>
    </row>
    <row r="2759" spans="1:18" s="13" customFormat="1" hidden="1">
      <c r="A2759" s="23" t="s">
        <v>5500</v>
      </c>
      <c r="B2759" s="23" t="s">
        <v>5501</v>
      </c>
      <c r="C2759" s="23">
        <v>2722</v>
      </c>
      <c r="G2759"/>
      <c r="I2759" s="14" t="str">
        <f>+IFERROR(VLOOKUP(C2759,'Mov 2023 hasta ahora '!$C$2:$D$314,2,FALSE),"NO")</f>
        <v>NO</v>
      </c>
      <c r="K2759">
        <v>6</v>
      </c>
      <c r="L2759" t="s">
        <v>836</v>
      </c>
      <c r="M2759">
        <v>24</v>
      </c>
      <c r="O2759" s="29" t="s">
        <v>8857</v>
      </c>
      <c r="P2759" s="25" t="s">
        <v>8980</v>
      </c>
      <c r="Q2759" s="25">
        <v>2178</v>
      </c>
      <c r="R2759" t="s">
        <v>436</v>
      </c>
    </row>
    <row r="2760" spans="1:18" s="13" customFormat="1" hidden="1">
      <c r="A2760" s="23" t="s">
        <v>5502</v>
      </c>
      <c r="B2760" s="23" t="s">
        <v>5503</v>
      </c>
      <c r="C2760" s="23">
        <v>2723</v>
      </c>
      <c r="G2760"/>
      <c r="I2760" s="14" t="str">
        <f>+IFERROR(VLOOKUP(C2760,'Mov 2023 hasta ahora '!$C$2:$D$314,2,FALSE),"NO")</f>
        <v>NO</v>
      </c>
      <c r="K2760">
        <v>6</v>
      </c>
      <c r="L2760" t="s">
        <v>836</v>
      </c>
      <c r="M2760">
        <v>24</v>
      </c>
      <c r="O2760" s="29" t="s">
        <v>8846</v>
      </c>
      <c r="P2760" s="25" t="s">
        <v>8981</v>
      </c>
      <c r="Q2760" s="25">
        <v>2179</v>
      </c>
      <c r="R2760" t="s">
        <v>436</v>
      </c>
    </row>
    <row r="2761" spans="1:18" s="13" customFormat="1" hidden="1">
      <c r="A2761" s="23" t="s">
        <v>5504</v>
      </c>
      <c r="B2761" s="23" t="s">
        <v>5505</v>
      </c>
      <c r="C2761" s="23">
        <v>2724</v>
      </c>
      <c r="G2761"/>
      <c r="I2761" s="14" t="str">
        <f>+IFERROR(VLOOKUP(C2761,'Mov 2023 hasta ahora '!$C$2:$D$314,2,FALSE),"NO")</f>
        <v>NO</v>
      </c>
      <c r="K2761">
        <v>6</v>
      </c>
      <c r="L2761" t="s">
        <v>836</v>
      </c>
      <c r="M2761">
        <v>24</v>
      </c>
      <c r="O2761" s="29" t="s">
        <v>8746</v>
      </c>
      <c r="P2761" s="25" t="s">
        <v>9054</v>
      </c>
      <c r="Q2761" s="25">
        <v>185</v>
      </c>
      <c r="R2761" t="s">
        <v>436</v>
      </c>
    </row>
    <row r="2762" spans="1:18" s="13" customFormat="1" hidden="1">
      <c r="A2762" s="23" t="s">
        <v>5506</v>
      </c>
      <c r="B2762" s="23" t="s">
        <v>5507</v>
      </c>
      <c r="C2762" s="23">
        <v>2725</v>
      </c>
      <c r="G2762"/>
      <c r="I2762" s="14" t="str">
        <f>+IFERROR(VLOOKUP(C2762,'Mov 2023 hasta ahora '!$C$2:$D$314,2,FALSE),"NO")</f>
        <v>NO</v>
      </c>
      <c r="K2762">
        <v>6</v>
      </c>
      <c r="L2762" t="s">
        <v>836</v>
      </c>
      <c r="M2762">
        <v>24</v>
      </c>
      <c r="O2762" s="29" t="s">
        <v>9013</v>
      </c>
      <c r="P2762" s="25" t="s">
        <v>8756</v>
      </c>
      <c r="Q2762" s="25">
        <v>212</v>
      </c>
      <c r="R2762" t="s">
        <v>436</v>
      </c>
    </row>
    <row r="2763" spans="1:18" s="13" customFormat="1" hidden="1">
      <c r="A2763" s="23" t="s">
        <v>5508</v>
      </c>
      <c r="B2763" s="23" t="s">
        <v>5509</v>
      </c>
      <c r="C2763" s="23">
        <v>2726</v>
      </c>
      <c r="G2763"/>
      <c r="I2763" s="14" t="str">
        <f>+IFERROR(VLOOKUP(C2763,'Mov 2023 hasta ahora '!$C$2:$D$314,2,FALSE),"NO")</f>
        <v>NO</v>
      </c>
      <c r="K2763">
        <v>6</v>
      </c>
      <c r="L2763" t="s">
        <v>836</v>
      </c>
      <c r="M2763">
        <v>24</v>
      </c>
      <c r="O2763" s="29" t="s">
        <v>8794</v>
      </c>
      <c r="P2763" s="25" t="s">
        <v>8982</v>
      </c>
      <c r="Q2763" s="25">
        <v>1441</v>
      </c>
      <c r="R2763" t="s">
        <v>436</v>
      </c>
    </row>
    <row r="2764" spans="1:18" s="13" customFormat="1" hidden="1">
      <c r="A2764" s="23" t="s">
        <v>5510</v>
      </c>
      <c r="B2764" s="23" t="s">
        <v>5511</v>
      </c>
      <c r="C2764" s="23">
        <v>2727</v>
      </c>
      <c r="G2764"/>
      <c r="I2764" s="14" t="str">
        <f>+IFERROR(VLOOKUP(C2764,'Mov 2023 hasta ahora '!$C$2:$D$314,2,FALSE),"NO")</f>
        <v>NO</v>
      </c>
      <c r="K2764">
        <v>6</v>
      </c>
      <c r="L2764" t="s">
        <v>836</v>
      </c>
      <c r="M2764">
        <v>24</v>
      </c>
      <c r="O2764" s="29" t="s">
        <v>8809</v>
      </c>
      <c r="P2764" s="25" t="s">
        <v>8983</v>
      </c>
      <c r="Q2764" s="25">
        <v>1448</v>
      </c>
      <c r="R2764" t="s">
        <v>436</v>
      </c>
    </row>
    <row r="2765" spans="1:18" hidden="1">
      <c r="A2765" t="s">
        <v>5512</v>
      </c>
      <c r="B2765" t="s">
        <v>5513</v>
      </c>
      <c r="I2765" s="3" t="str">
        <f>+IFERROR(VLOOKUP(C2765,'Mov 2023 hasta ahora '!$C$2:$D$314,2,FALSE),"NO")</f>
        <v>NO</v>
      </c>
      <c r="K2765">
        <v>4</v>
      </c>
      <c r="L2765" t="s">
        <v>836</v>
      </c>
      <c r="M2765">
        <v>14</v>
      </c>
    </row>
    <row r="2766" spans="1:18" hidden="1">
      <c r="A2766" t="s">
        <v>5514</v>
      </c>
      <c r="B2766" t="s">
        <v>5515</v>
      </c>
      <c r="I2766" s="3" t="str">
        <f>+IFERROR(VLOOKUP(C2766,'Mov 2023 hasta ahora '!$C$2:$D$314,2,FALSE),"NO")</f>
        <v>NO</v>
      </c>
      <c r="K2766">
        <v>5</v>
      </c>
      <c r="L2766" t="s">
        <v>836</v>
      </c>
      <c r="M2766">
        <v>18</v>
      </c>
    </row>
    <row r="2767" spans="1:18" s="13" customFormat="1" hidden="1">
      <c r="A2767" s="23" t="s">
        <v>5516</v>
      </c>
      <c r="B2767" s="23" t="s">
        <v>5517</v>
      </c>
      <c r="C2767" s="23">
        <v>2728</v>
      </c>
      <c r="G2767"/>
      <c r="I2767" s="14" t="str">
        <f>+IFERROR(VLOOKUP(C2767,'Mov 2023 hasta ahora '!$C$2:$D$314,2,FALSE),"NO")</f>
        <v>NO</v>
      </c>
      <c r="K2767">
        <v>6</v>
      </c>
      <c r="L2767" t="s">
        <v>836</v>
      </c>
      <c r="M2767">
        <v>24</v>
      </c>
      <c r="O2767" s="29" t="s">
        <v>8867</v>
      </c>
      <c r="P2767" s="25" t="s">
        <v>8987</v>
      </c>
      <c r="Q2767" s="25">
        <v>456</v>
      </c>
      <c r="R2767" t="s">
        <v>436</v>
      </c>
    </row>
    <row r="2768" spans="1:18" s="13" customFormat="1" hidden="1">
      <c r="A2768" s="23" t="s">
        <v>5518</v>
      </c>
      <c r="B2768" s="23" t="s">
        <v>5519</v>
      </c>
      <c r="C2768" s="23">
        <v>2729</v>
      </c>
      <c r="G2768"/>
      <c r="I2768" s="14" t="str">
        <f>+IFERROR(VLOOKUP(C2768,'Mov 2023 hasta ahora '!$C$2:$D$314,2,FALSE),"NO")</f>
        <v>NO</v>
      </c>
      <c r="K2768">
        <v>6</v>
      </c>
      <c r="L2768" t="s">
        <v>836</v>
      </c>
      <c r="M2768">
        <v>24</v>
      </c>
      <c r="O2768" s="29" t="s">
        <v>8853</v>
      </c>
      <c r="P2768" s="25" t="s">
        <v>8986</v>
      </c>
      <c r="Q2768" s="25">
        <v>366</v>
      </c>
      <c r="R2768" t="s">
        <v>436</v>
      </c>
    </row>
    <row r="2769" spans="1:18" hidden="1">
      <c r="A2769" s="23" t="s">
        <v>5520</v>
      </c>
      <c r="B2769" s="23" t="s">
        <v>5521</v>
      </c>
      <c r="C2769" s="23">
        <v>2730</v>
      </c>
      <c r="I2769" s="3" t="str">
        <f>+IFERROR(VLOOKUP(C2769,'Mov 2023 hasta ahora '!$C$2:$D$314,2,FALSE),"NO")</f>
        <v>NO</v>
      </c>
      <c r="K2769">
        <v>6</v>
      </c>
      <c r="L2769" t="s">
        <v>836</v>
      </c>
      <c r="M2769">
        <v>24</v>
      </c>
      <c r="O2769" s="29" t="s">
        <v>8746</v>
      </c>
      <c r="P2769" s="25" t="s">
        <v>9054</v>
      </c>
      <c r="Q2769" s="25">
        <v>185</v>
      </c>
      <c r="R2769" t="s">
        <v>436</v>
      </c>
    </row>
    <row r="2770" spans="1:18" hidden="1">
      <c r="A2770" s="23" t="s">
        <v>5522</v>
      </c>
      <c r="B2770" s="23" t="s">
        <v>5523</v>
      </c>
      <c r="C2770" s="23">
        <v>2731</v>
      </c>
      <c r="I2770" s="3" t="str">
        <f>+IFERROR(VLOOKUP(C2770,'Mov 2023 hasta ahora '!$C$2:$D$314,2,FALSE),"NO")</f>
        <v>NO</v>
      </c>
      <c r="K2770">
        <v>6</v>
      </c>
      <c r="L2770" t="s">
        <v>836</v>
      </c>
      <c r="M2770">
        <v>24</v>
      </c>
      <c r="O2770" s="29" t="s">
        <v>9013</v>
      </c>
      <c r="P2770" s="25" t="s">
        <v>8756</v>
      </c>
      <c r="Q2770" s="25">
        <v>212</v>
      </c>
      <c r="R2770" t="s">
        <v>436</v>
      </c>
    </row>
    <row r="2771" spans="1:18" s="13" customFormat="1" hidden="1">
      <c r="A2771" s="23" t="s">
        <v>5524</v>
      </c>
      <c r="B2771" s="23" t="s">
        <v>5525</v>
      </c>
      <c r="C2771" s="23">
        <v>2732</v>
      </c>
      <c r="G2771"/>
      <c r="I2771" s="14" t="str">
        <f>+IFERROR(VLOOKUP(C2771,'Mov 2023 hasta ahora '!$C$2:$D$314,2,FALSE),"NO")</f>
        <v>NO</v>
      </c>
      <c r="K2771">
        <v>6</v>
      </c>
      <c r="L2771" t="s">
        <v>836</v>
      </c>
      <c r="M2771">
        <v>24</v>
      </c>
      <c r="O2771" s="29" t="s">
        <v>8800</v>
      </c>
      <c r="P2771" s="25" t="s">
        <v>8988</v>
      </c>
      <c r="Q2771" s="25">
        <v>1457</v>
      </c>
      <c r="R2771" t="s">
        <v>436</v>
      </c>
    </row>
    <row r="2772" spans="1:18" s="13" customFormat="1" hidden="1">
      <c r="A2772" s="23" t="s">
        <v>5526</v>
      </c>
      <c r="B2772" s="23" t="s">
        <v>5527</v>
      </c>
      <c r="C2772" s="23">
        <v>2733</v>
      </c>
      <c r="G2772"/>
      <c r="I2772" s="14" t="str">
        <f>+IFERROR(VLOOKUP(C2772,'Mov 2023 hasta ahora '!$C$2:$D$314,2,FALSE),"NO")</f>
        <v>NO</v>
      </c>
      <c r="K2772">
        <v>6</v>
      </c>
      <c r="L2772" t="s">
        <v>836</v>
      </c>
      <c r="M2772">
        <v>24</v>
      </c>
      <c r="O2772" s="29" t="s">
        <v>8810</v>
      </c>
      <c r="P2772" s="25" t="s">
        <v>8989</v>
      </c>
      <c r="Q2772" s="25">
        <v>1465</v>
      </c>
      <c r="R2772" t="s">
        <v>436</v>
      </c>
    </row>
    <row r="2773" spans="1:18" hidden="1">
      <c r="A2773" t="s">
        <v>5528</v>
      </c>
      <c r="B2773" t="s">
        <v>5529</v>
      </c>
      <c r="I2773" s="3" t="str">
        <f>+IFERROR(VLOOKUP(C2773,'Mov 2023 hasta ahora '!$C$2:$D$314,2,FALSE),"NO")</f>
        <v>NO</v>
      </c>
      <c r="K2773">
        <v>4</v>
      </c>
      <c r="L2773" t="s">
        <v>836</v>
      </c>
      <c r="M2773">
        <v>14</v>
      </c>
    </row>
    <row r="2774" spans="1:18" hidden="1">
      <c r="A2774" t="s">
        <v>5530</v>
      </c>
      <c r="B2774" t="s">
        <v>5531</v>
      </c>
      <c r="I2774" s="3" t="str">
        <f>+IFERROR(VLOOKUP(C2774,'Mov 2023 hasta ahora '!$C$2:$D$314,2,FALSE),"NO")</f>
        <v>NO</v>
      </c>
      <c r="K2774">
        <v>5</v>
      </c>
      <c r="L2774" t="s">
        <v>836</v>
      </c>
      <c r="M2774">
        <v>18</v>
      </c>
    </row>
    <row r="2775" spans="1:18" s="13" customFormat="1" hidden="1">
      <c r="A2775" s="23" t="s">
        <v>5532</v>
      </c>
      <c r="B2775" s="23" t="s">
        <v>5533</v>
      </c>
      <c r="C2775" s="23">
        <v>2971</v>
      </c>
      <c r="G2775"/>
      <c r="I2775" s="14" t="str">
        <f>+IFERROR(VLOOKUP(C2775,'Mov 2023 hasta ahora '!$C$2:$D$314,2,FALSE),"NO")</f>
        <v>NO</v>
      </c>
      <c r="K2775">
        <v>6</v>
      </c>
      <c r="L2775" t="s">
        <v>836</v>
      </c>
      <c r="M2775">
        <v>24</v>
      </c>
      <c r="O2775" s="29" t="s">
        <v>8767</v>
      </c>
      <c r="P2775" s="25" t="s">
        <v>8993</v>
      </c>
      <c r="Q2775" s="25">
        <v>645</v>
      </c>
      <c r="R2775" t="s">
        <v>436</v>
      </c>
    </row>
    <row r="2776" spans="1:18" hidden="1">
      <c r="A2776" t="s">
        <v>5534</v>
      </c>
      <c r="B2776" t="s">
        <v>5535</v>
      </c>
      <c r="I2776" s="3" t="str">
        <f>+IFERROR(VLOOKUP(C2776,'Mov 2023 hasta ahora '!$C$2:$D$314,2,FALSE),"NO")</f>
        <v>NO</v>
      </c>
      <c r="K2776">
        <v>5</v>
      </c>
      <c r="L2776" t="s">
        <v>836</v>
      </c>
      <c r="M2776">
        <v>18</v>
      </c>
    </row>
    <row r="2777" spans="1:18" s="13" customFormat="1" hidden="1">
      <c r="A2777" s="23" t="s">
        <v>5536</v>
      </c>
      <c r="B2777" s="23" t="s">
        <v>5537</v>
      </c>
      <c r="C2777" s="23">
        <v>2763</v>
      </c>
      <c r="G2777"/>
      <c r="I2777" s="14" t="str">
        <f>+IFERROR(VLOOKUP(C2777,'Mov 2023 hasta ahora '!$C$2:$D$314,2,FALSE),"NO")</f>
        <v>NO</v>
      </c>
      <c r="K2777">
        <v>6</v>
      </c>
      <c r="L2777" t="s">
        <v>836</v>
      </c>
      <c r="M2777">
        <v>24</v>
      </c>
      <c r="O2777" s="29" t="s">
        <v>8767</v>
      </c>
      <c r="P2777" s="25" t="s">
        <v>8993</v>
      </c>
      <c r="Q2777" s="25">
        <v>645</v>
      </c>
      <c r="R2777" t="s">
        <v>436</v>
      </c>
    </row>
    <row r="2778" spans="1:18" hidden="1">
      <c r="A2778" t="s">
        <v>5538</v>
      </c>
      <c r="B2778" t="s">
        <v>5539</v>
      </c>
      <c r="I2778" s="3" t="str">
        <f>+IFERROR(VLOOKUP(C2778,'Mov 2023 hasta ahora '!$C$2:$D$314,2,FALSE),"NO")</f>
        <v>NO</v>
      </c>
      <c r="K2778">
        <v>4</v>
      </c>
      <c r="L2778" t="s">
        <v>836</v>
      </c>
      <c r="M2778">
        <v>14</v>
      </c>
    </row>
    <row r="2779" spans="1:18" hidden="1">
      <c r="A2779" t="s">
        <v>5540</v>
      </c>
      <c r="B2779" t="s">
        <v>5541</v>
      </c>
      <c r="I2779" s="3" t="str">
        <f>+IFERROR(VLOOKUP(C2779,'Mov 2023 hasta ahora '!$C$2:$D$314,2,FALSE),"NO")</f>
        <v>NO</v>
      </c>
      <c r="K2779">
        <v>5</v>
      </c>
      <c r="L2779" t="s">
        <v>836</v>
      </c>
      <c r="M2779">
        <v>18</v>
      </c>
    </row>
    <row r="2780" spans="1:18" s="13" customFormat="1" hidden="1">
      <c r="A2780" s="23" t="s">
        <v>5542</v>
      </c>
      <c r="B2780" s="23" t="s">
        <v>5543</v>
      </c>
      <c r="C2780" s="23">
        <v>2734</v>
      </c>
      <c r="G2780"/>
      <c r="I2780" s="14" t="str">
        <f>+IFERROR(VLOOKUP(C2780,'Mov 2023 hasta ahora '!$C$2:$D$314,2,FALSE),"NO")</f>
        <v>NO</v>
      </c>
      <c r="K2780">
        <v>6</v>
      </c>
      <c r="L2780" t="s">
        <v>836</v>
      </c>
      <c r="M2780">
        <v>24</v>
      </c>
      <c r="O2780" s="29" t="s">
        <v>8858</v>
      </c>
      <c r="P2780" s="25" t="s">
        <v>8862</v>
      </c>
      <c r="Q2780" s="25">
        <v>834</v>
      </c>
      <c r="R2780" t="s">
        <v>436</v>
      </c>
    </row>
    <row r="2781" spans="1:18" s="13" customFormat="1" hidden="1">
      <c r="A2781" s="23" t="s">
        <v>5544</v>
      </c>
      <c r="B2781" s="23" t="s">
        <v>5545</v>
      </c>
      <c r="C2781" s="23">
        <v>2756</v>
      </c>
      <c r="G2781"/>
      <c r="I2781" s="14" t="str">
        <f>+IFERROR(VLOOKUP(C2781,'Mov 2023 hasta ahora '!$C$2:$D$314,2,FALSE),"NO")</f>
        <v>NO</v>
      </c>
      <c r="K2781">
        <v>6</v>
      </c>
      <c r="L2781" t="s">
        <v>836</v>
      </c>
      <c r="M2781">
        <v>24</v>
      </c>
      <c r="O2781" s="29" t="s">
        <v>8847</v>
      </c>
      <c r="P2781" s="25" t="s">
        <v>8851</v>
      </c>
      <c r="Q2781" s="25">
        <v>852</v>
      </c>
      <c r="R2781" t="s">
        <v>436</v>
      </c>
    </row>
    <row r="2782" spans="1:18" s="13" customFormat="1" hidden="1">
      <c r="A2782" s="23" t="s">
        <v>5546</v>
      </c>
      <c r="B2782" s="23" t="s">
        <v>5547</v>
      </c>
      <c r="C2782" s="23">
        <v>2757</v>
      </c>
      <c r="G2782"/>
      <c r="I2782" s="14" t="str">
        <f>+IFERROR(VLOOKUP(C2782,'Mov 2023 hasta ahora '!$C$2:$D$314,2,FALSE),"NO")</f>
        <v>NO</v>
      </c>
      <c r="K2782">
        <v>6</v>
      </c>
      <c r="L2782" t="s">
        <v>836</v>
      </c>
      <c r="M2782">
        <v>24</v>
      </c>
      <c r="O2782" s="29" t="s">
        <v>8795</v>
      </c>
      <c r="P2782" s="25" t="s">
        <v>8798</v>
      </c>
      <c r="Q2782" s="25">
        <v>1489</v>
      </c>
      <c r="R2782" t="s">
        <v>436</v>
      </c>
    </row>
    <row r="2783" spans="1:18" s="13" customFormat="1" hidden="1">
      <c r="A2783" s="23" t="s">
        <v>5548</v>
      </c>
      <c r="B2783" s="23" t="s">
        <v>5549</v>
      </c>
      <c r="C2783" s="23">
        <v>2758</v>
      </c>
      <c r="G2783"/>
      <c r="I2783" s="14" t="str">
        <f>+IFERROR(VLOOKUP(C2783,'Mov 2023 hasta ahora '!$C$2:$D$314,2,FALSE),"NO")</f>
        <v>NO</v>
      </c>
      <c r="K2783">
        <v>6</v>
      </c>
      <c r="L2783" t="s">
        <v>836</v>
      </c>
      <c r="M2783">
        <v>24</v>
      </c>
      <c r="O2783" s="29" t="s">
        <v>8804</v>
      </c>
      <c r="P2783" s="25" t="s">
        <v>8808</v>
      </c>
      <c r="Q2783" s="25">
        <v>1497</v>
      </c>
      <c r="R2783" s="13" t="s">
        <v>436</v>
      </c>
    </row>
    <row r="2784" spans="1:18" hidden="1">
      <c r="A2784" t="s">
        <v>5550</v>
      </c>
      <c r="B2784" t="s">
        <v>5551</v>
      </c>
      <c r="I2784" s="3" t="str">
        <f>+IFERROR(VLOOKUP(C2784,'Mov 2023 hasta ahora '!$C$2:$D$314,2,FALSE),"NO")</f>
        <v>NO</v>
      </c>
      <c r="K2784">
        <v>4</v>
      </c>
      <c r="L2784" t="s">
        <v>836</v>
      </c>
      <c r="M2784">
        <v>14</v>
      </c>
    </row>
    <row r="2785" spans="1:18" hidden="1">
      <c r="A2785" t="s">
        <v>5552</v>
      </c>
      <c r="B2785" t="s">
        <v>5553</v>
      </c>
      <c r="I2785" s="3" t="str">
        <f>+IFERROR(VLOOKUP(C2785,'Mov 2023 hasta ahora '!$C$2:$D$314,2,FALSE),"NO")</f>
        <v>NO</v>
      </c>
      <c r="K2785">
        <v>5</v>
      </c>
      <c r="L2785" t="s">
        <v>836</v>
      </c>
      <c r="M2785">
        <v>18</v>
      </c>
    </row>
    <row r="2786" spans="1:18" s="13" customFormat="1" hidden="1">
      <c r="A2786" s="23" t="s">
        <v>5554</v>
      </c>
      <c r="B2786" s="23" t="s">
        <v>5555</v>
      </c>
      <c r="C2786" s="23">
        <v>2735</v>
      </c>
      <c r="G2786"/>
      <c r="I2786" s="14" t="str">
        <f>+IFERROR(VLOOKUP(C2786,'Mov 2023 hasta ahora '!$C$2:$D$314,2,FALSE),"NO")</f>
        <v>NO</v>
      </c>
      <c r="K2786">
        <v>6</v>
      </c>
      <c r="L2786" t="s">
        <v>836</v>
      </c>
      <c r="M2786">
        <v>24</v>
      </c>
      <c r="O2786" s="29" t="s">
        <v>9009</v>
      </c>
      <c r="P2786" s="25" t="s">
        <v>9005</v>
      </c>
      <c r="Q2786" s="25">
        <v>1024</v>
      </c>
      <c r="R2786" t="s">
        <v>436</v>
      </c>
    </row>
    <row r="2787" spans="1:18" s="13" customFormat="1" hidden="1">
      <c r="A2787" s="23" t="s">
        <v>5556</v>
      </c>
      <c r="B2787" s="23" t="s">
        <v>5557</v>
      </c>
      <c r="C2787" s="23">
        <v>2736</v>
      </c>
      <c r="G2787"/>
      <c r="I2787" s="14" t="str">
        <f>+IFERROR(VLOOKUP(C2787,'Mov 2023 hasta ahora '!$C$2:$D$314,2,FALSE),"NO")</f>
        <v>NO</v>
      </c>
      <c r="K2787">
        <v>6</v>
      </c>
      <c r="L2787" t="s">
        <v>836</v>
      </c>
      <c r="M2787">
        <v>24</v>
      </c>
      <c r="O2787" s="29" t="s">
        <v>9010</v>
      </c>
      <c r="P2787" s="25" t="s">
        <v>9006</v>
      </c>
      <c r="Q2787" s="25">
        <v>1042</v>
      </c>
      <c r="R2787" t="s">
        <v>436</v>
      </c>
    </row>
    <row r="2788" spans="1:18" s="13" customFormat="1" hidden="1">
      <c r="A2788" s="23" t="s">
        <v>5558</v>
      </c>
      <c r="B2788" s="23" t="s">
        <v>5559</v>
      </c>
      <c r="C2788" s="23">
        <v>2737</v>
      </c>
      <c r="G2788"/>
      <c r="I2788" s="14" t="str">
        <f>+IFERROR(VLOOKUP(C2788,'Mov 2023 hasta ahora '!$C$2:$D$314,2,FALSE),"NO")</f>
        <v>NO</v>
      </c>
      <c r="K2788">
        <v>6</v>
      </c>
      <c r="L2788" t="s">
        <v>836</v>
      </c>
      <c r="M2788">
        <v>24</v>
      </c>
      <c r="O2788" s="29" t="s">
        <v>9011</v>
      </c>
      <c r="P2788" s="25" t="s">
        <v>9007</v>
      </c>
      <c r="Q2788" s="25">
        <v>2243</v>
      </c>
      <c r="R2788" t="s">
        <v>436</v>
      </c>
    </row>
    <row r="2789" spans="1:18" s="13" customFormat="1" hidden="1">
      <c r="A2789" s="23" t="s">
        <v>5560</v>
      </c>
      <c r="B2789" s="23" t="s">
        <v>5561</v>
      </c>
      <c r="C2789" s="23">
        <v>2738</v>
      </c>
      <c r="G2789"/>
      <c r="I2789" s="14" t="str">
        <f>+IFERROR(VLOOKUP(C2789,'Mov 2023 hasta ahora '!$C$2:$D$314,2,FALSE),"NO")</f>
        <v>NO</v>
      </c>
      <c r="K2789">
        <v>6</v>
      </c>
      <c r="L2789" t="s">
        <v>836</v>
      </c>
      <c r="M2789">
        <v>24</v>
      </c>
      <c r="O2789" s="29" t="s">
        <v>9012</v>
      </c>
      <c r="P2789" s="25" t="s">
        <v>9008</v>
      </c>
      <c r="Q2789" s="25">
        <v>2244</v>
      </c>
      <c r="R2789" t="s">
        <v>436</v>
      </c>
    </row>
    <row r="2790" spans="1:18" hidden="1">
      <c r="A2790" t="s">
        <v>5562</v>
      </c>
      <c r="B2790" t="s">
        <v>5563</v>
      </c>
      <c r="I2790" s="3" t="str">
        <f>+IFERROR(VLOOKUP(C2790,'Mov 2023 hasta ahora '!$C$2:$D$314,2,FALSE),"NO")</f>
        <v>NO</v>
      </c>
      <c r="K2790">
        <v>4</v>
      </c>
      <c r="L2790" t="s">
        <v>836</v>
      </c>
      <c r="M2790">
        <v>14</v>
      </c>
    </row>
    <row r="2791" spans="1:18" hidden="1">
      <c r="A2791" t="s">
        <v>5564</v>
      </c>
      <c r="B2791" t="s">
        <v>5565</v>
      </c>
      <c r="I2791" s="3" t="str">
        <f>+IFERROR(VLOOKUP(C2791,'Mov 2023 hasta ahora '!$C$2:$D$314,2,FALSE),"NO")</f>
        <v>NO</v>
      </c>
      <c r="K2791">
        <v>5</v>
      </c>
      <c r="L2791" t="s">
        <v>836</v>
      </c>
      <c r="M2791">
        <v>18</v>
      </c>
    </row>
    <row r="2792" spans="1:18" hidden="1">
      <c r="A2792" s="23" t="s">
        <v>5566</v>
      </c>
      <c r="B2792" s="23" t="s">
        <v>5567</v>
      </c>
      <c r="C2792" s="23">
        <v>2739</v>
      </c>
      <c r="I2792" s="3" t="str">
        <f>+IFERROR(VLOOKUP(C2792,'Mov 2023 hasta ahora '!$C$2:$D$314,2,FALSE),"NO")</f>
        <v>NO</v>
      </c>
      <c r="K2792">
        <v>6</v>
      </c>
      <c r="L2792" t="s">
        <v>836</v>
      </c>
      <c r="M2792">
        <v>24</v>
      </c>
      <c r="O2792" s="29" t="s">
        <v>8861</v>
      </c>
      <c r="P2792" s="25" t="s">
        <v>8868</v>
      </c>
      <c r="Q2792" s="25">
        <v>1419</v>
      </c>
      <c r="R2792" t="s">
        <v>436</v>
      </c>
    </row>
    <row r="2793" spans="1:18" hidden="1">
      <c r="A2793" t="s">
        <v>5568</v>
      </c>
      <c r="B2793" t="s">
        <v>5569</v>
      </c>
      <c r="I2793" s="3" t="str">
        <f>+IFERROR(VLOOKUP(C2793,'Mov 2023 hasta ahora '!$C$2:$D$314,2,FALSE),"NO")</f>
        <v>NO</v>
      </c>
      <c r="K2793">
        <v>5</v>
      </c>
      <c r="L2793" t="s">
        <v>836</v>
      </c>
      <c r="M2793">
        <v>18</v>
      </c>
    </row>
    <row r="2794" spans="1:18" hidden="1">
      <c r="A2794" s="23" t="s">
        <v>5570</v>
      </c>
      <c r="B2794" s="23" t="s">
        <v>5571</v>
      </c>
      <c r="C2794" s="23">
        <v>2740</v>
      </c>
      <c r="I2794" s="3" t="str">
        <f>+IFERROR(VLOOKUP(C2794,'Mov 2023 hasta ahora '!$C$2:$D$314,2,FALSE),"NO")</f>
        <v>NO</v>
      </c>
      <c r="K2794">
        <v>6</v>
      </c>
      <c r="L2794" t="s">
        <v>836</v>
      </c>
      <c r="M2794">
        <v>24</v>
      </c>
      <c r="O2794" s="29" t="s">
        <v>9049</v>
      </c>
      <c r="P2794" s="25" t="s">
        <v>9050</v>
      </c>
      <c r="Q2794" s="25">
        <v>1363</v>
      </c>
      <c r="R2794" t="s">
        <v>436</v>
      </c>
    </row>
    <row r="2795" spans="1:18" hidden="1">
      <c r="A2795" s="23" t="s">
        <v>5572</v>
      </c>
      <c r="B2795" s="23" t="s">
        <v>5573</v>
      </c>
      <c r="C2795" s="23">
        <v>2741</v>
      </c>
      <c r="I2795" s="3" t="str">
        <f>+IFERROR(VLOOKUP(C2795,'Mov 2023 hasta ahora '!$C$2:$D$314,2,FALSE),"NO")</f>
        <v>NO</v>
      </c>
      <c r="K2795">
        <v>6</v>
      </c>
      <c r="L2795" t="s">
        <v>836</v>
      </c>
      <c r="M2795">
        <v>24</v>
      </c>
      <c r="O2795" s="29" t="s">
        <v>9014</v>
      </c>
      <c r="P2795" s="25" t="s">
        <v>8890</v>
      </c>
      <c r="Q2795" s="25">
        <v>1244</v>
      </c>
      <c r="R2795" t="s">
        <v>436</v>
      </c>
    </row>
    <row r="2796" spans="1:18" hidden="1">
      <c r="A2796" s="23" t="s">
        <v>5574</v>
      </c>
      <c r="B2796" s="23" t="s">
        <v>5575</v>
      </c>
      <c r="C2796" s="23">
        <v>2742</v>
      </c>
      <c r="I2796" s="3" t="str">
        <f>+IFERROR(VLOOKUP(C2796,'Mov 2023 hasta ahora '!$C$2:$D$314,2,FALSE),"NO")</f>
        <v>NO</v>
      </c>
      <c r="K2796">
        <v>6</v>
      </c>
      <c r="L2796" t="s">
        <v>836</v>
      </c>
      <c r="M2796">
        <v>24</v>
      </c>
      <c r="O2796" s="29" t="s">
        <v>9030</v>
      </c>
      <c r="P2796" s="25" t="s">
        <v>9029</v>
      </c>
      <c r="Q2796" s="25">
        <v>3817</v>
      </c>
      <c r="R2796" t="s">
        <v>436</v>
      </c>
    </row>
    <row r="2797" spans="1:18" s="13" customFormat="1" hidden="1">
      <c r="A2797" s="23" t="s">
        <v>5576</v>
      </c>
      <c r="B2797" s="23" t="s">
        <v>5577</v>
      </c>
      <c r="C2797" s="23">
        <v>2743</v>
      </c>
      <c r="G2797"/>
      <c r="I2797" s="14" t="str">
        <f>+IFERROR(VLOOKUP(C2797,'Mov 2023 hasta ahora '!$C$2:$D$314,2,FALSE),"NO")</f>
        <v>NO</v>
      </c>
      <c r="K2797">
        <v>6</v>
      </c>
      <c r="L2797" t="s">
        <v>836</v>
      </c>
      <c r="M2797">
        <v>24</v>
      </c>
      <c r="O2797" s="29" t="s">
        <v>8825</v>
      </c>
      <c r="P2797" s="25" t="s">
        <v>8832</v>
      </c>
      <c r="Q2797" s="25">
        <v>3601</v>
      </c>
      <c r="R2797" t="s">
        <v>436</v>
      </c>
    </row>
    <row r="2798" spans="1:18" s="13" customFormat="1" hidden="1">
      <c r="A2798" s="23" t="s">
        <v>5578</v>
      </c>
      <c r="B2798" s="23" t="s">
        <v>5579</v>
      </c>
      <c r="C2798" s="23">
        <v>2744</v>
      </c>
      <c r="G2798"/>
      <c r="I2798" s="14" t="str">
        <f>+IFERROR(VLOOKUP(C2798,'Mov 2023 hasta ahora '!$C$2:$D$314,2,FALSE),"NO")</f>
        <v>NO</v>
      </c>
      <c r="K2798">
        <v>6</v>
      </c>
      <c r="L2798" t="s">
        <v>836</v>
      </c>
      <c r="M2798">
        <v>24</v>
      </c>
      <c r="O2798" s="29" t="s">
        <v>8992</v>
      </c>
      <c r="P2798" s="25" t="s">
        <v>8836</v>
      </c>
      <c r="Q2798" s="25">
        <v>3603</v>
      </c>
      <c r="R2798" t="s">
        <v>436</v>
      </c>
    </row>
    <row r="2799" spans="1:18" hidden="1">
      <c r="A2799" t="s">
        <v>5580</v>
      </c>
      <c r="B2799" t="s">
        <v>1525</v>
      </c>
      <c r="I2799" s="3" t="str">
        <f>+IFERROR(VLOOKUP(C2799,'Mov 2023 hasta ahora '!$C$2:$D$314,2,FALSE),"NO")</f>
        <v>NO</v>
      </c>
      <c r="K2799">
        <v>3</v>
      </c>
      <c r="L2799" t="s">
        <v>836</v>
      </c>
      <c r="M2799">
        <v>10</v>
      </c>
    </row>
    <row r="2800" spans="1:18" hidden="1">
      <c r="A2800" t="s">
        <v>5581</v>
      </c>
      <c r="B2800" t="s">
        <v>5582</v>
      </c>
      <c r="I2800" s="3" t="str">
        <f>+IFERROR(VLOOKUP(C2800,'Mov 2023 hasta ahora '!$C$2:$D$314,2,FALSE),"NO")</f>
        <v>NO</v>
      </c>
      <c r="K2800">
        <v>4</v>
      </c>
      <c r="L2800" t="s">
        <v>836</v>
      </c>
      <c r="M2800">
        <v>14</v>
      </c>
    </row>
    <row r="2801" spans="1:18" hidden="1">
      <c r="A2801" t="s">
        <v>5583</v>
      </c>
      <c r="B2801" t="s">
        <v>5584</v>
      </c>
      <c r="I2801" s="3" t="str">
        <f>+IFERROR(VLOOKUP(C2801,'Mov 2023 hasta ahora '!$C$2:$D$314,2,FALSE),"NO")</f>
        <v>NO</v>
      </c>
      <c r="K2801">
        <v>5</v>
      </c>
      <c r="L2801" t="s">
        <v>836</v>
      </c>
      <c r="M2801">
        <v>18</v>
      </c>
    </row>
    <row r="2802" spans="1:18" hidden="1">
      <c r="A2802" s="23" t="s">
        <v>5585</v>
      </c>
      <c r="B2802" s="23" t="s">
        <v>5586</v>
      </c>
      <c r="C2802" s="23">
        <v>2765</v>
      </c>
      <c r="I2802" s="3" t="str">
        <f>+IFERROR(VLOOKUP(C2802,'Mov 2023 hasta ahora '!$C$2:$D$314,2,FALSE),"NO")</f>
        <v>NO</v>
      </c>
      <c r="K2802">
        <v>6</v>
      </c>
      <c r="L2802" t="s">
        <v>836</v>
      </c>
      <c r="M2802">
        <v>24</v>
      </c>
      <c r="O2802" s="29" t="s">
        <v>8742</v>
      </c>
      <c r="P2802" s="25" t="s">
        <v>9063</v>
      </c>
      <c r="Q2802" s="25">
        <v>176</v>
      </c>
      <c r="R2802" t="s">
        <v>436</v>
      </c>
    </row>
    <row r="2803" spans="1:18" hidden="1">
      <c r="A2803" t="s">
        <v>5587</v>
      </c>
      <c r="B2803" t="s">
        <v>5588</v>
      </c>
      <c r="I2803" s="3" t="str">
        <f>+IFERROR(VLOOKUP(C2803,'Mov 2023 hasta ahora '!$C$2:$D$314,2,FALSE),"NO")</f>
        <v>NO</v>
      </c>
      <c r="K2803">
        <v>4</v>
      </c>
      <c r="L2803" t="s">
        <v>836</v>
      </c>
      <c r="M2803">
        <v>14</v>
      </c>
    </row>
    <row r="2804" spans="1:18" hidden="1">
      <c r="A2804" t="s">
        <v>5589</v>
      </c>
      <c r="B2804" t="s">
        <v>5590</v>
      </c>
      <c r="I2804" s="3" t="str">
        <f>+IFERROR(VLOOKUP(C2804,'Mov 2023 hasta ahora '!$C$2:$D$314,2,FALSE),"NO")</f>
        <v>NO</v>
      </c>
      <c r="K2804">
        <v>5</v>
      </c>
      <c r="L2804" t="s">
        <v>836</v>
      </c>
      <c r="M2804">
        <v>18</v>
      </c>
    </row>
    <row r="2805" spans="1:18" s="13" customFormat="1" hidden="1">
      <c r="A2805" s="23" t="s">
        <v>5591</v>
      </c>
      <c r="B2805" s="23" t="s">
        <v>5592</v>
      </c>
      <c r="C2805" s="23">
        <v>2766</v>
      </c>
      <c r="G2805"/>
      <c r="I2805" s="14" t="str">
        <f>+IFERROR(VLOOKUP(C2805,'Mov 2023 hasta ahora '!$C$2:$D$314,2,FALSE),"NO")</f>
        <v>NO</v>
      </c>
      <c r="K2805">
        <v>6</v>
      </c>
      <c r="L2805" t="s">
        <v>836</v>
      </c>
      <c r="M2805">
        <v>24</v>
      </c>
      <c r="O2805" s="29" t="s">
        <v>8746</v>
      </c>
      <c r="P2805" s="25" t="s">
        <v>9054</v>
      </c>
      <c r="Q2805" s="25">
        <v>185</v>
      </c>
      <c r="R2805" t="s">
        <v>436</v>
      </c>
    </row>
    <row r="2806" spans="1:18" s="13" customFormat="1" hidden="1">
      <c r="A2806" s="23" t="s">
        <v>5593</v>
      </c>
      <c r="B2806" s="23" t="s">
        <v>5594</v>
      </c>
      <c r="C2806" s="23">
        <v>2767</v>
      </c>
      <c r="G2806"/>
      <c r="I2806" s="14" t="str">
        <f>+IFERROR(VLOOKUP(C2806,'Mov 2023 hasta ahora '!$C$2:$D$314,2,FALSE),"NO")</f>
        <v>NO</v>
      </c>
      <c r="K2806">
        <v>6</v>
      </c>
      <c r="L2806" t="s">
        <v>836</v>
      </c>
      <c r="M2806">
        <v>24</v>
      </c>
      <c r="O2806" s="29" t="s">
        <v>8748</v>
      </c>
      <c r="P2806" s="25" t="s">
        <v>9055</v>
      </c>
      <c r="Q2806" s="25">
        <v>193</v>
      </c>
      <c r="R2806" t="s">
        <v>436</v>
      </c>
    </row>
    <row r="2807" spans="1:18" s="13" customFormat="1" hidden="1">
      <c r="A2807" s="23" t="s">
        <v>5595</v>
      </c>
      <c r="B2807" s="23" t="s">
        <v>5596</v>
      </c>
      <c r="C2807" s="23">
        <v>2768</v>
      </c>
      <c r="G2807"/>
      <c r="I2807" s="14" t="str">
        <f>+IFERROR(VLOOKUP(C2807,'Mov 2023 hasta ahora '!$C$2:$D$314,2,FALSE),"NO")</f>
        <v>NO</v>
      </c>
      <c r="K2807">
        <v>6</v>
      </c>
      <c r="L2807" t="s">
        <v>836</v>
      </c>
      <c r="M2807">
        <v>24</v>
      </c>
      <c r="O2807" s="29" t="s">
        <v>8749</v>
      </c>
      <c r="P2807" s="25" t="s">
        <v>9056</v>
      </c>
      <c r="Q2807" s="25">
        <v>202</v>
      </c>
      <c r="R2807" t="s">
        <v>436</v>
      </c>
    </row>
    <row r="2808" spans="1:18" hidden="1">
      <c r="A2808" s="23" t="s">
        <v>5597</v>
      </c>
      <c r="B2808" s="23" t="s">
        <v>5598</v>
      </c>
      <c r="C2808" s="23">
        <v>2769</v>
      </c>
      <c r="I2808" s="3" t="str">
        <f>+IFERROR(VLOOKUP(C2808,'Mov 2023 hasta ahora '!$C$2:$D$314,2,FALSE),"NO")</f>
        <v>NO</v>
      </c>
      <c r="K2808">
        <v>6</v>
      </c>
      <c r="L2808" t="s">
        <v>836</v>
      </c>
      <c r="M2808">
        <v>24</v>
      </c>
      <c r="O2808" s="29" t="s">
        <v>8750</v>
      </c>
      <c r="P2808" s="25" t="s">
        <v>8968</v>
      </c>
      <c r="Q2808" s="25">
        <v>1351</v>
      </c>
      <c r="R2808" t="s">
        <v>436</v>
      </c>
    </row>
    <row r="2809" spans="1:18" hidden="1">
      <c r="A2809" t="s">
        <v>5599</v>
      </c>
      <c r="B2809" t="s">
        <v>5600</v>
      </c>
      <c r="I2809" s="3" t="str">
        <f>+IFERROR(VLOOKUP(C2809,'Mov 2023 hasta ahora '!$C$2:$D$314,2,FALSE),"NO")</f>
        <v>NO</v>
      </c>
      <c r="K2809">
        <v>4</v>
      </c>
      <c r="L2809" t="s">
        <v>836</v>
      </c>
      <c r="M2809">
        <v>14</v>
      </c>
    </row>
    <row r="2810" spans="1:18" hidden="1">
      <c r="A2810" t="s">
        <v>5601</v>
      </c>
      <c r="B2810" t="s">
        <v>5602</v>
      </c>
      <c r="I2810" s="3" t="str">
        <f>+IFERROR(VLOOKUP(C2810,'Mov 2023 hasta ahora '!$C$2:$D$314,2,FALSE),"NO")</f>
        <v>NO</v>
      </c>
      <c r="K2810">
        <v>5</v>
      </c>
      <c r="L2810" t="s">
        <v>836</v>
      </c>
      <c r="M2810">
        <v>18</v>
      </c>
    </row>
    <row r="2811" spans="1:18" hidden="1">
      <c r="A2811" s="23" t="s">
        <v>5603</v>
      </c>
      <c r="B2811" s="23" t="s">
        <v>5604</v>
      </c>
      <c r="C2811" s="23">
        <v>2770</v>
      </c>
      <c r="I2811" s="3" t="str">
        <f>+IFERROR(VLOOKUP(C2811,'Mov 2023 hasta ahora '!$C$2:$D$314,2,FALSE),"NO")</f>
        <v>NO</v>
      </c>
      <c r="K2811">
        <v>6</v>
      </c>
      <c r="L2811" t="s">
        <v>836</v>
      </c>
      <c r="M2811">
        <v>24</v>
      </c>
      <c r="O2811" s="29" t="s">
        <v>9013</v>
      </c>
      <c r="P2811" s="25" t="s">
        <v>8756</v>
      </c>
      <c r="Q2811" s="25">
        <v>212</v>
      </c>
      <c r="R2811" t="s">
        <v>436</v>
      </c>
    </row>
    <row r="2812" spans="1:18" hidden="1">
      <c r="A2812" t="s">
        <v>5605</v>
      </c>
      <c r="B2812" t="s">
        <v>5606</v>
      </c>
      <c r="I2812" s="3" t="str">
        <f>+IFERROR(VLOOKUP(C2812,'Mov 2023 hasta ahora '!$C$2:$D$314,2,FALSE),"NO")</f>
        <v>NO</v>
      </c>
      <c r="K2812">
        <v>4</v>
      </c>
      <c r="L2812" t="s">
        <v>836</v>
      </c>
      <c r="M2812">
        <v>14</v>
      </c>
    </row>
    <row r="2813" spans="1:18" hidden="1">
      <c r="A2813" t="s">
        <v>5607</v>
      </c>
      <c r="B2813" t="s">
        <v>5608</v>
      </c>
      <c r="I2813" s="3" t="str">
        <f>+IFERROR(VLOOKUP(C2813,'Mov 2023 hasta ahora '!$C$2:$D$314,2,FALSE),"NO")</f>
        <v>NO</v>
      </c>
      <c r="K2813">
        <v>5</v>
      </c>
      <c r="L2813" t="s">
        <v>836</v>
      </c>
      <c r="M2813">
        <v>18</v>
      </c>
    </row>
    <row r="2814" spans="1:18" s="15" customFormat="1" hidden="1">
      <c r="A2814" s="23" t="s">
        <v>5609</v>
      </c>
      <c r="B2814" s="23" t="s">
        <v>5610</v>
      </c>
      <c r="C2814" s="23">
        <v>2771</v>
      </c>
      <c r="G2814"/>
      <c r="I2814" s="16" t="str">
        <f>+IFERROR(VLOOKUP(C2814,'Mov 2023 hasta ahora '!$C$2:$D$314,2,FALSE),"NO")</f>
        <v>NO</v>
      </c>
      <c r="K2814">
        <v>6</v>
      </c>
      <c r="L2814" t="s">
        <v>836</v>
      </c>
      <c r="M2814">
        <v>24</v>
      </c>
      <c r="O2814" s="29" t="s">
        <v>8793</v>
      </c>
      <c r="P2814" s="25" t="s">
        <v>8975</v>
      </c>
      <c r="Q2814" s="25">
        <v>1616</v>
      </c>
      <c r="R2814" t="s">
        <v>436</v>
      </c>
    </row>
    <row r="2815" spans="1:18" s="15" customFormat="1" hidden="1">
      <c r="A2815" s="23" t="s">
        <v>5611</v>
      </c>
      <c r="B2815" s="23" t="s">
        <v>5612</v>
      </c>
      <c r="C2815" s="23">
        <v>2772</v>
      </c>
      <c r="G2815"/>
      <c r="I2815" s="16" t="str">
        <f>+IFERROR(VLOOKUP(C2815,'Mov 2023 hasta ahora '!$C$2:$D$314,2,FALSE),"NO")</f>
        <v>NO</v>
      </c>
      <c r="K2815">
        <v>6</v>
      </c>
      <c r="L2815" t="s">
        <v>836</v>
      </c>
      <c r="M2815">
        <v>24</v>
      </c>
      <c r="O2815" s="29" t="s">
        <v>8793</v>
      </c>
      <c r="P2815" s="25" t="s">
        <v>8975</v>
      </c>
      <c r="Q2815" s="25">
        <v>1616</v>
      </c>
      <c r="R2815" t="s">
        <v>436</v>
      </c>
    </row>
    <row r="2816" spans="1:18" hidden="1">
      <c r="A2816" t="s">
        <v>5613</v>
      </c>
      <c r="B2816" t="s">
        <v>5614</v>
      </c>
      <c r="I2816" s="3" t="str">
        <f>+IFERROR(VLOOKUP(C2816,'Mov 2023 hasta ahora '!$C$2:$D$314,2,FALSE),"NO")</f>
        <v>NO</v>
      </c>
      <c r="K2816">
        <v>4</v>
      </c>
      <c r="L2816" t="s">
        <v>836</v>
      </c>
      <c r="M2816">
        <v>14</v>
      </c>
    </row>
    <row r="2817" spans="1:18" hidden="1">
      <c r="A2817" t="s">
        <v>5615</v>
      </c>
      <c r="B2817" t="s">
        <v>5616</v>
      </c>
      <c r="I2817" s="3" t="str">
        <f>+IFERROR(VLOOKUP(C2817,'Mov 2023 hasta ahora '!$C$2:$D$314,2,FALSE),"NO")</f>
        <v>NO</v>
      </c>
      <c r="K2817">
        <v>5</v>
      </c>
      <c r="L2817" t="s">
        <v>836</v>
      </c>
      <c r="M2817">
        <v>18</v>
      </c>
    </row>
    <row r="2818" spans="1:18" s="13" customFormat="1" hidden="1">
      <c r="A2818" s="23" t="s">
        <v>5617</v>
      </c>
      <c r="B2818" s="23" t="s">
        <v>5618</v>
      </c>
      <c r="C2818" s="23">
        <v>2773</v>
      </c>
      <c r="G2818"/>
      <c r="I2818" s="14" t="str">
        <f>+IFERROR(VLOOKUP(C2818,'Mov 2023 hasta ahora '!$C$2:$D$314,2,FALSE),"NO")</f>
        <v>NO</v>
      </c>
      <c r="K2818">
        <v>6</v>
      </c>
      <c r="L2818" t="s">
        <v>836</v>
      </c>
      <c r="M2818">
        <v>24</v>
      </c>
      <c r="O2818" s="29" t="s">
        <v>8857</v>
      </c>
      <c r="P2818" s="25" t="s">
        <v>8980</v>
      </c>
      <c r="Q2818" s="25">
        <v>2178</v>
      </c>
      <c r="R2818" t="s">
        <v>436</v>
      </c>
    </row>
    <row r="2819" spans="1:18" s="13" customFormat="1" hidden="1">
      <c r="A2819" s="23" t="s">
        <v>5619</v>
      </c>
      <c r="B2819" s="23" t="s">
        <v>5620</v>
      </c>
      <c r="C2819" s="23">
        <v>2774</v>
      </c>
      <c r="G2819"/>
      <c r="I2819" s="14" t="str">
        <f>+IFERROR(VLOOKUP(C2819,'Mov 2023 hasta ahora '!$C$2:$D$314,2,FALSE),"NO")</f>
        <v>NO</v>
      </c>
      <c r="K2819">
        <v>6</v>
      </c>
      <c r="L2819" t="s">
        <v>836</v>
      </c>
      <c r="M2819">
        <v>24</v>
      </c>
      <c r="O2819" s="29" t="s">
        <v>8846</v>
      </c>
      <c r="P2819" s="25" t="s">
        <v>8981</v>
      </c>
      <c r="Q2819" s="25">
        <v>2179</v>
      </c>
      <c r="R2819" t="s">
        <v>436</v>
      </c>
    </row>
    <row r="2820" spans="1:18" s="13" customFormat="1" hidden="1">
      <c r="A2820" s="23" t="s">
        <v>5621</v>
      </c>
      <c r="B2820" s="23" t="s">
        <v>5622</v>
      </c>
      <c r="C2820" s="23">
        <v>2775</v>
      </c>
      <c r="G2820"/>
      <c r="I2820" s="14" t="str">
        <f>+IFERROR(VLOOKUP(C2820,'Mov 2023 hasta ahora '!$C$2:$D$314,2,FALSE),"NO")</f>
        <v>NO</v>
      </c>
      <c r="K2820">
        <v>6</v>
      </c>
      <c r="L2820" t="s">
        <v>836</v>
      </c>
      <c r="M2820">
        <v>24</v>
      </c>
      <c r="O2820" s="29" t="s">
        <v>8846</v>
      </c>
      <c r="P2820" s="25" t="s">
        <v>8981</v>
      </c>
      <c r="Q2820" s="25">
        <v>2179</v>
      </c>
      <c r="R2820" t="s">
        <v>436</v>
      </c>
    </row>
    <row r="2821" spans="1:18" s="13" customFormat="1" hidden="1">
      <c r="A2821" s="23" t="s">
        <v>5623</v>
      </c>
      <c r="B2821" s="23" t="s">
        <v>5624</v>
      </c>
      <c r="C2821" s="23">
        <v>2776</v>
      </c>
      <c r="G2821"/>
      <c r="I2821" s="14" t="str">
        <f>+IFERROR(VLOOKUP(C2821,'Mov 2023 hasta ahora '!$C$2:$D$314,2,FALSE),"NO")</f>
        <v>NO</v>
      </c>
      <c r="K2821">
        <v>6</v>
      </c>
      <c r="L2821" t="s">
        <v>836</v>
      </c>
      <c r="M2821">
        <v>24</v>
      </c>
      <c r="O2821" s="29" t="s">
        <v>8794</v>
      </c>
      <c r="P2821" s="25" t="s">
        <v>8982</v>
      </c>
      <c r="Q2821" s="25">
        <v>1441</v>
      </c>
      <c r="R2821" t="s">
        <v>436</v>
      </c>
    </row>
    <row r="2822" spans="1:18" s="13" customFormat="1" hidden="1">
      <c r="A2822" s="23" t="s">
        <v>5625</v>
      </c>
      <c r="B2822" s="23" t="s">
        <v>5626</v>
      </c>
      <c r="C2822" s="23">
        <v>2777</v>
      </c>
      <c r="G2822"/>
      <c r="I2822" s="14" t="str">
        <f>+IFERROR(VLOOKUP(C2822,'Mov 2023 hasta ahora '!$C$2:$D$314,2,FALSE),"NO")</f>
        <v>NO</v>
      </c>
      <c r="K2822">
        <v>6</v>
      </c>
      <c r="L2822" t="s">
        <v>836</v>
      </c>
      <c r="M2822">
        <v>24</v>
      </c>
      <c r="O2822" s="29" t="s">
        <v>8809</v>
      </c>
      <c r="P2822" s="25" t="s">
        <v>8983</v>
      </c>
      <c r="Q2822" s="25">
        <v>1448</v>
      </c>
      <c r="R2822" t="s">
        <v>436</v>
      </c>
    </row>
    <row r="2823" spans="1:18" hidden="1">
      <c r="A2823" t="s">
        <v>5627</v>
      </c>
      <c r="B2823" t="s">
        <v>5628</v>
      </c>
      <c r="I2823" s="3" t="str">
        <f>+IFERROR(VLOOKUP(C2823,'Mov 2023 hasta ahora '!$C$2:$D$314,2,FALSE),"NO")</f>
        <v>NO</v>
      </c>
      <c r="K2823">
        <v>4</v>
      </c>
      <c r="L2823" t="s">
        <v>836</v>
      </c>
      <c r="M2823">
        <v>14</v>
      </c>
    </row>
    <row r="2824" spans="1:18" hidden="1">
      <c r="A2824" t="s">
        <v>5629</v>
      </c>
      <c r="B2824" t="s">
        <v>5630</v>
      </c>
      <c r="I2824" s="3" t="str">
        <f>+IFERROR(VLOOKUP(C2824,'Mov 2023 hasta ahora '!$C$2:$D$314,2,FALSE),"NO")</f>
        <v>NO</v>
      </c>
      <c r="K2824">
        <v>5</v>
      </c>
      <c r="L2824" t="s">
        <v>836</v>
      </c>
      <c r="M2824">
        <v>18</v>
      </c>
    </row>
    <row r="2825" spans="1:18" s="13" customFormat="1" hidden="1">
      <c r="A2825" s="23" t="s">
        <v>5631</v>
      </c>
      <c r="B2825" s="23" t="s">
        <v>5632</v>
      </c>
      <c r="C2825" s="23">
        <v>2778</v>
      </c>
      <c r="G2825"/>
      <c r="I2825" s="14" t="str">
        <f>+IFERROR(VLOOKUP(C2825,'Mov 2023 hasta ahora '!$C$2:$D$314,2,FALSE),"NO")</f>
        <v>NO</v>
      </c>
      <c r="K2825">
        <v>6</v>
      </c>
      <c r="L2825" t="s">
        <v>836</v>
      </c>
      <c r="M2825">
        <v>24</v>
      </c>
      <c r="O2825" s="29" t="s">
        <v>8853</v>
      </c>
      <c r="P2825" s="25" t="s">
        <v>8986</v>
      </c>
      <c r="Q2825" s="25">
        <v>366</v>
      </c>
      <c r="R2825" t="s">
        <v>436</v>
      </c>
    </row>
    <row r="2826" spans="1:18" hidden="1">
      <c r="A2826" t="s">
        <v>5633</v>
      </c>
      <c r="B2826" t="s">
        <v>5634</v>
      </c>
      <c r="I2826" s="3" t="str">
        <f>+IFERROR(VLOOKUP(C2826,'Mov 2023 hasta ahora '!$C$2:$D$314,2,FALSE),"NO")</f>
        <v>NO</v>
      </c>
      <c r="K2826">
        <v>5</v>
      </c>
      <c r="L2826" t="s">
        <v>836</v>
      </c>
      <c r="M2826">
        <v>18</v>
      </c>
    </row>
    <row r="2827" spans="1:18" s="13" customFormat="1" hidden="1">
      <c r="A2827" s="23" t="s">
        <v>5635</v>
      </c>
      <c r="B2827" s="23" t="s">
        <v>5636</v>
      </c>
      <c r="C2827" s="23">
        <v>2779</v>
      </c>
      <c r="G2827"/>
      <c r="I2827" s="14" t="str">
        <f>+IFERROR(VLOOKUP(C2827,'Mov 2023 hasta ahora '!$C$2:$D$314,2,FALSE),"NO")</f>
        <v>NO</v>
      </c>
      <c r="K2827">
        <v>6</v>
      </c>
      <c r="L2827" t="s">
        <v>836</v>
      </c>
      <c r="M2827">
        <v>24</v>
      </c>
      <c r="O2827" s="29" t="s">
        <v>8853</v>
      </c>
      <c r="P2827" s="25" t="s">
        <v>8986</v>
      </c>
      <c r="Q2827" s="25">
        <v>366</v>
      </c>
      <c r="R2827" t="s">
        <v>436</v>
      </c>
    </row>
    <row r="2828" spans="1:18" hidden="1">
      <c r="A2828" t="s">
        <v>5637</v>
      </c>
      <c r="B2828" t="s">
        <v>5638</v>
      </c>
      <c r="I2828" s="3" t="str">
        <f>+IFERROR(VLOOKUP(C2828,'Mov 2023 hasta ahora '!$C$2:$D$314,2,FALSE),"NO")</f>
        <v>NO</v>
      </c>
      <c r="K2828">
        <v>5</v>
      </c>
      <c r="L2828" t="s">
        <v>836</v>
      </c>
      <c r="M2828">
        <v>18</v>
      </c>
    </row>
    <row r="2829" spans="1:18" s="13" customFormat="1" hidden="1">
      <c r="A2829" s="23" t="s">
        <v>5639</v>
      </c>
      <c r="B2829" s="23" t="s">
        <v>5640</v>
      </c>
      <c r="C2829" s="23">
        <v>2780</v>
      </c>
      <c r="G2829"/>
      <c r="I2829" s="14" t="str">
        <f>+IFERROR(VLOOKUP(C2829,'Mov 2023 hasta ahora '!$C$2:$D$314,2,FALSE),"NO")</f>
        <v>NO</v>
      </c>
      <c r="K2829">
        <v>6</v>
      </c>
      <c r="L2829" t="s">
        <v>836</v>
      </c>
      <c r="M2829">
        <v>24</v>
      </c>
      <c r="O2829" s="29" t="s">
        <v>8853</v>
      </c>
      <c r="P2829" s="25" t="s">
        <v>8986</v>
      </c>
      <c r="Q2829" s="25">
        <v>366</v>
      </c>
      <c r="R2829" t="s">
        <v>436</v>
      </c>
    </row>
    <row r="2830" spans="1:18" hidden="1">
      <c r="A2830" t="s">
        <v>5641</v>
      </c>
      <c r="B2830" t="s">
        <v>5642</v>
      </c>
      <c r="I2830" s="3" t="str">
        <f>+IFERROR(VLOOKUP(C2830,'Mov 2023 hasta ahora '!$C$2:$D$314,2,FALSE),"NO")</f>
        <v>NO</v>
      </c>
      <c r="K2830">
        <v>5</v>
      </c>
      <c r="L2830" t="s">
        <v>836</v>
      </c>
      <c r="M2830">
        <v>18</v>
      </c>
    </row>
    <row r="2831" spans="1:18" s="13" customFormat="1" hidden="1">
      <c r="A2831" s="23" t="s">
        <v>5643</v>
      </c>
      <c r="B2831" s="23" t="s">
        <v>5644</v>
      </c>
      <c r="C2831" s="23">
        <v>2781</v>
      </c>
      <c r="G2831"/>
      <c r="I2831" s="14" t="str">
        <f>+IFERROR(VLOOKUP(C2831,'Mov 2023 hasta ahora '!$C$2:$D$314,2,FALSE),"NO")</f>
        <v>NO</v>
      </c>
      <c r="K2831">
        <v>6</v>
      </c>
      <c r="L2831" t="s">
        <v>836</v>
      </c>
      <c r="M2831">
        <v>24</v>
      </c>
      <c r="O2831" s="29" t="s">
        <v>8853</v>
      </c>
      <c r="P2831" s="25" t="s">
        <v>8986</v>
      </c>
      <c r="Q2831" s="25">
        <v>366</v>
      </c>
      <c r="R2831" t="s">
        <v>436</v>
      </c>
    </row>
    <row r="2832" spans="1:18" hidden="1">
      <c r="A2832" t="s">
        <v>5645</v>
      </c>
      <c r="B2832" t="s">
        <v>5646</v>
      </c>
      <c r="I2832" s="3" t="str">
        <f>+IFERROR(VLOOKUP(C2832,'Mov 2023 hasta ahora '!$C$2:$D$314,2,FALSE),"NO")</f>
        <v>NO</v>
      </c>
      <c r="K2832">
        <v>5</v>
      </c>
      <c r="L2832" t="s">
        <v>836</v>
      </c>
      <c r="M2832">
        <v>18</v>
      </c>
    </row>
    <row r="2833" spans="1:18" s="13" customFormat="1" hidden="1">
      <c r="A2833" s="23" t="s">
        <v>5647</v>
      </c>
      <c r="B2833" s="23" t="s">
        <v>5648</v>
      </c>
      <c r="C2833" s="23">
        <v>2782</v>
      </c>
      <c r="G2833"/>
      <c r="I2833" s="14" t="str">
        <f>+IFERROR(VLOOKUP(C2833,'Mov 2023 hasta ahora '!$C$2:$D$314,2,FALSE),"NO")</f>
        <v>NO</v>
      </c>
      <c r="K2833">
        <v>6</v>
      </c>
      <c r="L2833" t="s">
        <v>836</v>
      </c>
      <c r="M2833">
        <v>24</v>
      </c>
      <c r="O2833" s="29" t="s">
        <v>8867</v>
      </c>
      <c r="P2833" s="25" t="s">
        <v>8987</v>
      </c>
      <c r="Q2833" s="25">
        <v>456</v>
      </c>
      <c r="R2833" t="s">
        <v>436</v>
      </c>
    </row>
    <row r="2834" spans="1:18" s="13" customFormat="1" hidden="1">
      <c r="A2834" s="23" t="s">
        <v>5649</v>
      </c>
      <c r="B2834" s="23" t="s">
        <v>5650</v>
      </c>
      <c r="C2834" s="23">
        <v>2783</v>
      </c>
      <c r="G2834"/>
      <c r="I2834" s="14" t="str">
        <f>+IFERROR(VLOOKUP(C2834,'Mov 2023 hasta ahora '!$C$2:$D$314,2,FALSE),"NO")</f>
        <v>NO</v>
      </c>
      <c r="K2834">
        <v>6</v>
      </c>
      <c r="L2834" t="s">
        <v>836</v>
      </c>
      <c r="M2834">
        <v>24</v>
      </c>
      <c r="O2834" s="29" t="s">
        <v>8853</v>
      </c>
      <c r="P2834" s="25" t="s">
        <v>8986</v>
      </c>
      <c r="Q2834" s="25">
        <v>366</v>
      </c>
      <c r="R2834" t="s">
        <v>436</v>
      </c>
    </row>
    <row r="2835" spans="1:18" s="13" customFormat="1" hidden="1">
      <c r="A2835" s="23" t="s">
        <v>5651</v>
      </c>
      <c r="B2835" s="23" t="s">
        <v>5652</v>
      </c>
      <c r="C2835" s="23">
        <v>2784</v>
      </c>
      <c r="G2835"/>
      <c r="I2835" s="14" t="str">
        <f>+IFERROR(VLOOKUP(C2835,'Mov 2023 hasta ahora '!$C$2:$D$314,2,FALSE),"NO")</f>
        <v>NO</v>
      </c>
      <c r="K2835">
        <v>6</v>
      </c>
      <c r="L2835" t="s">
        <v>836</v>
      </c>
      <c r="M2835">
        <v>24</v>
      </c>
      <c r="O2835" s="29" t="s">
        <v>8853</v>
      </c>
      <c r="P2835" s="25" t="s">
        <v>8986</v>
      </c>
      <c r="Q2835" s="25">
        <v>366</v>
      </c>
      <c r="R2835" t="s">
        <v>436</v>
      </c>
    </row>
    <row r="2836" spans="1:18" hidden="1">
      <c r="A2836" t="s">
        <v>5653</v>
      </c>
      <c r="B2836" t="s">
        <v>5654</v>
      </c>
      <c r="I2836" s="3" t="str">
        <f>+IFERROR(VLOOKUP(C2836,'Mov 2023 hasta ahora '!$C$2:$D$314,2,FALSE),"NO")</f>
        <v>NO</v>
      </c>
      <c r="K2836">
        <v>5</v>
      </c>
      <c r="L2836" t="s">
        <v>836</v>
      </c>
      <c r="M2836">
        <v>18</v>
      </c>
    </row>
    <row r="2837" spans="1:18" s="13" customFormat="1" hidden="1">
      <c r="A2837" s="23" t="s">
        <v>5655</v>
      </c>
      <c r="B2837" s="23" t="s">
        <v>5656</v>
      </c>
      <c r="C2837" s="23">
        <v>2785</v>
      </c>
      <c r="G2837"/>
      <c r="I2837" s="14" t="str">
        <f>+IFERROR(VLOOKUP(C2837,'Mov 2023 hasta ahora '!$C$2:$D$314,2,FALSE),"NO")</f>
        <v>NO</v>
      </c>
      <c r="K2837">
        <v>6</v>
      </c>
      <c r="L2837" t="s">
        <v>836</v>
      </c>
      <c r="M2837">
        <v>24</v>
      </c>
      <c r="O2837" s="29" t="s">
        <v>8800</v>
      </c>
      <c r="P2837" s="25" t="s">
        <v>8988</v>
      </c>
      <c r="Q2837" s="25">
        <v>1457</v>
      </c>
      <c r="R2837" t="s">
        <v>436</v>
      </c>
    </row>
    <row r="2838" spans="1:18" s="13" customFormat="1" hidden="1">
      <c r="A2838" s="23" t="s">
        <v>5657</v>
      </c>
      <c r="B2838" s="23" t="s">
        <v>5658</v>
      </c>
      <c r="C2838" s="23">
        <v>2786</v>
      </c>
      <c r="G2838"/>
      <c r="I2838" s="14" t="str">
        <f>+IFERROR(VLOOKUP(C2838,'Mov 2023 hasta ahora '!$C$2:$D$314,2,FALSE),"NO")</f>
        <v>NO</v>
      </c>
      <c r="K2838">
        <v>6</v>
      </c>
      <c r="L2838" t="s">
        <v>836</v>
      </c>
      <c r="M2838">
        <v>24</v>
      </c>
      <c r="O2838" s="29" t="s">
        <v>8810</v>
      </c>
      <c r="P2838" s="25" t="s">
        <v>8989</v>
      </c>
      <c r="Q2838" s="25">
        <v>1465</v>
      </c>
      <c r="R2838" t="s">
        <v>436</v>
      </c>
    </row>
    <row r="2839" spans="1:18" s="13" customFormat="1" hidden="1">
      <c r="A2839" s="23" t="s">
        <v>5659</v>
      </c>
      <c r="B2839" s="23" t="s">
        <v>5660</v>
      </c>
      <c r="C2839" s="23">
        <v>2872</v>
      </c>
      <c r="G2839"/>
      <c r="I2839" s="14" t="str">
        <f>+IFERROR(VLOOKUP(C2839,'Mov 2023 hasta ahora '!$C$2:$D$314,2,FALSE),"NO")</f>
        <v>NO</v>
      </c>
      <c r="K2839">
        <v>6</v>
      </c>
      <c r="L2839" t="s">
        <v>836</v>
      </c>
      <c r="M2839">
        <v>24</v>
      </c>
      <c r="O2839" s="29" t="s">
        <v>8831</v>
      </c>
      <c r="P2839" s="25" t="s">
        <v>8990</v>
      </c>
      <c r="Q2839" s="25">
        <v>1834</v>
      </c>
      <c r="R2839" t="s">
        <v>436</v>
      </c>
    </row>
    <row r="2840" spans="1:18" s="13" customFormat="1" hidden="1">
      <c r="A2840" s="23" t="s">
        <v>5661</v>
      </c>
      <c r="B2840" s="23" t="s">
        <v>5662</v>
      </c>
      <c r="C2840" s="23">
        <v>2873</v>
      </c>
      <c r="G2840"/>
      <c r="I2840" s="14">
        <f>+IFERROR(VLOOKUP(C2840,'Mov 2023 hasta ahora '!$C$2:$D$314,2,FALSE),"NO")</f>
        <v>1</v>
      </c>
      <c r="K2840">
        <v>6</v>
      </c>
      <c r="L2840" t="s">
        <v>836</v>
      </c>
      <c r="M2840">
        <v>24</v>
      </c>
      <c r="O2840" s="29" t="s">
        <v>8835</v>
      </c>
      <c r="P2840" s="25" t="s">
        <v>8991</v>
      </c>
      <c r="Q2840" s="25">
        <v>2873</v>
      </c>
      <c r="R2840" t="s">
        <v>436</v>
      </c>
    </row>
    <row r="2841" spans="1:18" hidden="1">
      <c r="A2841" t="s">
        <v>5663</v>
      </c>
      <c r="B2841" t="s">
        <v>5664</v>
      </c>
      <c r="I2841" s="3" t="str">
        <f>+IFERROR(VLOOKUP(C2841,'Mov 2023 hasta ahora '!$C$2:$D$314,2,FALSE),"NO")</f>
        <v>NO</v>
      </c>
      <c r="K2841">
        <v>4</v>
      </c>
      <c r="L2841" t="s">
        <v>836</v>
      </c>
      <c r="M2841">
        <v>14</v>
      </c>
    </row>
    <row r="2842" spans="1:18" hidden="1">
      <c r="A2842" t="s">
        <v>5665</v>
      </c>
      <c r="B2842" t="s">
        <v>5666</v>
      </c>
      <c r="I2842" s="3" t="str">
        <f>+IFERROR(VLOOKUP(C2842,'Mov 2023 hasta ahora '!$C$2:$D$314,2,FALSE),"NO")</f>
        <v>NO</v>
      </c>
      <c r="K2842">
        <v>5</v>
      </c>
      <c r="L2842" t="s">
        <v>836</v>
      </c>
      <c r="M2842">
        <v>18</v>
      </c>
    </row>
    <row r="2843" spans="1:18" s="13" customFormat="1" hidden="1">
      <c r="A2843" s="23" t="s">
        <v>5667</v>
      </c>
      <c r="B2843" s="23" t="s">
        <v>5668</v>
      </c>
      <c r="C2843" s="23">
        <v>2787</v>
      </c>
      <c r="G2843"/>
      <c r="I2843" s="14" t="str">
        <f>+IFERROR(VLOOKUP(C2843,'Mov 2023 hasta ahora '!$C$2:$D$314,2,FALSE),"NO")</f>
        <v>NO</v>
      </c>
      <c r="K2843">
        <v>6</v>
      </c>
      <c r="L2843" t="s">
        <v>836</v>
      </c>
      <c r="M2843">
        <v>24</v>
      </c>
      <c r="O2843" s="29" t="s">
        <v>8858</v>
      </c>
      <c r="P2843" s="25" t="s">
        <v>8862</v>
      </c>
      <c r="Q2843" s="25">
        <v>834</v>
      </c>
      <c r="R2843" t="s">
        <v>436</v>
      </c>
    </row>
    <row r="2844" spans="1:18" s="13" customFormat="1" hidden="1">
      <c r="A2844" s="23" t="s">
        <v>5669</v>
      </c>
      <c r="B2844" s="23" t="s">
        <v>5670</v>
      </c>
      <c r="C2844" s="23">
        <v>2788</v>
      </c>
      <c r="G2844"/>
      <c r="I2844" s="14" t="str">
        <f>+IFERROR(VLOOKUP(C2844,'Mov 2023 hasta ahora '!$C$2:$D$314,2,FALSE),"NO")</f>
        <v>NO</v>
      </c>
      <c r="K2844">
        <v>6</v>
      </c>
      <c r="L2844" t="s">
        <v>836</v>
      </c>
      <c r="M2844">
        <v>24</v>
      </c>
      <c r="O2844" s="29" t="s">
        <v>8847</v>
      </c>
      <c r="P2844" s="25" t="s">
        <v>8851</v>
      </c>
      <c r="Q2844" s="25">
        <v>852</v>
      </c>
      <c r="R2844" t="s">
        <v>436</v>
      </c>
    </row>
    <row r="2845" spans="1:18" hidden="1">
      <c r="A2845" t="s">
        <v>5671</v>
      </c>
      <c r="B2845" t="s">
        <v>5672</v>
      </c>
      <c r="I2845" s="3" t="str">
        <f>+IFERROR(VLOOKUP(C2845,'Mov 2023 hasta ahora '!$C$2:$D$314,2,FALSE),"NO")</f>
        <v>NO</v>
      </c>
      <c r="K2845">
        <v>5</v>
      </c>
      <c r="L2845" t="s">
        <v>836</v>
      </c>
      <c r="M2845">
        <v>18</v>
      </c>
    </row>
    <row r="2846" spans="1:18" s="13" customFormat="1" hidden="1">
      <c r="A2846" s="23" t="s">
        <v>5673</v>
      </c>
      <c r="B2846" s="23" t="s">
        <v>5674</v>
      </c>
      <c r="C2846" s="23">
        <v>2789</v>
      </c>
      <c r="G2846"/>
      <c r="I2846" s="14" t="str">
        <f>+IFERROR(VLOOKUP(C2846,'Mov 2023 hasta ahora '!$C$2:$D$314,2,FALSE),"NO")</f>
        <v>NO</v>
      </c>
      <c r="K2846">
        <v>6</v>
      </c>
      <c r="L2846" t="s">
        <v>836</v>
      </c>
      <c r="M2846">
        <v>24</v>
      </c>
      <c r="O2846" s="29" t="s">
        <v>8858</v>
      </c>
      <c r="P2846" s="25" t="s">
        <v>8862</v>
      </c>
      <c r="Q2846" s="25">
        <v>834</v>
      </c>
      <c r="R2846" t="s">
        <v>436</v>
      </c>
    </row>
    <row r="2847" spans="1:18" s="13" customFormat="1" hidden="1">
      <c r="A2847" s="23" t="s">
        <v>5675</v>
      </c>
      <c r="B2847" s="23" t="s">
        <v>5676</v>
      </c>
      <c r="C2847" s="23">
        <v>2790</v>
      </c>
      <c r="G2847"/>
      <c r="I2847" s="14" t="str">
        <f>+IFERROR(VLOOKUP(C2847,'Mov 2023 hasta ahora '!$C$2:$D$314,2,FALSE),"NO")</f>
        <v>NO</v>
      </c>
      <c r="K2847">
        <v>6</v>
      </c>
      <c r="L2847" t="s">
        <v>836</v>
      </c>
      <c r="M2847">
        <v>24</v>
      </c>
      <c r="O2847" s="29" t="s">
        <v>8847</v>
      </c>
      <c r="P2847" s="25" t="s">
        <v>8851</v>
      </c>
      <c r="Q2847" s="25">
        <v>852</v>
      </c>
      <c r="R2847" t="s">
        <v>436</v>
      </c>
    </row>
    <row r="2848" spans="1:18" hidden="1">
      <c r="A2848" t="s">
        <v>5677</v>
      </c>
      <c r="B2848" t="s">
        <v>5678</v>
      </c>
      <c r="I2848" s="3" t="str">
        <f>+IFERROR(VLOOKUP(C2848,'Mov 2023 hasta ahora '!$C$2:$D$314,2,FALSE),"NO")</f>
        <v>NO</v>
      </c>
      <c r="K2848">
        <v>5</v>
      </c>
      <c r="L2848" t="s">
        <v>836</v>
      </c>
      <c r="M2848">
        <v>18</v>
      </c>
    </row>
    <row r="2849" spans="1:18" s="13" customFormat="1" hidden="1">
      <c r="A2849" s="23" t="s">
        <v>5679</v>
      </c>
      <c r="B2849" s="23" t="s">
        <v>5680</v>
      </c>
      <c r="C2849" s="23">
        <v>2791</v>
      </c>
      <c r="G2849"/>
      <c r="I2849" s="14" t="str">
        <f>+IFERROR(VLOOKUP(C2849,'Mov 2023 hasta ahora '!$C$2:$D$314,2,FALSE),"NO")</f>
        <v>NO</v>
      </c>
      <c r="K2849">
        <v>6</v>
      </c>
      <c r="L2849" t="s">
        <v>836</v>
      </c>
      <c r="M2849">
        <v>24</v>
      </c>
      <c r="O2849" s="29" t="s">
        <v>8795</v>
      </c>
      <c r="P2849" s="25" t="s">
        <v>8798</v>
      </c>
      <c r="Q2849" s="25">
        <v>1489</v>
      </c>
      <c r="R2849" t="s">
        <v>436</v>
      </c>
    </row>
    <row r="2850" spans="1:18" s="13" customFormat="1" hidden="1">
      <c r="A2850" s="23" t="s">
        <v>5681</v>
      </c>
      <c r="B2850" s="23" t="s">
        <v>5682</v>
      </c>
      <c r="C2850" s="23">
        <v>2792</v>
      </c>
      <c r="G2850"/>
      <c r="I2850" s="14" t="str">
        <f>+IFERROR(VLOOKUP(C2850,'Mov 2023 hasta ahora '!$C$2:$D$314,2,FALSE),"NO")</f>
        <v>NO</v>
      </c>
      <c r="K2850">
        <v>6</v>
      </c>
      <c r="L2850" t="s">
        <v>836</v>
      </c>
      <c r="M2850">
        <v>24</v>
      </c>
      <c r="O2850" s="29" t="s">
        <v>8804</v>
      </c>
      <c r="P2850" s="25" t="s">
        <v>8808</v>
      </c>
      <c r="Q2850" s="25">
        <v>1497</v>
      </c>
      <c r="R2850" s="13" t="s">
        <v>436</v>
      </c>
    </row>
    <row r="2851" spans="1:18" hidden="1">
      <c r="A2851" t="s">
        <v>5683</v>
      </c>
      <c r="B2851" t="s">
        <v>5684</v>
      </c>
      <c r="I2851" s="3" t="str">
        <f>+IFERROR(VLOOKUP(C2851,'Mov 2023 hasta ahora '!$C$2:$D$314,2,FALSE),"NO")</f>
        <v>NO</v>
      </c>
      <c r="K2851">
        <v>4</v>
      </c>
      <c r="L2851" t="s">
        <v>836</v>
      </c>
      <c r="M2851">
        <v>14</v>
      </c>
    </row>
    <row r="2852" spans="1:18" hidden="1">
      <c r="A2852" t="s">
        <v>5685</v>
      </c>
      <c r="B2852" t="s">
        <v>5686</v>
      </c>
      <c r="I2852" s="3" t="str">
        <f>+IFERROR(VLOOKUP(C2852,'Mov 2023 hasta ahora '!$C$2:$D$314,2,FALSE),"NO")</f>
        <v>NO</v>
      </c>
      <c r="K2852">
        <v>5</v>
      </c>
      <c r="L2852" t="s">
        <v>836</v>
      </c>
      <c r="M2852">
        <v>18</v>
      </c>
    </row>
    <row r="2853" spans="1:18" s="13" customFormat="1" hidden="1">
      <c r="A2853" s="23" t="s">
        <v>5687</v>
      </c>
      <c r="B2853" s="23" t="s">
        <v>5688</v>
      </c>
      <c r="C2853" s="23">
        <v>2796</v>
      </c>
      <c r="G2853"/>
      <c r="I2853" s="14" t="str">
        <f>+IFERROR(VLOOKUP(C2853,'Mov 2023 hasta ahora '!$C$2:$D$314,2,FALSE),"NO")</f>
        <v>NO</v>
      </c>
      <c r="K2853">
        <v>6</v>
      </c>
      <c r="L2853" t="s">
        <v>836</v>
      </c>
      <c r="M2853">
        <v>24</v>
      </c>
      <c r="O2853" s="29" t="s">
        <v>9000</v>
      </c>
      <c r="P2853" s="25" t="s">
        <v>8863</v>
      </c>
      <c r="Q2853" s="25">
        <v>1132</v>
      </c>
      <c r="R2853" t="s">
        <v>436</v>
      </c>
    </row>
    <row r="2854" spans="1:18" s="13" customFormat="1" hidden="1">
      <c r="A2854" s="23" t="s">
        <v>5689</v>
      </c>
      <c r="B2854" s="23" t="s">
        <v>5690</v>
      </c>
      <c r="C2854" s="23">
        <v>2797</v>
      </c>
      <c r="G2854"/>
      <c r="I2854" s="14" t="str">
        <f>+IFERROR(VLOOKUP(C2854,'Mov 2023 hasta ahora '!$C$2:$D$314,2,FALSE),"NO")</f>
        <v>NO</v>
      </c>
      <c r="K2854">
        <v>6</v>
      </c>
      <c r="L2854" t="s">
        <v>836</v>
      </c>
      <c r="M2854">
        <v>24</v>
      </c>
      <c r="O2854" s="29" t="s">
        <v>9001</v>
      </c>
      <c r="P2854" s="25" t="s">
        <v>8852</v>
      </c>
      <c r="Q2854" s="25">
        <v>1150</v>
      </c>
      <c r="R2854" t="s">
        <v>436</v>
      </c>
    </row>
    <row r="2855" spans="1:18" s="13" customFormat="1" hidden="1">
      <c r="A2855" s="23" t="s">
        <v>5691</v>
      </c>
      <c r="B2855" s="23" t="s">
        <v>5692</v>
      </c>
      <c r="C2855" s="23">
        <v>2798</v>
      </c>
      <c r="G2855"/>
      <c r="I2855" s="14" t="str">
        <f>+IFERROR(VLOOKUP(C2855,'Mov 2023 hasta ahora '!$C$2:$D$314,2,FALSE),"NO")</f>
        <v>NO</v>
      </c>
      <c r="K2855">
        <v>6</v>
      </c>
      <c r="L2855" t="s">
        <v>836</v>
      </c>
      <c r="M2855">
        <v>24</v>
      </c>
      <c r="O2855" s="29" t="s">
        <v>9001</v>
      </c>
      <c r="P2855" s="25" t="s">
        <v>8852</v>
      </c>
      <c r="Q2855" s="25">
        <v>1150</v>
      </c>
      <c r="R2855" t="s">
        <v>436</v>
      </c>
    </row>
    <row r="2856" spans="1:18" hidden="1">
      <c r="A2856" t="s">
        <v>5693</v>
      </c>
      <c r="B2856" t="s">
        <v>5694</v>
      </c>
      <c r="I2856" s="3" t="str">
        <f>+IFERROR(VLOOKUP(C2856,'Mov 2023 hasta ahora '!$C$2:$D$314,2,FALSE),"NO")</f>
        <v>NO</v>
      </c>
      <c r="K2856">
        <v>5</v>
      </c>
      <c r="L2856" t="s">
        <v>836</v>
      </c>
      <c r="M2856">
        <v>18</v>
      </c>
    </row>
    <row r="2857" spans="1:18" s="13" customFormat="1" hidden="1">
      <c r="A2857" s="23" t="s">
        <v>5695</v>
      </c>
      <c r="B2857" s="23" t="s">
        <v>5696</v>
      </c>
      <c r="C2857" s="23">
        <v>2799</v>
      </c>
      <c r="G2857"/>
      <c r="I2857" s="14" t="str">
        <f>+IFERROR(VLOOKUP(C2857,'Mov 2023 hasta ahora '!$C$2:$D$314,2,FALSE),"NO")</f>
        <v>NO</v>
      </c>
      <c r="K2857">
        <v>6</v>
      </c>
      <c r="L2857" t="s">
        <v>836</v>
      </c>
      <c r="M2857">
        <v>24</v>
      </c>
      <c r="O2857" s="29" t="s">
        <v>9002</v>
      </c>
      <c r="P2857" s="25" t="s">
        <v>8799</v>
      </c>
      <c r="Q2857" s="25">
        <v>1513</v>
      </c>
      <c r="R2857" t="s">
        <v>436</v>
      </c>
    </row>
    <row r="2858" spans="1:18" s="13" customFormat="1" hidden="1">
      <c r="A2858" s="23" t="s">
        <v>5697</v>
      </c>
      <c r="B2858" s="23" t="s">
        <v>5698</v>
      </c>
      <c r="C2858" s="23">
        <v>2800</v>
      </c>
      <c r="G2858"/>
      <c r="I2858" s="14" t="str">
        <f>+IFERROR(VLOOKUP(C2858,'Mov 2023 hasta ahora '!$C$2:$D$314,2,FALSE),"NO")</f>
        <v>NO</v>
      </c>
      <c r="K2858">
        <v>6</v>
      </c>
      <c r="L2858" t="s">
        <v>836</v>
      </c>
      <c r="M2858">
        <v>24</v>
      </c>
      <c r="O2858" s="29" t="s">
        <v>9003</v>
      </c>
      <c r="P2858" s="25" t="s">
        <v>8803</v>
      </c>
      <c r="Q2858" s="25">
        <v>1505</v>
      </c>
      <c r="R2858" t="s">
        <v>436</v>
      </c>
    </row>
    <row r="2859" spans="1:18" hidden="1">
      <c r="A2859" t="s">
        <v>5699</v>
      </c>
      <c r="B2859" t="s">
        <v>5700</v>
      </c>
      <c r="I2859" s="3" t="str">
        <f>+IFERROR(VLOOKUP(C2859,'Mov 2023 hasta ahora '!$C$2:$D$314,2,FALSE),"NO")</f>
        <v>NO</v>
      </c>
      <c r="K2859">
        <v>4</v>
      </c>
      <c r="L2859" t="s">
        <v>836</v>
      </c>
      <c r="M2859">
        <v>14</v>
      </c>
    </row>
    <row r="2860" spans="1:18" hidden="1">
      <c r="A2860" t="s">
        <v>5701</v>
      </c>
      <c r="B2860" t="s">
        <v>5702</v>
      </c>
      <c r="I2860" s="3" t="str">
        <f>+IFERROR(VLOOKUP(C2860,'Mov 2023 hasta ahora '!$C$2:$D$314,2,FALSE),"NO")</f>
        <v>NO</v>
      </c>
      <c r="K2860">
        <v>5</v>
      </c>
      <c r="L2860" t="s">
        <v>836</v>
      </c>
      <c r="M2860">
        <v>18</v>
      </c>
    </row>
    <row r="2861" spans="1:18" hidden="1">
      <c r="A2861" s="23" t="s">
        <v>5703</v>
      </c>
      <c r="B2861" s="23" t="s">
        <v>5704</v>
      </c>
      <c r="C2861" s="23">
        <v>2801</v>
      </c>
      <c r="I2861" s="3" t="str">
        <f>+IFERROR(VLOOKUP(C2861,'Mov 2023 hasta ahora '!$C$2:$D$314,2,FALSE),"NO")</f>
        <v>NO</v>
      </c>
      <c r="K2861">
        <v>6</v>
      </c>
      <c r="L2861" t="s">
        <v>836</v>
      </c>
      <c r="M2861">
        <v>24</v>
      </c>
      <c r="O2861" s="29" t="s">
        <v>9049</v>
      </c>
      <c r="P2861" s="25" t="s">
        <v>9050</v>
      </c>
      <c r="Q2861" s="25">
        <v>1363</v>
      </c>
      <c r="R2861" t="s">
        <v>436</v>
      </c>
    </row>
    <row r="2862" spans="1:18" hidden="1">
      <c r="A2862" s="23" t="s">
        <v>5705</v>
      </c>
      <c r="B2862" s="23" t="s">
        <v>5706</v>
      </c>
      <c r="C2862" s="23">
        <v>2802</v>
      </c>
      <c r="I2862" s="3" t="str">
        <f>+IFERROR(VLOOKUP(C2862,'Mov 2023 hasta ahora '!$C$2:$D$314,2,FALSE),"NO")</f>
        <v>NO</v>
      </c>
      <c r="K2862">
        <v>6</v>
      </c>
      <c r="L2862" t="s">
        <v>836</v>
      </c>
      <c r="M2862">
        <v>24</v>
      </c>
      <c r="O2862" s="29" t="s">
        <v>9014</v>
      </c>
      <c r="P2862" s="25" t="s">
        <v>8890</v>
      </c>
      <c r="Q2862" s="25">
        <v>1244</v>
      </c>
      <c r="R2862" t="s">
        <v>436</v>
      </c>
    </row>
    <row r="2863" spans="1:18" hidden="1">
      <c r="A2863" s="23" t="s">
        <v>5707</v>
      </c>
      <c r="B2863" s="23" t="s">
        <v>5708</v>
      </c>
      <c r="C2863" s="23">
        <v>2803</v>
      </c>
      <c r="I2863" s="3" t="str">
        <f>+IFERROR(VLOOKUP(C2863,'Mov 2023 hasta ahora '!$C$2:$D$314,2,FALSE),"NO")</f>
        <v>NO</v>
      </c>
      <c r="K2863">
        <v>6</v>
      </c>
      <c r="L2863" t="s">
        <v>836</v>
      </c>
      <c r="M2863">
        <v>24</v>
      </c>
      <c r="O2863" s="29" t="s">
        <v>9059</v>
      </c>
      <c r="P2863" s="25" t="s">
        <v>9060</v>
      </c>
      <c r="Q2863" s="25">
        <v>1534</v>
      </c>
      <c r="R2863" t="s">
        <v>436</v>
      </c>
    </row>
    <row r="2864" spans="1:18" hidden="1">
      <c r="A2864" s="23" t="s">
        <v>5709</v>
      </c>
      <c r="B2864" s="23" t="s">
        <v>5710</v>
      </c>
      <c r="C2864" s="23">
        <v>2804</v>
      </c>
      <c r="I2864" s="3" t="str">
        <f>+IFERROR(VLOOKUP(C2864,'Mov 2023 hasta ahora '!$C$2:$D$314,2,FALSE),"NO")</f>
        <v>NO</v>
      </c>
      <c r="K2864">
        <v>6</v>
      </c>
      <c r="L2864" t="s">
        <v>836</v>
      </c>
      <c r="M2864">
        <v>24</v>
      </c>
      <c r="O2864" s="29" t="s">
        <v>9030</v>
      </c>
      <c r="P2864" s="25" t="s">
        <v>9029</v>
      </c>
      <c r="Q2864" s="25">
        <v>3817</v>
      </c>
      <c r="R2864" t="s">
        <v>436</v>
      </c>
    </row>
    <row r="2865" spans="1:18" hidden="1">
      <c r="A2865" t="s">
        <v>5711</v>
      </c>
      <c r="B2865" t="s">
        <v>5712</v>
      </c>
      <c r="I2865" s="3" t="str">
        <f>+IFERROR(VLOOKUP(C2865,'Mov 2023 hasta ahora '!$C$2:$D$314,2,FALSE),"NO")</f>
        <v>NO</v>
      </c>
      <c r="K2865">
        <v>4</v>
      </c>
      <c r="L2865" t="s">
        <v>836</v>
      </c>
      <c r="M2865">
        <v>14</v>
      </c>
    </row>
    <row r="2866" spans="1:18" hidden="1">
      <c r="A2866" t="s">
        <v>5713</v>
      </c>
      <c r="B2866" t="s">
        <v>5714</v>
      </c>
      <c r="I2866" s="3" t="str">
        <f>+IFERROR(VLOOKUP(C2866,'Mov 2023 hasta ahora '!$C$2:$D$314,2,FALSE),"NO")</f>
        <v>NO</v>
      </c>
      <c r="K2866">
        <v>5</v>
      </c>
      <c r="L2866" t="s">
        <v>836</v>
      </c>
      <c r="M2866">
        <v>18</v>
      </c>
    </row>
    <row r="2867" spans="1:18" s="13" customFormat="1" hidden="1">
      <c r="A2867" s="23" t="s">
        <v>5715</v>
      </c>
      <c r="B2867" s="23" t="s">
        <v>5716</v>
      </c>
      <c r="C2867" s="23">
        <v>2793</v>
      </c>
      <c r="G2867"/>
      <c r="I2867" s="14" t="str">
        <f>+IFERROR(VLOOKUP(C2867,'Mov 2023 hasta ahora '!$C$2:$D$314,2,FALSE),"NO")</f>
        <v>NO</v>
      </c>
      <c r="K2867">
        <v>6</v>
      </c>
      <c r="L2867" t="s">
        <v>836</v>
      </c>
      <c r="M2867">
        <v>24</v>
      </c>
      <c r="O2867" s="29" t="s">
        <v>9009</v>
      </c>
      <c r="P2867" s="25" t="s">
        <v>9005</v>
      </c>
      <c r="Q2867" s="25">
        <v>1024</v>
      </c>
      <c r="R2867" t="s">
        <v>436</v>
      </c>
    </row>
    <row r="2868" spans="1:18" s="13" customFormat="1" hidden="1">
      <c r="A2868" s="23" t="s">
        <v>5717</v>
      </c>
      <c r="B2868" s="23" t="s">
        <v>5718</v>
      </c>
      <c r="C2868" s="23">
        <v>2794</v>
      </c>
      <c r="G2868"/>
      <c r="I2868" s="14" t="str">
        <f>+IFERROR(VLOOKUP(C2868,'Mov 2023 hasta ahora '!$C$2:$D$314,2,FALSE),"NO")</f>
        <v>NO</v>
      </c>
      <c r="K2868">
        <v>6</v>
      </c>
      <c r="L2868" t="s">
        <v>836</v>
      </c>
      <c r="M2868">
        <v>24</v>
      </c>
      <c r="O2868" s="29" t="s">
        <v>9010</v>
      </c>
      <c r="P2868" s="25" t="s">
        <v>9006</v>
      </c>
      <c r="Q2868" s="25">
        <v>1042</v>
      </c>
      <c r="R2868" t="s">
        <v>436</v>
      </c>
    </row>
    <row r="2869" spans="1:18" s="13" customFormat="1" hidden="1">
      <c r="A2869" s="23" t="s">
        <v>5719</v>
      </c>
      <c r="B2869" s="23" t="s">
        <v>5720</v>
      </c>
      <c r="C2869" s="23">
        <v>2795</v>
      </c>
      <c r="G2869"/>
      <c r="I2869" s="14" t="str">
        <f>+IFERROR(VLOOKUP(C2869,'Mov 2023 hasta ahora '!$C$2:$D$314,2,FALSE),"NO")</f>
        <v>NO</v>
      </c>
      <c r="K2869">
        <v>6</v>
      </c>
      <c r="L2869" t="s">
        <v>836</v>
      </c>
      <c r="M2869">
        <v>24</v>
      </c>
      <c r="O2869" s="29" t="s">
        <v>9010</v>
      </c>
      <c r="P2869" s="25" t="s">
        <v>9006</v>
      </c>
      <c r="Q2869" s="25">
        <v>1042</v>
      </c>
      <c r="R2869" t="s">
        <v>436</v>
      </c>
    </row>
    <row r="2870" spans="1:18" hidden="1">
      <c r="A2870" t="s">
        <v>5721</v>
      </c>
      <c r="B2870" t="s">
        <v>1533</v>
      </c>
      <c r="I2870" s="3" t="str">
        <f>+IFERROR(VLOOKUP(C2870,'Mov 2023 hasta ahora '!$C$2:$D$314,2,FALSE),"NO")</f>
        <v>NO</v>
      </c>
      <c r="K2870">
        <v>3</v>
      </c>
      <c r="L2870" t="s">
        <v>836</v>
      </c>
      <c r="M2870">
        <v>10</v>
      </c>
    </row>
    <row r="2871" spans="1:18" hidden="1">
      <c r="A2871" t="s">
        <v>5722</v>
      </c>
      <c r="B2871" t="s">
        <v>5723</v>
      </c>
      <c r="I2871" s="3" t="str">
        <f>+IFERROR(VLOOKUP(C2871,'Mov 2023 hasta ahora '!$C$2:$D$314,2,FALSE),"NO")</f>
        <v>NO</v>
      </c>
      <c r="K2871">
        <v>4</v>
      </c>
      <c r="L2871" t="s">
        <v>836</v>
      </c>
      <c r="M2871">
        <v>14</v>
      </c>
    </row>
    <row r="2872" spans="1:18" hidden="1">
      <c r="A2872" t="s">
        <v>5724</v>
      </c>
      <c r="B2872" t="s">
        <v>5725</v>
      </c>
      <c r="I2872" s="3" t="str">
        <f>+IFERROR(VLOOKUP(C2872,'Mov 2023 hasta ahora '!$C$2:$D$314,2,FALSE),"NO")</f>
        <v>NO</v>
      </c>
      <c r="K2872">
        <v>5</v>
      </c>
      <c r="L2872" t="s">
        <v>836</v>
      </c>
      <c r="M2872">
        <v>18</v>
      </c>
    </row>
    <row r="2873" spans="1:18" hidden="1">
      <c r="A2873" s="23" t="s">
        <v>5726</v>
      </c>
      <c r="B2873" s="23" t="s">
        <v>5727</v>
      </c>
      <c r="C2873" s="23">
        <v>2805</v>
      </c>
      <c r="I2873" s="3" t="str">
        <f>+IFERROR(VLOOKUP(C2873,'Mov 2023 hasta ahora '!$C$2:$D$314,2,FALSE),"NO")</f>
        <v>NO</v>
      </c>
      <c r="K2873">
        <v>6</v>
      </c>
      <c r="L2873" t="s">
        <v>836</v>
      </c>
      <c r="M2873">
        <v>24</v>
      </c>
      <c r="O2873" s="29" t="s">
        <v>8742</v>
      </c>
      <c r="P2873" s="25" t="s">
        <v>9063</v>
      </c>
      <c r="Q2873" s="25">
        <v>176</v>
      </c>
      <c r="R2873" t="s">
        <v>436</v>
      </c>
    </row>
    <row r="2874" spans="1:18" hidden="1">
      <c r="A2874" t="s">
        <v>5728</v>
      </c>
      <c r="B2874" t="s">
        <v>5729</v>
      </c>
      <c r="I2874" s="3" t="str">
        <f>+IFERROR(VLOOKUP(C2874,'Mov 2023 hasta ahora '!$C$2:$D$314,2,FALSE),"NO")</f>
        <v>NO</v>
      </c>
      <c r="K2874">
        <v>4</v>
      </c>
      <c r="L2874" t="s">
        <v>836</v>
      </c>
      <c r="M2874">
        <v>14</v>
      </c>
    </row>
    <row r="2875" spans="1:18" hidden="1">
      <c r="A2875" t="s">
        <v>5730</v>
      </c>
      <c r="B2875" t="s">
        <v>5731</v>
      </c>
      <c r="I2875" s="3" t="str">
        <f>+IFERROR(VLOOKUP(C2875,'Mov 2023 hasta ahora '!$C$2:$D$314,2,FALSE),"NO")</f>
        <v>NO</v>
      </c>
      <c r="K2875">
        <v>5</v>
      </c>
      <c r="L2875" t="s">
        <v>836</v>
      </c>
      <c r="M2875">
        <v>18</v>
      </c>
    </row>
    <row r="2876" spans="1:18" s="13" customFormat="1" hidden="1">
      <c r="A2876" s="23" t="s">
        <v>5732</v>
      </c>
      <c r="B2876" s="23" t="s">
        <v>5733</v>
      </c>
      <c r="C2876" s="23">
        <v>2806</v>
      </c>
      <c r="G2876"/>
      <c r="I2876" s="14" t="str">
        <f>+IFERROR(VLOOKUP(C2876,'Mov 2023 hasta ahora '!$C$2:$D$314,2,FALSE),"NO")</f>
        <v>NO</v>
      </c>
      <c r="K2876">
        <v>6</v>
      </c>
      <c r="L2876" t="s">
        <v>836</v>
      </c>
      <c r="M2876">
        <v>24</v>
      </c>
      <c r="O2876" s="29" t="s">
        <v>8746</v>
      </c>
      <c r="P2876" s="25" t="s">
        <v>9054</v>
      </c>
      <c r="Q2876" s="25">
        <v>185</v>
      </c>
      <c r="R2876" t="s">
        <v>436</v>
      </c>
    </row>
    <row r="2877" spans="1:18" s="13" customFormat="1" hidden="1">
      <c r="A2877" s="23" t="s">
        <v>5734</v>
      </c>
      <c r="B2877" s="23" t="s">
        <v>5735</v>
      </c>
      <c r="C2877" s="23">
        <v>2807</v>
      </c>
      <c r="G2877"/>
      <c r="I2877" s="14" t="str">
        <f>+IFERROR(VLOOKUP(C2877,'Mov 2023 hasta ahora '!$C$2:$D$314,2,FALSE),"NO")</f>
        <v>NO</v>
      </c>
      <c r="K2877">
        <v>6</v>
      </c>
      <c r="L2877" t="s">
        <v>836</v>
      </c>
      <c r="M2877">
        <v>24</v>
      </c>
      <c r="O2877" s="29" t="s">
        <v>8748</v>
      </c>
      <c r="P2877" s="25" t="s">
        <v>9055</v>
      </c>
      <c r="Q2877" s="25">
        <v>193</v>
      </c>
      <c r="R2877" t="s">
        <v>436</v>
      </c>
    </row>
    <row r="2878" spans="1:18" s="13" customFormat="1" hidden="1">
      <c r="A2878" s="23" t="s">
        <v>5736</v>
      </c>
      <c r="B2878" s="23" t="s">
        <v>5737</v>
      </c>
      <c r="C2878" s="23">
        <v>2808</v>
      </c>
      <c r="G2878"/>
      <c r="I2878" s="14" t="str">
        <f>+IFERROR(VLOOKUP(C2878,'Mov 2023 hasta ahora '!$C$2:$D$314,2,FALSE),"NO")</f>
        <v>NO</v>
      </c>
      <c r="K2878">
        <v>6</v>
      </c>
      <c r="L2878" t="s">
        <v>836</v>
      </c>
      <c r="M2878">
        <v>24</v>
      </c>
      <c r="O2878" s="29" t="s">
        <v>8749</v>
      </c>
      <c r="P2878" s="25" t="s">
        <v>9056</v>
      </c>
      <c r="Q2878" s="25">
        <v>202</v>
      </c>
      <c r="R2878" t="s">
        <v>436</v>
      </c>
    </row>
    <row r="2879" spans="1:18" hidden="1">
      <c r="A2879" s="23" t="s">
        <v>5738</v>
      </c>
      <c r="B2879" s="23" t="s">
        <v>5739</v>
      </c>
      <c r="C2879" s="23">
        <v>2809</v>
      </c>
      <c r="I2879" s="3" t="str">
        <f>+IFERROR(VLOOKUP(C2879,'Mov 2023 hasta ahora '!$C$2:$D$314,2,FALSE),"NO")</f>
        <v>NO</v>
      </c>
      <c r="K2879">
        <v>6</v>
      </c>
      <c r="L2879" t="s">
        <v>836</v>
      </c>
      <c r="M2879">
        <v>24</v>
      </c>
      <c r="O2879" s="29" t="s">
        <v>8750</v>
      </c>
      <c r="P2879" s="25" t="s">
        <v>8968</v>
      </c>
      <c r="Q2879" s="25">
        <v>1351</v>
      </c>
      <c r="R2879" t="s">
        <v>436</v>
      </c>
    </row>
    <row r="2880" spans="1:18" hidden="1">
      <c r="A2880" t="s">
        <v>5740</v>
      </c>
      <c r="B2880" t="s">
        <v>5741</v>
      </c>
      <c r="I2880" s="3" t="str">
        <f>+IFERROR(VLOOKUP(C2880,'Mov 2023 hasta ahora '!$C$2:$D$314,2,FALSE),"NO")</f>
        <v>NO</v>
      </c>
      <c r="K2880">
        <v>4</v>
      </c>
      <c r="L2880" t="s">
        <v>836</v>
      </c>
      <c r="M2880">
        <v>14</v>
      </c>
    </row>
    <row r="2881" spans="1:18" hidden="1">
      <c r="A2881" t="s">
        <v>5742</v>
      </c>
      <c r="B2881" t="s">
        <v>5743</v>
      </c>
      <c r="I2881" s="3" t="str">
        <f>+IFERROR(VLOOKUP(C2881,'Mov 2023 hasta ahora '!$C$2:$D$314,2,FALSE),"NO")</f>
        <v>NO</v>
      </c>
      <c r="K2881">
        <v>5</v>
      </c>
      <c r="L2881" t="s">
        <v>836</v>
      </c>
      <c r="M2881">
        <v>18</v>
      </c>
    </row>
    <row r="2882" spans="1:18" hidden="1">
      <c r="A2882" s="23" t="s">
        <v>5744</v>
      </c>
      <c r="B2882" s="23" t="s">
        <v>5745</v>
      </c>
      <c r="C2882" s="23">
        <v>2810</v>
      </c>
      <c r="I2882" s="3" t="str">
        <f>+IFERROR(VLOOKUP(C2882,'Mov 2023 hasta ahora '!$C$2:$D$314,2,FALSE),"NO")</f>
        <v>NO</v>
      </c>
      <c r="K2882">
        <v>6</v>
      </c>
      <c r="L2882" t="s">
        <v>836</v>
      </c>
      <c r="M2882">
        <v>24</v>
      </c>
      <c r="O2882" s="29" t="s">
        <v>9013</v>
      </c>
      <c r="P2882" s="25" t="s">
        <v>8756</v>
      </c>
      <c r="Q2882" s="25">
        <v>212</v>
      </c>
      <c r="R2882" t="s">
        <v>436</v>
      </c>
    </row>
    <row r="2883" spans="1:18" hidden="1">
      <c r="A2883" t="s">
        <v>5746</v>
      </c>
      <c r="B2883" t="s">
        <v>5747</v>
      </c>
      <c r="I2883" s="3" t="str">
        <f>+IFERROR(VLOOKUP(C2883,'Mov 2023 hasta ahora '!$C$2:$D$314,2,FALSE),"NO")</f>
        <v>NO</v>
      </c>
      <c r="K2883">
        <v>4</v>
      </c>
      <c r="L2883" t="s">
        <v>836</v>
      </c>
      <c r="M2883">
        <v>14</v>
      </c>
    </row>
    <row r="2884" spans="1:18" hidden="1">
      <c r="A2884" t="s">
        <v>5748</v>
      </c>
      <c r="B2884" t="s">
        <v>5749</v>
      </c>
      <c r="I2884" s="3" t="str">
        <f>+IFERROR(VLOOKUP(C2884,'Mov 2023 hasta ahora '!$C$2:$D$314,2,FALSE),"NO")</f>
        <v>NO</v>
      </c>
      <c r="K2884">
        <v>5</v>
      </c>
      <c r="L2884" t="s">
        <v>836</v>
      </c>
      <c r="M2884">
        <v>18</v>
      </c>
    </row>
    <row r="2885" spans="1:18" s="15" customFormat="1" hidden="1">
      <c r="A2885" s="23" t="s">
        <v>5750</v>
      </c>
      <c r="B2885" s="23" t="s">
        <v>5751</v>
      </c>
      <c r="C2885" s="23">
        <v>2811</v>
      </c>
      <c r="G2885"/>
      <c r="I2885" s="16" t="str">
        <f>+IFERROR(VLOOKUP(C2885,'Mov 2023 hasta ahora '!$C$2:$D$314,2,FALSE),"NO")</f>
        <v>NO</v>
      </c>
      <c r="K2885">
        <v>6</v>
      </c>
      <c r="L2885" t="s">
        <v>836</v>
      </c>
      <c r="M2885">
        <v>24</v>
      </c>
      <c r="O2885" s="29" t="s">
        <v>8793</v>
      </c>
      <c r="P2885" s="25" t="s">
        <v>8975</v>
      </c>
      <c r="Q2885" s="25">
        <v>1616</v>
      </c>
      <c r="R2885" t="s">
        <v>436</v>
      </c>
    </row>
    <row r="2886" spans="1:18" s="15" customFormat="1" hidden="1">
      <c r="A2886" s="23" t="s">
        <v>5752</v>
      </c>
      <c r="B2886" s="23" t="s">
        <v>5753</v>
      </c>
      <c r="C2886" s="23">
        <v>2812</v>
      </c>
      <c r="G2886"/>
      <c r="I2886" s="16" t="str">
        <f>+IFERROR(VLOOKUP(C2886,'Mov 2023 hasta ahora '!$C$2:$D$314,2,FALSE),"NO")</f>
        <v>NO</v>
      </c>
      <c r="K2886">
        <v>6</v>
      </c>
      <c r="L2886" t="s">
        <v>836</v>
      </c>
      <c r="M2886">
        <v>24</v>
      </c>
      <c r="O2886" s="29" t="s">
        <v>8793</v>
      </c>
      <c r="P2886" s="25" t="s">
        <v>8975</v>
      </c>
      <c r="Q2886" s="25">
        <v>1616</v>
      </c>
      <c r="R2886" t="s">
        <v>436</v>
      </c>
    </row>
    <row r="2887" spans="1:18" hidden="1">
      <c r="A2887" t="s">
        <v>5754</v>
      </c>
      <c r="B2887" t="s">
        <v>5755</v>
      </c>
      <c r="I2887" s="3" t="str">
        <f>+IFERROR(VLOOKUP(C2887,'Mov 2023 hasta ahora '!$C$2:$D$314,2,FALSE),"NO")</f>
        <v>NO</v>
      </c>
      <c r="K2887">
        <v>4</v>
      </c>
      <c r="L2887" t="s">
        <v>836</v>
      </c>
      <c r="M2887">
        <v>14</v>
      </c>
    </row>
    <row r="2888" spans="1:18" hidden="1">
      <c r="A2888" t="s">
        <v>5756</v>
      </c>
      <c r="B2888" t="s">
        <v>5757</v>
      </c>
      <c r="I2888" s="3" t="str">
        <f>+IFERROR(VLOOKUP(C2888,'Mov 2023 hasta ahora '!$C$2:$D$314,2,FALSE),"NO")</f>
        <v>NO</v>
      </c>
      <c r="K2888">
        <v>5</v>
      </c>
      <c r="L2888" t="s">
        <v>836</v>
      </c>
      <c r="M2888">
        <v>18</v>
      </c>
    </row>
    <row r="2889" spans="1:18" s="13" customFormat="1" hidden="1">
      <c r="A2889" s="23" t="s">
        <v>5758</v>
      </c>
      <c r="B2889" s="23" t="s">
        <v>5759</v>
      </c>
      <c r="C2889" s="23">
        <v>2813</v>
      </c>
      <c r="G2889"/>
      <c r="I2889" s="14" t="str">
        <f>+IFERROR(VLOOKUP(C2889,'Mov 2023 hasta ahora '!$C$2:$D$314,2,FALSE),"NO")</f>
        <v>NO</v>
      </c>
      <c r="K2889">
        <v>6</v>
      </c>
      <c r="L2889" t="s">
        <v>836</v>
      </c>
      <c r="M2889">
        <v>24</v>
      </c>
      <c r="O2889" s="29" t="s">
        <v>8857</v>
      </c>
      <c r="P2889" s="25" t="s">
        <v>8980</v>
      </c>
      <c r="Q2889" s="25">
        <v>2178</v>
      </c>
      <c r="R2889" t="s">
        <v>436</v>
      </c>
    </row>
    <row r="2890" spans="1:18" s="13" customFormat="1" hidden="1">
      <c r="A2890" s="23" t="s">
        <v>5760</v>
      </c>
      <c r="B2890" s="23" t="s">
        <v>5761</v>
      </c>
      <c r="C2890" s="23">
        <v>2814</v>
      </c>
      <c r="G2890"/>
      <c r="I2890" s="14" t="str">
        <f>+IFERROR(VLOOKUP(C2890,'Mov 2023 hasta ahora '!$C$2:$D$314,2,FALSE),"NO")</f>
        <v>NO</v>
      </c>
      <c r="K2890">
        <v>6</v>
      </c>
      <c r="L2890" t="s">
        <v>836</v>
      </c>
      <c r="M2890">
        <v>24</v>
      </c>
      <c r="O2890" s="29" t="s">
        <v>8846</v>
      </c>
      <c r="P2890" s="25" t="s">
        <v>8981</v>
      </c>
      <c r="Q2890" s="25">
        <v>2179</v>
      </c>
      <c r="R2890" t="s">
        <v>436</v>
      </c>
    </row>
    <row r="2891" spans="1:18" s="13" customFormat="1" hidden="1">
      <c r="A2891" s="23" t="s">
        <v>5762</v>
      </c>
      <c r="B2891" s="23" t="s">
        <v>5763</v>
      </c>
      <c r="C2891" s="23">
        <v>2815</v>
      </c>
      <c r="G2891"/>
      <c r="I2891" s="14" t="str">
        <f>+IFERROR(VLOOKUP(C2891,'Mov 2023 hasta ahora '!$C$2:$D$314,2,FALSE),"NO")</f>
        <v>NO</v>
      </c>
      <c r="K2891">
        <v>6</v>
      </c>
      <c r="L2891" t="s">
        <v>836</v>
      </c>
      <c r="M2891">
        <v>24</v>
      </c>
      <c r="O2891" s="29" t="s">
        <v>8846</v>
      </c>
      <c r="P2891" s="25" t="s">
        <v>8981</v>
      </c>
      <c r="Q2891" s="25">
        <v>2179</v>
      </c>
      <c r="R2891" t="s">
        <v>436</v>
      </c>
    </row>
    <row r="2892" spans="1:18" s="13" customFormat="1" hidden="1">
      <c r="A2892" s="23" t="s">
        <v>5764</v>
      </c>
      <c r="B2892" s="23" t="s">
        <v>5765</v>
      </c>
      <c r="C2892" s="23">
        <v>2816</v>
      </c>
      <c r="G2892"/>
      <c r="I2892" s="14" t="str">
        <f>+IFERROR(VLOOKUP(C2892,'Mov 2023 hasta ahora '!$C$2:$D$314,2,FALSE),"NO")</f>
        <v>NO</v>
      </c>
      <c r="K2892">
        <v>6</v>
      </c>
      <c r="L2892" t="s">
        <v>836</v>
      </c>
      <c r="M2892">
        <v>24</v>
      </c>
      <c r="O2892" s="29" t="s">
        <v>8794</v>
      </c>
      <c r="P2892" s="25" t="s">
        <v>8982</v>
      </c>
      <c r="Q2892" s="25">
        <v>1441</v>
      </c>
      <c r="R2892" t="s">
        <v>436</v>
      </c>
    </row>
    <row r="2893" spans="1:18" s="13" customFormat="1" hidden="1">
      <c r="A2893" s="23" t="s">
        <v>5766</v>
      </c>
      <c r="B2893" s="23" t="s">
        <v>5767</v>
      </c>
      <c r="C2893" s="23">
        <v>2817</v>
      </c>
      <c r="G2893"/>
      <c r="I2893" s="14" t="str">
        <f>+IFERROR(VLOOKUP(C2893,'Mov 2023 hasta ahora '!$C$2:$D$314,2,FALSE),"NO")</f>
        <v>NO</v>
      </c>
      <c r="K2893">
        <v>6</v>
      </c>
      <c r="L2893" t="s">
        <v>836</v>
      </c>
      <c r="M2893">
        <v>24</v>
      </c>
      <c r="O2893" s="29" t="s">
        <v>8809</v>
      </c>
      <c r="P2893" s="25" t="s">
        <v>8983</v>
      </c>
      <c r="Q2893" s="25">
        <v>1448</v>
      </c>
      <c r="R2893" t="s">
        <v>436</v>
      </c>
    </row>
    <row r="2894" spans="1:18" hidden="1">
      <c r="A2894" s="23" t="s">
        <v>5768</v>
      </c>
      <c r="B2894" s="23" t="s">
        <v>5769</v>
      </c>
      <c r="C2894" s="23">
        <v>2877</v>
      </c>
      <c r="I2894" s="3" t="str">
        <f>+IFERROR(VLOOKUP(C2894,'Mov 2023 hasta ahora '!$C$2:$D$314,2,FALSE),"NO")</f>
        <v>NO</v>
      </c>
      <c r="K2894">
        <v>6</v>
      </c>
      <c r="L2894" t="s">
        <v>836</v>
      </c>
      <c r="M2894">
        <v>24</v>
      </c>
      <c r="O2894" s="29" t="s">
        <v>9030</v>
      </c>
      <c r="P2894" s="25" t="s">
        <v>9029</v>
      </c>
      <c r="Q2894" s="25">
        <v>3817</v>
      </c>
      <c r="R2894" t="s">
        <v>436</v>
      </c>
    </row>
    <row r="2895" spans="1:18" s="13" customFormat="1" hidden="1">
      <c r="A2895" s="23" t="s">
        <v>5770</v>
      </c>
      <c r="B2895" s="23" t="s">
        <v>5771</v>
      </c>
      <c r="C2895" s="23">
        <v>2874</v>
      </c>
      <c r="G2895"/>
      <c r="I2895" s="14" t="str">
        <f>+IFERROR(VLOOKUP(C2895,'Mov 2023 hasta ahora '!$C$2:$D$314,2,FALSE),"NO")</f>
        <v>NO</v>
      </c>
      <c r="K2895">
        <v>6</v>
      </c>
      <c r="L2895" t="s">
        <v>836</v>
      </c>
      <c r="M2895">
        <v>24</v>
      </c>
      <c r="O2895" s="29" t="s">
        <v>8827</v>
      </c>
      <c r="P2895" s="25" t="s">
        <v>8984</v>
      </c>
      <c r="Q2895" s="25">
        <v>1826</v>
      </c>
      <c r="R2895" t="s">
        <v>436</v>
      </c>
    </row>
    <row r="2896" spans="1:18" s="13" customFormat="1" hidden="1">
      <c r="A2896" s="23" t="s">
        <v>5772</v>
      </c>
      <c r="B2896" s="23" t="s">
        <v>5773</v>
      </c>
      <c r="C2896" s="23">
        <v>2875</v>
      </c>
      <c r="G2896"/>
      <c r="I2896" s="14" t="str">
        <f>+IFERROR(VLOOKUP(C2896,'Mov 2023 hasta ahora '!$C$2:$D$314,2,FALSE),"NO")</f>
        <v>NO</v>
      </c>
      <c r="K2896">
        <v>6</v>
      </c>
      <c r="L2896" t="s">
        <v>836</v>
      </c>
      <c r="M2896">
        <v>24</v>
      </c>
      <c r="O2896" s="29" t="s">
        <v>8834</v>
      </c>
      <c r="P2896" s="25" t="s">
        <v>8985</v>
      </c>
      <c r="Q2896" s="25">
        <v>2871</v>
      </c>
      <c r="R2896" t="s">
        <v>436</v>
      </c>
    </row>
    <row r="2897" spans="1:18" hidden="1">
      <c r="A2897" t="s">
        <v>5774</v>
      </c>
      <c r="B2897" t="s">
        <v>5775</v>
      </c>
      <c r="I2897" s="3" t="str">
        <f>+IFERROR(VLOOKUP(C2897,'Mov 2023 hasta ahora '!$C$2:$D$314,2,FALSE),"NO")</f>
        <v>NO</v>
      </c>
      <c r="K2897">
        <v>4</v>
      </c>
      <c r="L2897" t="s">
        <v>836</v>
      </c>
      <c r="M2897">
        <v>14</v>
      </c>
    </row>
    <row r="2898" spans="1:18" hidden="1">
      <c r="A2898" t="s">
        <v>5776</v>
      </c>
      <c r="B2898" t="s">
        <v>5777</v>
      </c>
      <c r="I2898" s="3" t="str">
        <f>+IFERROR(VLOOKUP(C2898,'Mov 2023 hasta ahora '!$C$2:$D$314,2,FALSE),"NO")</f>
        <v>NO</v>
      </c>
      <c r="K2898">
        <v>5</v>
      </c>
      <c r="L2898" t="s">
        <v>836</v>
      </c>
      <c r="M2898">
        <v>18</v>
      </c>
    </row>
    <row r="2899" spans="1:18" hidden="1">
      <c r="A2899" s="23" t="s">
        <v>5778</v>
      </c>
      <c r="B2899" s="23" t="s">
        <v>5779</v>
      </c>
      <c r="C2899" s="23">
        <v>2818</v>
      </c>
      <c r="I2899" s="3" t="str">
        <f>+IFERROR(VLOOKUP(C2899,'Mov 2023 hasta ahora '!$C$2:$D$314,2,FALSE),"NO")</f>
        <v>NO</v>
      </c>
      <c r="K2899">
        <v>6</v>
      </c>
      <c r="L2899" t="s">
        <v>836</v>
      </c>
      <c r="M2899">
        <v>24</v>
      </c>
      <c r="O2899" s="29" t="s">
        <v>9049</v>
      </c>
      <c r="P2899" s="25" t="s">
        <v>9050</v>
      </c>
      <c r="Q2899" s="25">
        <v>1363</v>
      </c>
      <c r="R2899" t="s">
        <v>436</v>
      </c>
    </row>
    <row r="2900" spans="1:18" hidden="1">
      <c r="A2900" s="23" t="s">
        <v>5780</v>
      </c>
      <c r="B2900" s="23" t="s">
        <v>5781</v>
      </c>
      <c r="C2900" s="23">
        <v>2819</v>
      </c>
      <c r="I2900" s="3" t="str">
        <f>+IFERROR(VLOOKUP(C2900,'Mov 2023 hasta ahora '!$C$2:$D$314,2,FALSE),"NO")</f>
        <v>NO</v>
      </c>
      <c r="K2900">
        <v>6</v>
      </c>
      <c r="L2900" t="s">
        <v>836</v>
      </c>
      <c r="M2900">
        <v>24</v>
      </c>
      <c r="O2900" s="29" t="s">
        <v>9014</v>
      </c>
      <c r="P2900" s="25" t="s">
        <v>8890</v>
      </c>
      <c r="Q2900" s="25">
        <v>1244</v>
      </c>
      <c r="R2900" t="s">
        <v>436</v>
      </c>
    </row>
    <row r="2901" spans="1:18" hidden="1">
      <c r="A2901" s="23" t="s">
        <v>5782</v>
      </c>
      <c r="B2901" s="23" t="s">
        <v>5783</v>
      </c>
      <c r="C2901" s="23">
        <v>2820</v>
      </c>
      <c r="I2901" s="3" t="str">
        <f>+IFERROR(VLOOKUP(C2901,'Mov 2023 hasta ahora '!$C$2:$D$314,2,FALSE),"NO")</f>
        <v>NO</v>
      </c>
      <c r="K2901">
        <v>6</v>
      </c>
      <c r="L2901" t="s">
        <v>836</v>
      </c>
      <c r="M2901">
        <v>24</v>
      </c>
      <c r="O2901" s="29" t="s">
        <v>9059</v>
      </c>
      <c r="P2901" s="25" t="s">
        <v>9060</v>
      </c>
      <c r="Q2901" s="25">
        <v>1534</v>
      </c>
      <c r="R2901" t="s">
        <v>436</v>
      </c>
    </row>
    <row r="2902" spans="1:18" hidden="1">
      <c r="A2902" s="23" t="s">
        <v>5784</v>
      </c>
      <c r="B2902" s="23" t="s">
        <v>5785</v>
      </c>
      <c r="C2902" s="23">
        <v>2821</v>
      </c>
      <c r="I2902" s="3" t="str">
        <f>+IFERROR(VLOOKUP(C2902,'Mov 2023 hasta ahora '!$C$2:$D$314,2,FALSE),"NO")</f>
        <v>NO</v>
      </c>
      <c r="K2902">
        <v>6</v>
      </c>
      <c r="L2902" t="s">
        <v>836</v>
      </c>
      <c r="M2902">
        <v>24</v>
      </c>
      <c r="O2902" s="29" t="s">
        <v>9030</v>
      </c>
      <c r="P2902" s="25" t="s">
        <v>9029</v>
      </c>
      <c r="Q2902" s="25">
        <v>3817</v>
      </c>
      <c r="R2902" t="s">
        <v>436</v>
      </c>
    </row>
    <row r="2903" spans="1:18" hidden="1">
      <c r="A2903" t="s">
        <v>5786</v>
      </c>
      <c r="B2903" t="s">
        <v>5787</v>
      </c>
      <c r="I2903" s="3" t="str">
        <f>+IFERROR(VLOOKUP(C2903,'Mov 2023 hasta ahora '!$C$2:$D$314,2,FALSE),"NO")</f>
        <v>NO</v>
      </c>
      <c r="K2903">
        <v>3</v>
      </c>
      <c r="L2903" t="s">
        <v>836</v>
      </c>
      <c r="M2903">
        <v>10</v>
      </c>
    </row>
    <row r="2904" spans="1:18" hidden="1">
      <c r="A2904" t="s">
        <v>5788</v>
      </c>
      <c r="B2904" t="s">
        <v>5789</v>
      </c>
      <c r="I2904" s="3" t="str">
        <f>+IFERROR(VLOOKUP(C2904,'Mov 2023 hasta ahora '!$C$2:$D$314,2,FALSE),"NO")</f>
        <v>NO</v>
      </c>
      <c r="K2904">
        <v>4</v>
      </c>
      <c r="L2904" t="s">
        <v>836</v>
      </c>
      <c r="M2904">
        <v>14</v>
      </c>
    </row>
    <row r="2905" spans="1:18" hidden="1">
      <c r="A2905" t="s">
        <v>5790</v>
      </c>
      <c r="B2905" t="s">
        <v>5791</v>
      </c>
      <c r="I2905" s="3" t="str">
        <f>+IFERROR(VLOOKUP(C2905,'Mov 2023 hasta ahora '!$C$2:$D$314,2,FALSE),"NO")</f>
        <v>NO</v>
      </c>
      <c r="K2905">
        <v>5</v>
      </c>
      <c r="L2905" t="s">
        <v>836</v>
      </c>
      <c r="M2905">
        <v>18</v>
      </c>
    </row>
    <row r="2906" spans="1:18" s="13" customFormat="1" hidden="1">
      <c r="A2906" s="23" t="s">
        <v>5792</v>
      </c>
      <c r="B2906" s="23" t="s">
        <v>5793</v>
      </c>
      <c r="C2906" s="23">
        <v>1419</v>
      </c>
      <c r="D2906" s="13" t="s">
        <v>436</v>
      </c>
      <c r="G2906"/>
      <c r="I2906" s="14">
        <f>+IFERROR(VLOOKUP(C2906,'Mov 2023 hasta ahora '!$C$2:$D$314,2,FALSE),"NO")</f>
        <v>818</v>
      </c>
      <c r="K2906">
        <v>6</v>
      </c>
      <c r="L2906" t="s">
        <v>836</v>
      </c>
      <c r="M2906">
        <v>24</v>
      </c>
      <c r="O2906" s="29" t="s">
        <v>8861</v>
      </c>
      <c r="P2906" s="25" t="s">
        <v>8868</v>
      </c>
      <c r="Q2906" s="25">
        <v>1419</v>
      </c>
      <c r="R2906" t="s">
        <v>436</v>
      </c>
    </row>
    <row r="2907" spans="1:18" s="13" customFormat="1" hidden="1">
      <c r="A2907" s="23" t="s">
        <v>5794</v>
      </c>
      <c r="B2907" s="23" t="s">
        <v>5795</v>
      </c>
      <c r="C2907" s="23">
        <v>1420</v>
      </c>
      <c r="D2907" s="13" t="s">
        <v>436</v>
      </c>
      <c r="G2907"/>
      <c r="I2907" s="14">
        <f>+IFERROR(VLOOKUP(C2907,'Mov 2023 hasta ahora '!$C$2:$D$314,2,FALSE),"NO")</f>
        <v>2048</v>
      </c>
      <c r="K2907">
        <v>6</v>
      </c>
      <c r="L2907" t="s">
        <v>836</v>
      </c>
      <c r="M2907">
        <v>24</v>
      </c>
      <c r="O2907" s="29" t="s">
        <v>8850</v>
      </c>
      <c r="P2907" s="25" t="s">
        <v>8854</v>
      </c>
      <c r="Q2907" s="25">
        <v>1420</v>
      </c>
      <c r="R2907" t="s">
        <v>436</v>
      </c>
    </row>
    <row r="2908" spans="1:18" hidden="1">
      <c r="A2908" s="23" t="s">
        <v>5796</v>
      </c>
      <c r="B2908" s="23" t="s">
        <v>5797</v>
      </c>
      <c r="C2908" s="23">
        <v>2278</v>
      </c>
      <c r="I2908" s="3" t="str">
        <f>+IFERROR(VLOOKUP(C2908,'Mov 2023 hasta ahora '!$C$2:$D$314,2,FALSE),"NO")</f>
        <v>NO</v>
      </c>
      <c r="K2908">
        <v>6</v>
      </c>
      <c r="L2908" t="s">
        <v>836</v>
      </c>
      <c r="M2908">
        <v>24</v>
      </c>
      <c r="O2908" s="29" t="s">
        <v>9049</v>
      </c>
      <c r="P2908" s="25" t="s">
        <v>9050</v>
      </c>
      <c r="Q2908" s="25">
        <v>1363</v>
      </c>
      <c r="R2908" t="s">
        <v>436</v>
      </c>
    </row>
    <row r="2909" spans="1:18" s="13" customFormat="1" hidden="1">
      <c r="A2909" s="23" t="s">
        <v>5798</v>
      </c>
      <c r="B2909" s="23" t="s">
        <v>5799</v>
      </c>
      <c r="C2909" s="23">
        <v>1421</v>
      </c>
      <c r="D2909" s="13" t="s">
        <v>436</v>
      </c>
      <c r="G2909"/>
      <c r="I2909" s="14">
        <f>+IFERROR(VLOOKUP(C2909,'Mov 2023 hasta ahora '!$C$2:$D$314,2,FALSE),"NO")</f>
        <v>934</v>
      </c>
      <c r="K2909">
        <v>6</v>
      </c>
      <c r="L2909" t="s">
        <v>836</v>
      </c>
      <c r="M2909">
        <v>24</v>
      </c>
      <c r="O2909" s="29" t="s">
        <v>8797</v>
      </c>
      <c r="P2909" s="25" t="s">
        <v>8801</v>
      </c>
      <c r="Q2909" s="25">
        <v>1421</v>
      </c>
      <c r="R2909" t="s">
        <v>436</v>
      </c>
    </row>
    <row r="2910" spans="1:18" s="13" customFormat="1" hidden="1">
      <c r="A2910" s="23" t="s">
        <v>5800</v>
      </c>
      <c r="B2910" s="23" t="s">
        <v>5801</v>
      </c>
      <c r="C2910" s="23">
        <v>1422</v>
      </c>
      <c r="D2910" s="13" t="s">
        <v>436</v>
      </c>
      <c r="G2910"/>
      <c r="I2910" s="14">
        <f>+IFERROR(VLOOKUP(C2910,'Mov 2023 hasta ahora '!$C$2:$D$314,2,FALSE),"NO")</f>
        <v>1109</v>
      </c>
      <c r="K2910">
        <v>6</v>
      </c>
      <c r="L2910" t="s">
        <v>836</v>
      </c>
      <c r="M2910">
        <v>24</v>
      </c>
      <c r="O2910" s="29" t="s">
        <v>8807</v>
      </c>
      <c r="P2910" s="25" t="s">
        <v>8811</v>
      </c>
      <c r="Q2910" s="25">
        <v>1422</v>
      </c>
      <c r="R2910" t="s">
        <v>436</v>
      </c>
    </row>
    <row r="2911" spans="1:18" hidden="1">
      <c r="A2911" s="23" t="s">
        <v>5802</v>
      </c>
      <c r="B2911" s="23" t="s">
        <v>5803</v>
      </c>
      <c r="C2911" s="23">
        <v>3602</v>
      </c>
      <c r="D2911" t="s">
        <v>436</v>
      </c>
      <c r="I2911" s="3">
        <f>+IFERROR(VLOOKUP(C2911,'Mov 2023 hasta ahora '!$C$2:$D$314,2,FALSE),"NO")</f>
        <v>1</v>
      </c>
      <c r="K2911">
        <v>6</v>
      </c>
      <c r="L2911" t="s">
        <v>836</v>
      </c>
      <c r="M2911">
        <v>24</v>
      </c>
      <c r="O2911" s="29" t="s">
        <v>8797</v>
      </c>
      <c r="P2911" s="25" t="s">
        <v>8801</v>
      </c>
      <c r="Q2911" s="25">
        <v>1421</v>
      </c>
      <c r="R2911" t="s">
        <v>436</v>
      </c>
    </row>
    <row r="2912" spans="1:18" hidden="1">
      <c r="A2912" s="23" t="s">
        <v>5804</v>
      </c>
      <c r="B2912" s="23" t="s">
        <v>5805</v>
      </c>
      <c r="C2912" s="23">
        <v>1423</v>
      </c>
      <c r="D2912" t="s">
        <v>436</v>
      </c>
      <c r="I2912" s="3" t="str">
        <f>+IFERROR(VLOOKUP(C2912,'Mov 2023 hasta ahora '!$C$2:$D$314,2,FALSE),"NO")</f>
        <v>NO</v>
      </c>
      <c r="K2912">
        <v>6</v>
      </c>
      <c r="L2912" t="s">
        <v>836</v>
      </c>
      <c r="M2912">
        <v>24</v>
      </c>
      <c r="O2912" s="29" t="s">
        <v>8742</v>
      </c>
      <c r="P2912" s="25" t="s">
        <v>9063</v>
      </c>
      <c r="Q2912" s="25">
        <v>176</v>
      </c>
      <c r="R2912" t="s">
        <v>436</v>
      </c>
    </row>
    <row r="2913" spans="1:18" hidden="1">
      <c r="A2913" s="23" t="s">
        <v>5806</v>
      </c>
      <c r="B2913" s="23" t="s">
        <v>5807</v>
      </c>
      <c r="C2913" s="23">
        <v>1555</v>
      </c>
      <c r="D2913" t="s">
        <v>436</v>
      </c>
      <c r="I2913" s="3" t="str">
        <f>+IFERROR(VLOOKUP(C2913,'Mov 2023 hasta ahora '!$C$2:$D$314,2,FALSE),"NO")</f>
        <v>NO</v>
      </c>
      <c r="K2913">
        <v>6</v>
      </c>
      <c r="L2913" t="s">
        <v>836</v>
      </c>
      <c r="M2913">
        <v>24</v>
      </c>
      <c r="O2913" s="29" t="s">
        <v>9030</v>
      </c>
      <c r="P2913" s="25" t="s">
        <v>9029</v>
      </c>
      <c r="Q2913" s="25">
        <v>3817</v>
      </c>
      <c r="R2913" t="s">
        <v>436</v>
      </c>
    </row>
    <row r="2914" spans="1:18" s="13" customFormat="1" hidden="1">
      <c r="A2914" s="23" t="s">
        <v>5808</v>
      </c>
      <c r="B2914" s="23" t="s">
        <v>5809</v>
      </c>
      <c r="C2914" s="23">
        <v>3601</v>
      </c>
      <c r="D2914" s="13" t="s">
        <v>436</v>
      </c>
      <c r="G2914"/>
      <c r="I2914" s="14">
        <f>+IFERROR(VLOOKUP(C2914,'Mov 2023 hasta ahora '!$C$2:$D$314,2,FALSE),"NO")</f>
        <v>309</v>
      </c>
      <c r="K2914">
        <v>6</v>
      </c>
      <c r="L2914" t="s">
        <v>836</v>
      </c>
      <c r="M2914">
        <v>24</v>
      </c>
      <c r="O2914" s="29" t="s">
        <v>8825</v>
      </c>
      <c r="P2914" s="25" t="s">
        <v>8832</v>
      </c>
      <c r="Q2914" s="25">
        <v>3601</v>
      </c>
      <c r="R2914" t="s">
        <v>436</v>
      </c>
    </row>
    <row r="2915" spans="1:18" s="13" customFormat="1" hidden="1">
      <c r="A2915" s="23" t="s">
        <v>5810</v>
      </c>
      <c r="B2915" s="23" t="s">
        <v>5811</v>
      </c>
      <c r="C2915" s="23">
        <v>3603</v>
      </c>
      <c r="D2915" s="13" t="s">
        <v>436</v>
      </c>
      <c r="G2915"/>
      <c r="I2915" s="14">
        <f>+IFERROR(VLOOKUP(C2915,'Mov 2023 hasta ahora '!$C$2:$D$314,2,FALSE),"NO")</f>
        <v>310</v>
      </c>
      <c r="K2915">
        <v>6</v>
      </c>
      <c r="L2915" t="s">
        <v>836</v>
      </c>
      <c r="M2915">
        <v>24</v>
      </c>
      <c r="O2915" s="29" t="s">
        <v>8992</v>
      </c>
      <c r="P2915" s="25" t="s">
        <v>8836</v>
      </c>
      <c r="Q2915" s="25">
        <v>3603</v>
      </c>
      <c r="R2915" t="s">
        <v>436</v>
      </c>
    </row>
    <row r="2916" spans="1:18" hidden="1">
      <c r="A2916" s="23" t="s">
        <v>5812</v>
      </c>
      <c r="B2916" s="23" t="s">
        <v>5813</v>
      </c>
      <c r="C2916" s="23">
        <v>3817</v>
      </c>
      <c r="D2916" t="s">
        <v>436</v>
      </c>
      <c r="I2916" s="3">
        <f>+IFERROR(VLOOKUP(C2916,'Mov 2023 hasta ahora '!$C$2:$D$314,2,FALSE),"NO")</f>
        <v>1084</v>
      </c>
      <c r="K2916">
        <v>6</v>
      </c>
      <c r="L2916" t="s">
        <v>836</v>
      </c>
      <c r="M2916">
        <v>24</v>
      </c>
      <c r="O2916" s="29" t="s">
        <v>9030</v>
      </c>
      <c r="P2916" s="25" t="s">
        <v>9029</v>
      </c>
      <c r="Q2916" s="25">
        <v>3817</v>
      </c>
      <c r="R2916" t="s">
        <v>436</v>
      </c>
    </row>
    <row r="2917" spans="1:18" hidden="1">
      <c r="A2917" t="s">
        <v>5814</v>
      </c>
      <c r="B2917" t="s">
        <v>1565</v>
      </c>
      <c r="I2917" s="3" t="str">
        <f>+IFERROR(VLOOKUP(C2917,'Mov 2023 hasta ahora '!$C$2:$D$314,2,FALSE),"NO")</f>
        <v>NO</v>
      </c>
      <c r="K2917">
        <v>3</v>
      </c>
      <c r="L2917" t="s">
        <v>836</v>
      </c>
      <c r="M2917">
        <v>10</v>
      </c>
    </row>
    <row r="2918" spans="1:18" hidden="1">
      <c r="A2918" t="s">
        <v>5815</v>
      </c>
      <c r="B2918" t="s">
        <v>5816</v>
      </c>
      <c r="I2918" s="3" t="str">
        <f>+IFERROR(VLOOKUP(C2918,'Mov 2023 hasta ahora '!$C$2:$D$314,2,FALSE),"NO")</f>
        <v>NO</v>
      </c>
      <c r="K2918">
        <v>4</v>
      </c>
      <c r="L2918" t="s">
        <v>836</v>
      </c>
      <c r="M2918">
        <v>14</v>
      </c>
    </row>
    <row r="2919" spans="1:18" hidden="1">
      <c r="A2919" t="s">
        <v>5817</v>
      </c>
      <c r="B2919" t="s">
        <v>5818</v>
      </c>
      <c r="I2919" s="3" t="str">
        <f>+IFERROR(VLOOKUP(C2919,'Mov 2023 hasta ahora '!$C$2:$D$314,2,FALSE),"NO")</f>
        <v>NO</v>
      </c>
      <c r="K2919">
        <v>5</v>
      </c>
      <c r="L2919" t="s">
        <v>836</v>
      </c>
      <c r="M2919">
        <v>18</v>
      </c>
    </row>
    <row r="2920" spans="1:18" hidden="1">
      <c r="A2920" s="23" t="s">
        <v>5819</v>
      </c>
      <c r="B2920" s="23" t="s">
        <v>5820</v>
      </c>
      <c r="C2920" s="23">
        <v>2828</v>
      </c>
      <c r="I2920" s="3" t="str">
        <f>+IFERROR(VLOOKUP(C2920,'Mov 2023 hasta ahora '!$C$2:$D$314,2,FALSE),"NO")</f>
        <v>NO</v>
      </c>
      <c r="K2920">
        <v>6</v>
      </c>
      <c r="L2920" t="s">
        <v>836</v>
      </c>
      <c r="M2920">
        <v>24</v>
      </c>
      <c r="O2920" s="29" t="s">
        <v>8742</v>
      </c>
      <c r="P2920" s="25" t="s">
        <v>9063</v>
      </c>
      <c r="Q2920" s="25">
        <v>176</v>
      </c>
      <c r="R2920" t="s">
        <v>436</v>
      </c>
    </row>
    <row r="2921" spans="1:18" hidden="1">
      <c r="A2921" s="23" t="s">
        <v>5821</v>
      </c>
      <c r="B2921" s="23" t="s">
        <v>5822</v>
      </c>
      <c r="C2921" s="23">
        <v>3212</v>
      </c>
      <c r="I2921" s="3" t="str">
        <f>+IFERROR(VLOOKUP(C2921,'Mov 2023 hasta ahora '!$C$2:$D$314,2,FALSE),"NO")</f>
        <v>NO</v>
      </c>
      <c r="K2921">
        <v>6</v>
      </c>
      <c r="L2921" t="s">
        <v>836</v>
      </c>
      <c r="M2921">
        <v>24</v>
      </c>
      <c r="O2921" s="29" t="s">
        <v>9057</v>
      </c>
      <c r="P2921" s="25" t="s">
        <v>9058</v>
      </c>
      <c r="Q2921" s="25">
        <v>3212</v>
      </c>
      <c r="R2921" t="s">
        <v>436</v>
      </c>
    </row>
    <row r="2922" spans="1:18" hidden="1">
      <c r="A2922" t="s">
        <v>5823</v>
      </c>
      <c r="B2922" t="s">
        <v>5824</v>
      </c>
      <c r="I2922" s="3" t="str">
        <f>+IFERROR(VLOOKUP(C2922,'Mov 2023 hasta ahora '!$C$2:$D$314,2,FALSE),"NO")</f>
        <v>NO</v>
      </c>
      <c r="K2922">
        <v>4</v>
      </c>
      <c r="L2922" t="s">
        <v>836</v>
      </c>
      <c r="M2922">
        <v>14</v>
      </c>
    </row>
    <row r="2923" spans="1:18" hidden="1">
      <c r="A2923" t="s">
        <v>5825</v>
      </c>
      <c r="B2923" t="s">
        <v>5826</v>
      </c>
      <c r="I2923" s="3" t="str">
        <f>+IFERROR(VLOOKUP(C2923,'Mov 2023 hasta ahora '!$C$2:$D$314,2,FALSE),"NO")</f>
        <v>NO</v>
      </c>
      <c r="K2923">
        <v>5</v>
      </c>
      <c r="L2923" t="s">
        <v>836</v>
      </c>
      <c r="M2923">
        <v>18</v>
      </c>
    </row>
    <row r="2924" spans="1:18" s="13" customFormat="1" hidden="1">
      <c r="A2924" s="23" t="s">
        <v>5827</v>
      </c>
      <c r="B2924" s="23" t="s">
        <v>5828</v>
      </c>
      <c r="C2924" s="23">
        <v>2829</v>
      </c>
      <c r="G2924"/>
      <c r="I2924" s="14" t="str">
        <f>+IFERROR(VLOOKUP(C2924,'Mov 2023 hasta ahora '!$C$2:$D$314,2,FALSE),"NO")</f>
        <v>NO</v>
      </c>
      <c r="K2924">
        <v>6</v>
      </c>
      <c r="L2924" t="s">
        <v>836</v>
      </c>
      <c r="M2924">
        <v>24</v>
      </c>
      <c r="O2924" s="29" t="s">
        <v>8746</v>
      </c>
      <c r="P2924" s="25" t="s">
        <v>9054</v>
      </c>
      <c r="Q2924" s="25">
        <v>185</v>
      </c>
      <c r="R2924" t="s">
        <v>436</v>
      </c>
    </row>
    <row r="2925" spans="1:18" s="13" customFormat="1" hidden="1">
      <c r="A2925" s="23" t="s">
        <v>5829</v>
      </c>
      <c r="B2925" s="23" t="s">
        <v>5830</v>
      </c>
      <c r="C2925" s="23">
        <v>2830</v>
      </c>
      <c r="G2925"/>
      <c r="I2925" s="14" t="str">
        <f>+IFERROR(VLOOKUP(C2925,'Mov 2023 hasta ahora '!$C$2:$D$314,2,FALSE),"NO")</f>
        <v>NO</v>
      </c>
      <c r="K2925">
        <v>6</v>
      </c>
      <c r="L2925" t="s">
        <v>836</v>
      </c>
      <c r="M2925">
        <v>24</v>
      </c>
      <c r="O2925" s="29" t="s">
        <v>8748</v>
      </c>
      <c r="P2925" s="25" t="s">
        <v>9055</v>
      </c>
      <c r="Q2925" s="25">
        <v>193</v>
      </c>
      <c r="R2925" t="s">
        <v>436</v>
      </c>
    </row>
    <row r="2926" spans="1:18" s="13" customFormat="1" hidden="1">
      <c r="A2926" s="23" t="s">
        <v>5831</v>
      </c>
      <c r="B2926" s="23" t="s">
        <v>5832</v>
      </c>
      <c r="C2926" s="23">
        <v>2831</v>
      </c>
      <c r="G2926"/>
      <c r="I2926" s="14" t="str">
        <f>+IFERROR(VLOOKUP(C2926,'Mov 2023 hasta ahora '!$C$2:$D$314,2,FALSE),"NO")</f>
        <v>NO</v>
      </c>
      <c r="K2926">
        <v>6</v>
      </c>
      <c r="L2926" t="s">
        <v>836</v>
      </c>
      <c r="M2926">
        <v>24</v>
      </c>
      <c r="O2926" s="29" t="s">
        <v>8749</v>
      </c>
      <c r="P2926" s="25" t="s">
        <v>9056</v>
      </c>
      <c r="Q2926" s="25">
        <v>202</v>
      </c>
      <c r="R2926" t="s">
        <v>436</v>
      </c>
    </row>
    <row r="2927" spans="1:18" hidden="1">
      <c r="A2927" s="23" t="s">
        <v>5833</v>
      </c>
      <c r="B2927" s="23" t="s">
        <v>5834</v>
      </c>
      <c r="C2927" s="23">
        <v>2832</v>
      </c>
      <c r="I2927" s="3" t="str">
        <f>+IFERROR(VLOOKUP(C2927,'Mov 2023 hasta ahora '!$C$2:$D$314,2,FALSE),"NO")</f>
        <v>NO</v>
      </c>
      <c r="K2927">
        <v>6</v>
      </c>
      <c r="L2927" t="s">
        <v>836</v>
      </c>
      <c r="M2927">
        <v>24</v>
      </c>
      <c r="O2927" s="29" t="s">
        <v>8750</v>
      </c>
      <c r="P2927" s="25" t="s">
        <v>8968</v>
      </c>
      <c r="Q2927" s="25">
        <v>1351</v>
      </c>
      <c r="R2927" t="s">
        <v>436</v>
      </c>
    </row>
    <row r="2928" spans="1:18" hidden="1">
      <c r="A2928" t="s">
        <v>5835</v>
      </c>
      <c r="B2928" t="s">
        <v>5836</v>
      </c>
      <c r="I2928" s="3" t="str">
        <f>+IFERROR(VLOOKUP(C2928,'Mov 2023 hasta ahora '!$C$2:$D$314,2,FALSE),"NO")</f>
        <v>NO</v>
      </c>
      <c r="K2928">
        <v>4</v>
      </c>
      <c r="L2928" t="s">
        <v>836</v>
      </c>
      <c r="M2928">
        <v>14</v>
      </c>
    </row>
    <row r="2929" spans="1:18" hidden="1">
      <c r="A2929" t="s">
        <v>5837</v>
      </c>
      <c r="B2929" t="s">
        <v>5838</v>
      </c>
      <c r="I2929" s="3" t="str">
        <f>+IFERROR(VLOOKUP(C2929,'Mov 2023 hasta ahora '!$C$2:$D$314,2,FALSE),"NO")</f>
        <v>NO</v>
      </c>
      <c r="K2929">
        <v>5</v>
      </c>
      <c r="L2929" t="s">
        <v>836</v>
      </c>
      <c r="M2929">
        <v>18</v>
      </c>
    </row>
    <row r="2930" spans="1:18" hidden="1">
      <c r="A2930" s="23" t="s">
        <v>5839</v>
      </c>
      <c r="B2930" s="23" t="s">
        <v>5840</v>
      </c>
      <c r="C2930" s="23">
        <v>2833</v>
      </c>
      <c r="I2930" s="3" t="str">
        <f>+IFERROR(VLOOKUP(C2930,'Mov 2023 hasta ahora '!$C$2:$D$314,2,FALSE),"NO")</f>
        <v>NO</v>
      </c>
      <c r="K2930">
        <v>6</v>
      </c>
      <c r="L2930" t="s">
        <v>836</v>
      </c>
      <c r="M2930">
        <v>24</v>
      </c>
      <c r="O2930" s="29" t="s">
        <v>9013</v>
      </c>
      <c r="P2930" s="25" t="s">
        <v>8756</v>
      </c>
      <c r="Q2930" s="25">
        <v>212</v>
      </c>
      <c r="R2930" t="s">
        <v>436</v>
      </c>
    </row>
    <row r="2931" spans="1:18" hidden="1">
      <c r="A2931" t="s">
        <v>5841</v>
      </c>
      <c r="B2931" t="s">
        <v>5842</v>
      </c>
      <c r="I2931" s="3" t="str">
        <f>+IFERROR(VLOOKUP(C2931,'Mov 2023 hasta ahora '!$C$2:$D$314,2,FALSE),"NO")</f>
        <v>NO</v>
      </c>
      <c r="K2931">
        <v>4</v>
      </c>
      <c r="L2931" t="s">
        <v>836</v>
      </c>
      <c r="M2931">
        <v>14</v>
      </c>
    </row>
    <row r="2932" spans="1:18" hidden="1">
      <c r="A2932" t="s">
        <v>5843</v>
      </c>
      <c r="B2932" t="s">
        <v>5844</v>
      </c>
      <c r="I2932" s="3" t="str">
        <f>+IFERROR(VLOOKUP(C2932,'Mov 2023 hasta ahora '!$C$2:$D$314,2,FALSE),"NO")</f>
        <v>NO</v>
      </c>
      <c r="K2932">
        <v>5</v>
      </c>
      <c r="L2932" t="s">
        <v>836</v>
      </c>
      <c r="M2932">
        <v>18</v>
      </c>
    </row>
    <row r="2933" spans="1:18" s="15" customFormat="1" hidden="1">
      <c r="A2933" s="23" t="s">
        <v>5845</v>
      </c>
      <c r="B2933" s="23" t="s">
        <v>5846</v>
      </c>
      <c r="C2933" s="23">
        <v>2834</v>
      </c>
      <c r="G2933"/>
      <c r="I2933" s="16" t="str">
        <f>+IFERROR(VLOOKUP(C2933,'Mov 2023 hasta ahora '!$C$2:$D$314,2,FALSE),"NO")</f>
        <v>NO</v>
      </c>
      <c r="K2933">
        <v>6</v>
      </c>
      <c r="L2933" t="s">
        <v>836</v>
      </c>
      <c r="M2933">
        <v>24</v>
      </c>
      <c r="O2933" s="29" t="s">
        <v>8793</v>
      </c>
      <c r="P2933" s="25" t="s">
        <v>8975</v>
      </c>
      <c r="Q2933" s="25">
        <v>1616</v>
      </c>
      <c r="R2933" t="s">
        <v>436</v>
      </c>
    </row>
    <row r="2934" spans="1:18" s="15" customFormat="1" hidden="1">
      <c r="A2934" s="23" t="s">
        <v>5847</v>
      </c>
      <c r="B2934" s="23" t="s">
        <v>5848</v>
      </c>
      <c r="C2934" s="23">
        <v>2835</v>
      </c>
      <c r="G2934"/>
      <c r="I2934" s="16" t="str">
        <f>+IFERROR(VLOOKUP(C2934,'Mov 2023 hasta ahora '!$C$2:$D$314,2,FALSE),"NO")</f>
        <v>NO</v>
      </c>
      <c r="K2934">
        <v>6</v>
      </c>
      <c r="L2934" t="s">
        <v>836</v>
      </c>
      <c r="M2934">
        <v>24</v>
      </c>
      <c r="O2934" s="29" t="s">
        <v>8793</v>
      </c>
      <c r="P2934" s="25" t="s">
        <v>8975</v>
      </c>
      <c r="Q2934" s="25">
        <v>1616</v>
      </c>
      <c r="R2934" t="s">
        <v>436</v>
      </c>
    </row>
    <row r="2935" spans="1:18" hidden="1">
      <c r="A2935" s="23" t="s">
        <v>5849</v>
      </c>
      <c r="B2935" s="23" t="s">
        <v>5850</v>
      </c>
      <c r="C2935" s="23">
        <v>2868</v>
      </c>
      <c r="I2935" s="3" t="str">
        <f>+IFERROR(VLOOKUP(C2935,'Mov 2023 hasta ahora '!$C$2:$D$314,2,FALSE),"NO")</f>
        <v>NO</v>
      </c>
      <c r="K2935">
        <v>6</v>
      </c>
      <c r="L2935" t="s">
        <v>836</v>
      </c>
      <c r="M2935">
        <v>24</v>
      </c>
      <c r="O2935" s="29" t="s">
        <v>8794</v>
      </c>
      <c r="P2935" s="25" t="s">
        <v>8982</v>
      </c>
      <c r="Q2935" s="25">
        <v>1441</v>
      </c>
      <c r="R2935" t="s">
        <v>436</v>
      </c>
    </row>
    <row r="2936" spans="1:18" hidden="1">
      <c r="A2936" s="23" t="s">
        <v>5851</v>
      </c>
      <c r="B2936" s="23" t="s">
        <v>5852</v>
      </c>
      <c r="C2936" s="23">
        <v>2869</v>
      </c>
      <c r="I2936" s="3" t="str">
        <f>+IFERROR(VLOOKUP(C2936,'Mov 2023 hasta ahora '!$C$2:$D$314,2,FALSE),"NO")</f>
        <v>NO</v>
      </c>
      <c r="K2936">
        <v>6</v>
      </c>
      <c r="L2936" t="s">
        <v>836</v>
      </c>
      <c r="M2936">
        <v>24</v>
      </c>
      <c r="O2936" s="29" t="s">
        <v>8809</v>
      </c>
      <c r="P2936" s="25" t="s">
        <v>8983</v>
      </c>
      <c r="Q2936" s="25">
        <v>1448</v>
      </c>
      <c r="R2936" t="s">
        <v>436</v>
      </c>
    </row>
    <row r="2937" spans="1:18" s="15" customFormat="1" hidden="1">
      <c r="A2937" s="23" t="s">
        <v>5853</v>
      </c>
      <c r="B2937" s="23" t="s">
        <v>5854</v>
      </c>
      <c r="C2937" s="23">
        <v>3223</v>
      </c>
      <c r="G2937"/>
      <c r="I2937" s="16" t="str">
        <f>+IFERROR(VLOOKUP(C2937,'Mov 2023 hasta ahora '!$C$2:$D$314,2,FALSE),"NO")</f>
        <v>NO</v>
      </c>
      <c r="K2937">
        <v>6</v>
      </c>
      <c r="L2937" t="s">
        <v>836</v>
      </c>
      <c r="M2937">
        <v>24</v>
      </c>
      <c r="O2937" s="29" t="s">
        <v>8802</v>
      </c>
      <c r="P2937" s="25" t="s">
        <v>8976</v>
      </c>
      <c r="Q2937" s="25">
        <v>3222</v>
      </c>
      <c r="R2937" t="s">
        <v>436</v>
      </c>
    </row>
    <row r="2938" spans="1:18" s="15" customFormat="1" hidden="1">
      <c r="A2938" s="23" t="s">
        <v>5855</v>
      </c>
      <c r="B2938" s="23" t="s">
        <v>5856</v>
      </c>
      <c r="C2938" s="23">
        <v>3234</v>
      </c>
      <c r="G2938"/>
      <c r="I2938" s="16" t="str">
        <f>+IFERROR(VLOOKUP(C2938,'Mov 2023 hasta ahora '!$C$2:$D$314,2,FALSE),"NO")</f>
        <v>NO</v>
      </c>
      <c r="K2938">
        <v>6</v>
      </c>
      <c r="L2938" t="s">
        <v>836</v>
      </c>
      <c r="M2938">
        <v>24</v>
      </c>
      <c r="O2938" s="29" t="s">
        <v>8833</v>
      </c>
      <c r="P2938" s="25" t="s">
        <v>8977</v>
      </c>
      <c r="Q2938" s="25">
        <v>3233</v>
      </c>
      <c r="R2938" t="s">
        <v>436</v>
      </c>
    </row>
    <row r="2939" spans="1:18" s="15" customFormat="1" hidden="1">
      <c r="A2939" s="23" t="s">
        <v>5857</v>
      </c>
      <c r="B2939" s="23" t="s">
        <v>5858</v>
      </c>
      <c r="C2939" s="23">
        <v>3245</v>
      </c>
      <c r="G2939"/>
      <c r="I2939" s="16" t="str">
        <f>+IFERROR(VLOOKUP(C2939,'Mov 2023 hasta ahora '!$C$2:$D$314,2,FALSE),"NO")</f>
        <v>NO</v>
      </c>
      <c r="K2939">
        <v>6</v>
      </c>
      <c r="L2939" t="s">
        <v>836</v>
      </c>
      <c r="M2939">
        <v>24</v>
      </c>
      <c r="O2939" s="29" t="s">
        <v>8755</v>
      </c>
      <c r="P2939" s="25" t="s">
        <v>8978</v>
      </c>
      <c r="Q2939" s="25">
        <v>3244</v>
      </c>
      <c r="R2939" t="s">
        <v>436</v>
      </c>
    </row>
    <row r="2940" spans="1:18" hidden="1">
      <c r="A2940" t="s">
        <v>5859</v>
      </c>
      <c r="B2940" t="s">
        <v>5860</v>
      </c>
      <c r="I2940" s="3" t="str">
        <f>+IFERROR(VLOOKUP(C2940,'Mov 2023 hasta ahora '!$C$2:$D$314,2,FALSE),"NO")</f>
        <v>NO</v>
      </c>
      <c r="K2940">
        <v>4</v>
      </c>
      <c r="L2940" t="s">
        <v>836</v>
      </c>
      <c r="M2940">
        <v>14</v>
      </c>
    </row>
    <row r="2941" spans="1:18" hidden="1">
      <c r="A2941" t="s">
        <v>5861</v>
      </c>
      <c r="B2941" t="s">
        <v>5862</v>
      </c>
      <c r="I2941" s="3" t="str">
        <f>+IFERROR(VLOOKUP(C2941,'Mov 2023 hasta ahora '!$C$2:$D$314,2,FALSE),"NO")</f>
        <v>NO</v>
      </c>
      <c r="K2941">
        <v>5</v>
      </c>
      <c r="L2941" t="s">
        <v>836</v>
      </c>
      <c r="M2941">
        <v>18</v>
      </c>
    </row>
    <row r="2942" spans="1:18" s="13" customFormat="1" hidden="1">
      <c r="A2942" s="23" t="s">
        <v>5863</v>
      </c>
      <c r="B2942" s="23" t="s">
        <v>5864</v>
      </c>
      <c r="C2942" s="23">
        <v>2836</v>
      </c>
      <c r="G2942"/>
      <c r="I2942" s="14" t="str">
        <f>+IFERROR(VLOOKUP(C2942,'Mov 2023 hasta ahora '!$C$2:$D$314,2,FALSE),"NO")</f>
        <v>NO</v>
      </c>
      <c r="K2942">
        <v>6</v>
      </c>
      <c r="L2942" t="s">
        <v>836</v>
      </c>
      <c r="M2942">
        <v>24</v>
      </c>
      <c r="O2942" s="29" t="s">
        <v>8857</v>
      </c>
      <c r="P2942" s="25" t="s">
        <v>8980</v>
      </c>
      <c r="Q2942" s="25">
        <v>2178</v>
      </c>
      <c r="R2942" t="s">
        <v>436</v>
      </c>
    </row>
    <row r="2943" spans="1:18" s="13" customFormat="1" hidden="1">
      <c r="A2943" s="23" t="s">
        <v>5865</v>
      </c>
      <c r="B2943" s="23" t="s">
        <v>5866</v>
      </c>
      <c r="C2943" s="23">
        <v>2837</v>
      </c>
      <c r="G2943"/>
      <c r="I2943" s="14" t="str">
        <f>+IFERROR(VLOOKUP(C2943,'Mov 2023 hasta ahora '!$C$2:$D$314,2,FALSE),"NO")</f>
        <v>NO</v>
      </c>
      <c r="K2943">
        <v>6</v>
      </c>
      <c r="L2943" t="s">
        <v>836</v>
      </c>
      <c r="M2943">
        <v>24</v>
      </c>
      <c r="O2943" s="29" t="s">
        <v>8846</v>
      </c>
      <c r="P2943" s="25" t="s">
        <v>8981</v>
      </c>
      <c r="Q2943" s="25">
        <v>2179</v>
      </c>
      <c r="R2943" t="s">
        <v>436</v>
      </c>
    </row>
    <row r="2944" spans="1:18" s="13" customFormat="1" hidden="1">
      <c r="A2944" s="23" t="s">
        <v>5867</v>
      </c>
      <c r="B2944" s="23" t="s">
        <v>5868</v>
      </c>
      <c r="C2944" s="23">
        <v>2838</v>
      </c>
      <c r="G2944"/>
      <c r="I2944" s="14" t="str">
        <f>+IFERROR(VLOOKUP(C2944,'Mov 2023 hasta ahora '!$C$2:$D$314,2,FALSE),"NO")</f>
        <v>NO</v>
      </c>
      <c r="K2944">
        <v>6</v>
      </c>
      <c r="L2944" t="s">
        <v>836</v>
      </c>
      <c r="M2944">
        <v>24</v>
      </c>
      <c r="O2944" s="29" t="s">
        <v>8846</v>
      </c>
      <c r="P2944" s="25" t="s">
        <v>8981</v>
      </c>
      <c r="Q2944" s="25">
        <v>2179</v>
      </c>
      <c r="R2944" t="s">
        <v>436</v>
      </c>
    </row>
    <row r="2945" spans="1:18" s="13" customFormat="1" hidden="1">
      <c r="A2945" s="23" t="s">
        <v>5869</v>
      </c>
      <c r="B2945" s="23" t="s">
        <v>5870</v>
      </c>
      <c r="C2945" s="23">
        <v>2824</v>
      </c>
      <c r="G2945"/>
      <c r="I2945" s="14" t="str">
        <f>+IFERROR(VLOOKUP(C2945,'Mov 2023 hasta ahora '!$C$2:$D$314,2,FALSE),"NO")</f>
        <v>NO</v>
      </c>
      <c r="K2945">
        <v>6</v>
      </c>
      <c r="L2945" t="s">
        <v>836</v>
      </c>
      <c r="M2945">
        <v>24</v>
      </c>
      <c r="O2945" s="29" t="s">
        <v>8794</v>
      </c>
      <c r="P2945" s="25" t="s">
        <v>8982</v>
      </c>
      <c r="Q2945" s="25">
        <v>1441</v>
      </c>
      <c r="R2945" t="s">
        <v>436</v>
      </c>
    </row>
    <row r="2946" spans="1:18" s="13" customFormat="1" hidden="1">
      <c r="A2946" s="23" t="s">
        <v>5871</v>
      </c>
      <c r="B2946" s="23" t="s">
        <v>5872</v>
      </c>
      <c r="C2946" s="23">
        <v>2825</v>
      </c>
      <c r="G2946"/>
      <c r="I2946" s="14" t="str">
        <f>+IFERROR(VLOOKUP(C2946,'Mov 2023 hasta ahora '!$C$2:$D$314,2,FALSE),"NO")</f>
        <v>NO</v>
      </c>
      <c r="K2946">
        <v>6</v>
      </c>
      <c r="L2946" t="s">
        <v>836</v>
      </c>
      <c r="M2946">
        <v>24</v>
      </c>
      <c r="O2946" s="29" t="s">
        <v>8809</v>
      </c>
      <c r="P2946" s="25" t="s">
        <v>8983</v>
      </c>
      <c r="Q2946" s="25">
        <v>1448</v>
      </c>
      <c r="R2946" t="s">
        <v>436</v>
      </c>
    </row>
    <row r="2947" spans="1:18" s="13" customFormat="1" hidden="1">
      <c r="A2947" s="23" t="s">
        <v>5873</v>
      </c>
      <c r="B2947" s="23" t="s">
        <v>5874</v>
      </c>
      <c r="C2947" s="23">
        <v>2870</v>
      </c>
      <c r="G2947"/>
      <c r="I2947" s="14" t="str">
        <f>+IFERROR(VLOOKUP(C2947,'Mov 2023 hasta ahora '!$C$2:$D$314,2,FALSE),"NO")</f>
        <v>NO</v>
      </c>
      <c r="K2947">
        <v>6</v>
      </c>
      <c r="L2947" t="s">
        <v>836</v>
      </c>
      <c r="M2947">
        <v>24</v>
      </c>
      <c r="O2947" s="29" t="s">
        <v>8827</v>
      </c>
      <c r="P2947" s="25" t="s">
        <v>8984</v>
      </c>
      <c r="Q2947" s="25">
        <v>1826</v>
      </c>
      <c r="R2947" t="s">
        <v>436</v>
      </c>
    </row>
    <row r="2948" spans="1:18" s="13" customFormat="1" hidden="1">
      <c r="A2948" s="23" t="s">
        <v>5875</v>
      </c>
      <c r="B2948" s="23" t="s">
        <v>5876</v>
      </c>
      <c r="C2948" s="23">
        <v>2871</v>
      </c>
      <c r="G2948"/>
      <c r="I2948" s="14" t="str">
        <f>+IFERROR(VLOOKUP(C2948,'Mov 2023 hasta ahora '!$C$2:$D$314,2,FALSE),"NO")</f>
        <v>NO</v>
      </c>
      <c r="K2948">
        <v>6</v>
      </c>
      <c r="L2948" t="s">
        <v>836</v>
      </c>
      <c r="M2948">
        <v>24</v>
      </c>
      <c r="O2948" s="29" t="s">
        <v>8834</v>
      </c>
      <c r="P2948" s="25" t="s">
        <v>8985</v>
      </c>
      <c r="Q2948" s="25">
        <v>2871</v>
      </c>
      <c r="R2948" t="s">
        <v>436</v>
      </c>
    </row>
    <row r="2949" spans="1:18" s="13" customFormat="1" hidden="1">
      <c r="A2949" s="23" t="s">
        <v>5877</v>
      </c>
      <c r="B2949" s="23" t="s">
        <v>5878</v>
      </c>
      <c r="C2949" s="23">
        <v>3256</v>
      </c>
      <c r="G2949"/>
      <c r="I2949" s="14" t="str">
        <f>+IFERROR(VLOOKUP(C2949,'Mov 2023 hasta ahora '!$C$2:$D$314,2,FALSE),"NO")</f>
        <v>NO</v>
      </c>
      <c r="K2949">
        <v>6</v>
      </c>
      <c r="L2949" t="s">
        <v>836</v>
      </c>
      <c r="M2949">
        <v>24</v>
      </c>
      <c r="O2949" s="29" t="s">
        <v>8857</v>
      </c>
      <c r="P2949" s="25" t="s">
        <v>8980</v>
      </c>
      <c r="Q2949" s="25">
        <v>2178</v>
      </c>
      <c r="R2949" t="s">
        <v>436</v>
      </c>
    </row>
    <row r="2950" spans="1:18" s="13" customFormat="1" hidden="1">
      <c r="A2950" s="23" t="s">
        <v>5879</v>
      </c>
      <c r="B2950" s="23" t="s">
        <v>5880</v>
      </c>
      <c r="C2950" s="23">
        <v>3267</v>
      </c>
      <c r="G2950"/>
      <c r="I2950" s="14" t="str">
        <f>+IFERROR(VLOOKUP(C2950,'Mov 2023 hasta ahora '!$C$2:$D$314,2,FALSE),"NO")</f>
        <v>NO</v>
      </c>
      <c r="K2950">
        <v>6</v>
      </c>
      <c r="L2950" t="s">
        <v>836</v>
      </c>
      <c r="M2950">
        <v>24</v>
      </c>
      <c r="O2950" s="29" t="s">
        <v>8857</v>
      </c>
      <c r="P2950" s="25" t="s">
        <v>8980</v>
      </c>
      <c r="Q2950" s="25">
        <v>2178</v>
      </c>
      <c r="R2950" t="s">
        <v>436</v>
      </c>
    </row>
    <row r="2951" spans="1:18" s="13" customFormat="1" hidden="1">
      <c r="A2951" s="23" t="s">
        <v>5881</v>
      </c>
      <c r="B2951" s="23" t="s">
        <v>5882</v>
      </c>
      <c r="C2951" s="23">
        <v>3278</v>
      </c>
      <c r="G2951"/>
      <c r="I2951" s="14" t="str">
        <f>+IFERROR(VLOOKUP(C2951,'Mov 2023 hasta ahora '!$C$2:$D$314,2,FALSE),"NO")</f>
        <v>NO</v>
      </c>
      <c r="K2951">
        <v>6</v>
      </c>
      <c r="L2951" t="s">
        <v>836</v>
      </c>
      <c r="M2951">
        <v>24</v>
      </c>
      <c r="O2951" s="29" t="s">
        <v>8857</v>
      </c>
      <c r="P2951" s="25" t="s">
        <v>8980</v>
      </c>
      <c r="Q2951" s="25">
        <v>2178</v>
      </c>
      <c r="R2951" t="s">
        <v>436</v>
      </c>
    </row>
    <row r="2952" spans="1:18" s="13" customFormat="1" hidden="1">
      <c r="A2952" s="23" t="s">
        <v>5883</v>
      </c>
      <c r="B2952" s="23" t="s">
        <v>5884</v>
      </c>
      <c r="C2952" s="23">
        <v>3289</v>
      </c>
      <c r="G2952"/>
      <c r="I2952" s="14" t="str">
        <f>+IFERROR(VLOOKUP(C2952,'Mov 2023 hasta ahora '!$C$2:$D$314,2,FALSE),"NO")</f>
        <v>NO</v>
      </c>
      <c r="K2952">
        <v>6</v>
      </c>
      <c r="L2952" t="s">
        <v>836</v>
      </c>
      <c r="M2952">
        <v>24</v>
      </c>
      <c r="O2952" s="29" t="s">
        <v>8857</v>
      </c>
      <c r="P2952" s="25" t="s">
        <v>8980</v>
      </c>
      <c r="Q2952" s="25">
        <v>2178</v>
      </c>
      <c r="R2952" t="s">
        <v>436</v>
      </c>
    </row>
    <row r="2953" spans="1:18" hidden="1">
      <c r="A2953" t="s">
        <v>5885</v>
      </c>
      <c r="B2953" t="s">
        <v>5886</v>
      </c>
      <c r="I2953" s="3" t="str">
        <f>+IFERROR(VLOOKUP(C2953,'Mov 2023 hasta ahora '!$C$2:$D$314,2,FALSE),"NO")</f>
        <v>NO</v>
      </c>
      <c r="K2953">
        <v>4</v>
      </c>
      <c r="L2953" t="s">
        <v>836</v>
      </c>
      <c r="M2953">
        <v>14</v>
      </c>
    </row>
    <row r="2954" spans="1:18" hidden="1">
      <c r="A2954" t="s">
        <v>5887</v>
      </c>
      <c r="B2954" t="s">
        <v>5888</v>
      </c>
      <c r="I2954" s="3" t="str">
        <f>+IFERROR(VLOOKUP(C2954,'Mov 2023 hasta ahora '!$C$2:$D$314,2,FALSE),"NO")</f>
        <v>NO</v>
      </c>
      <c r="K2954">
        <v>5</v>
      </c>
      <c r="L2954" t="s">
        <v>836</v>
      </c>
      <c r="M2954">
        <v>18</v>
      </c>
    </row>
    <row r="2955" spans="1:18" s="13" customFormat="1" hidden="1">
      <c r="A2955" s="23" t="s">
        <v>5889</v>
      </c>
      <c r="B2955" s="23" t="s">
        <v>5890</v>
      </c>
      <c r="C2955" s="23">
        <v>2839</v>
      </c>
      <c r="G2955"/>
      <c r="I2955" s="14" t="str">
        <f>+IFERROR(VLOOKUP(C2955,'Mov 2023 hasta ahora '!$C$2:$D$314,2,FALSE),"NO")</f>
        <v>NO</v>
      </c>
      <c r="K2955">
        <v>6</v>
      </c>
      <c r="L2955" t="s">
        <v>836</v>
      </c>
      <c r="M2955">
        <v>24</v>
      </c>
      <c r="O2955" s="29" t="s">
        <v>8853</v>
      </c>
      <c r="P2955" s="25" t="s">
        <v>8986</v>
      </c>
      <c r="Q2955" s="25">
        <v>366</v>
      </c>
      <c r="R2955" t="s">
        <v>436</v>
      </c>
    </row>
    <row r="2956" spans="1:18" hidden="1">
      <c r="A2956" t="s">
        <v>5891</v>
      </c>
      <c r="B2956" t="s">
        <v>5892</v>
      </c>
      <c r="I2956" s="3" t="str">
        <f>+IFERROR(VLOOKUP(C2956,'Mov 2023 hasta ahora '!$C$2:$D$314,2,FALSE),"NO")</f>
        <v>NO</v>
      </c>
      <c r="K2956">
        <v>5</v>
      </c>
      <c r="L2956" t="s">
        <v>836</v>
      </c>
      <c r="M2956">
        <v>18</v>
      </c>
    </row>
    <row r="2957" spans="1:18" s="13" customFormat="1" hidden="1">
      <c r="A2957" s="23" t="s">
        <v>5893</v>
      </c>
      <c r="B2957" s="23" t="s">
        <v>5894</v>
      </c>
      <c r="C2957" s="23">
        <v>2840</v>
      </c>
      <c r="G2957"/>
      <c r="I2957" s="14" t="str">
        <f>+IFERROR(VLOOKUP(C2957,'Mov 2023 hasta ahora '!$C$2:$D$314,2,FALSE),"NO")</f>
        <v>NO</v>
      </c>
      <c r="K2957">
        <v>6</v>
      </c>
      <c r="L2957" t="s">
        <v>836</v>
      </c>
      <c r="M2957">
        <v>24</v>
      </c>
      <c r="O2957" s="29" t="s">
        <v>8853</v>
      </c>
      <c r="P2957" s="25" t="s">
        <v>8986</v>
      </c>
      <c r="Q2957" s="25">
        <v>366</v>
      </c>
      <c r="R2957" t="s">
        <v>436</v>
      </c>
    </row>
    <row r="2958" spans="1:18" hidden="1">
      <c r="A2958" t="s">
        <v>5895</v>
      </c>
      <c r="B2958" t="s">
        <v>5896</v>
      </c>
      <c r="I2958" s="3" t="str">
        <f>+IFERROR(VLOOKUP(C2958,'Mov 2023 hasta ahora '!$C$2:$D$314,2,FALSE),"NO")</f>
        <v>NO</v>
      </c>
      <c r="K2958">
        <v>5</v>
      </c>
      <c r="L2958" t="s">
        <v>836</v>
      </c>
      <c r="M2958">
        <v>18</v>
      </c>
    </row>
    <row r="2959" spans="1:18" s="13" customFormat="1" hidden="1">
      <c r="A2959" s="23" t="s">
        <v>5897</v>
      </c>
      <c r="B2959" s="23" t="s">
        <v>5898</v>
      </c>
      <c r="C2959" s="23">
        <v>2841</v>
      </c>
      <c r="G2959"/>
      <c r="I2959" s="14" t="str">
        <f>+IFERROR(VLOOKUP(C2959,'Mov 2023 hasta ahora '!$C$2:$D$314,2,FALSE),"NO")</f>
        <v>NO</v>
      </c>
      <c r="K2959">
        <v>6</v>
      </c>
      <c r="L2959" t="s">
        <v>836</v>
      </c>
      <c r="M2959">
        <v>24</v>
      </c>
      <c r="O2959" s="29" t="s">
        <v>8853</v>
      </c>
      <c r="P2959" s="25" t="s">
        <v>8986</v>
      </c>
      <c r="Q2959" s="25">
        <v>366</v>
      </c>
      <c r="R2959" t="s">
        <v>436</v>
      </c>
    </row>
    <row r="2960" spans="1:18" hidden="1">
      <c r="A2960" t="s">
        <v>5899</v>
      </c>
      <c r="B2960" t="s">
        <v>5900</v>
      </c>
      <c r="I2960" s="3" t="str">
        <f>+IFERROR(VLOOKUP(C2960,'Mov 2023 hasta ahora '!$C$2:$D$314,2,FALSE),"NO")</f>
        <v>NO</v>
      </c>
      <c r="K2960">
        <v>5</v>
      </c>
      <c r="L2960" t="s">
        <v>836</v>
      </c>
      <c r="M2960">
        <v>18</v>
      </c>
    </row>
    <row r="2961" spans="1:18" s="13" customFormat="1" hidden="1">
      <c r="A2961" s="23" t="s">
        <v>5901</v>
      </c>
      <c r="B2961" s="23" t="s">
        <v>5902</v>
      </c>
      <c r="C2961" s="23">
        <v>2842</v>
      </c>
      <c r="G2961"/>
      <c r="I2961" s="14" t="str">
        <f>+IFERROR(VLOOKUP(C2961,'Mov 2023 hasta ahora '!$C$2:$D$314,2,FALSE),"NO")</f>
        <v>NO</v>
      </c>
      <c r="K2961">
        <v>6</v>
      </c>
      <c r="L2961" t="s">
        <v>836</v>
      </c>
      <c r="M2961">
        <v>24</v>
      </c>
      <c r="O2961" s="29" t="s">
        <v>8853</v>
      </c>
      <c r="P2961" s="25" t="s">
        <v>8986</v>
      </c>
      <c r="Q2961" s="25">
        <v>366</v>
      </c>
      <c r="R2961" t="s">
        <v>436</v>
      </c>
    </row>
    <row r="2962" spans="1:18" hidden="1">
      <c r="A2962" t="s">
        <v>5903</v>
      </c>
      <c r="B2962" t="s">
        <v>5904</v>
      </c>
      <c r="I2962" s="3" t="str">
        <f>+IFERROR(VLOOKUP(C2962,'Mov 2023 hasta ahora '!$C$2:$D$314,2,FALSE),"NO")</f>
        <v>NO</v>
      </c>
      <c r="K2962">
        <v>5</v>
      </c>
      <c r="L2962" t="s">
        <v>836</v>
      </c>
      <c r="M2962">
        <v>18</v>
      </c>
    </row>
    <row r="2963" spans="1:18" s="13" customFormat="1" hidden="1">
      <c r="A2963" s="23" t="s">
        <v>5905</v>
      </c>
      <c r="B2963" s="23" t="s">
        <v>5906</v>
      </c>
      <c r="C2963" s="23">
        <v>2843</v>
      </c>
      <c r="G2963"/>
      <c r="I2963" s="14" t="str">
        <f>+IFERROR(VLOOKUP(C2963,'Mov 2023 hasta ahora '!$C$2:$D$314,2,FALSE),"NO")</f>
        <v>NO</v>
      </c>
      <c r="K2963">
        <v>6</v>
      </c>
      <c r="L2963" t="s">
        <v>836</v>
      </c>
      <c r="M2963">
        <v>24</v>
      </c>
      <c r="O2963" s="29" t="s">
        <v>8867</v>
      </c>
      <c r="P2963" s="25" t="s">
        <v>8987</v>
      </c>
      <c r="Q2963" s="25">
        <v>456</v>
      </c>
      <c r="R2963" t="s">
        <v>436</v>
      </c>
    </row>
    <row r="2964" spans="1:18" s="13" customFormat="1" hidden="1">
      <c r="A2964" s="23" t="s">
        <v>5907</v>
      </c>
      <c r="B2964" s="23" t="s">
        <v>5908</v>
      </c>
      <c r="C2964" s="23">
        <v>2844</v>
      </c>
      <c r="G2964"/>
      <c r="I2964" s="14" t="str">
        <f>+IFERROR(VLOOKUP(C2964,'Mov 2023 hasta ahora '!$C$2:$D$314,2,FALSE),"NO")</f>
        <v>NO</v>
      </c>
      <c r="K2964">
        <v>6</v>
      </c>
      <c r="L2964" t="s">
        <v>836</v>
      </c>
      <c r="M2964">
        <v>24</v>
      </c>
      <c r="O2964" s="29" t="s">
        <v>8853</v>
      </c>
      <c r="P2964" s="25" t="s">
        <v>8986</v>
      </c>
      <c r="Q2964" s="25">
        <v>366</v>
      </c>
      <c r="R2964" t="s">
        <v>436</v>
      </c>
    </row>
    <row r="2965" spans="1:18" s="13" customFormat="1" hidden="1">
      <c r="A2965" s="23" t="s">
        <v>5909</v>
      </c>
      <c r="B2965" s="23" t="s">
        <v>5910</v>
      </c>
      <c r="C2965" s="23">
        <v>2845</v>
      </c>
      <c r="G2965"/>
      <c r="I2965" s="14" t="str">
        <f>+IFERROR(VLOOKUP(C2965,'Mov 2023 hasta ahora '!$C$2:$D$314,2,FALSE),"NO")</f>
        <v>NO</v>
      </c>
      <c r="K2965">
        <v>6</v>
      </c>
      <c r="L2965" t="s">
        <v>836</v>
      </c>
      <c r="M2965">
        <v>24</v>
      </c>
      <c r="O2965" s="29" t="s">
        <v>8853</v>
      </c>
      <c r="P2965" s="25" t="s">
        <v>8986</v>
      </c>
      <c r="Q2965" s="25">
        <v>366</v>
      </c>
      <c r="R2965" t="s">
        <v>436</v>
      </c>
    </row>
    <row r="2966" spans="1:18" hidden="1">
      <c r="A2966" t="s">
        <v>5911</v>
      </c>
      <c r="B2966" t="s">
        <v>5912</v>
      </c>
      <c r="I2966" s="3" t="str">
        <f>+IFERROR(VLOOKUP(C2966,'Mov 2023 hasta ahora '!$C$2:$D$314,2,FALSE),"NO")</f>
        <v>NO</v>
      </c>
      <c r="K2966">
        <v>5</v>
      </c>
      <c r="L2966" t="s">
        <v>836</v>
      </c>
      <c r="M2966">
        <v>18</v>
      </c>
    </row>
    <row r="2967" spans="1:18" s="13" customFormat="1" hidden="1">
      <c r="A2967" s="23" t="s">
        <v>5913</v>
      </c>
      <c r="B2967" s="23" t="s">
        <v>5914</v>
      </c>
      <c r="C2967" s="23">
        <v>2846</v>
      </c>
      <c r="G2967"/>
      <c r="I2967" s="14" t="str">
        <f>+IFERROR(VLOOKUP(C2967,'Mov 2023 hasta ahora '!$C$2:$D$314,2,FALSE),"NO")</f>
        <v>NO</v>
      </c>
      <c r="K2967">
        <v>6</v>
      </c>
      <c r="L2967" t="s">
        <v>836</v>
      </c>
      <c r="M2967">
        <v>24</v>
      </c>
      <c r="O2967" s="29" t="s">
        <v>8800</v>
      </c>
      <c r="P2967" s="25" t="s">
        <v>8988</v>
      </c>
      <c r="Q2967" s="25">
        <v>1457</v>
      </c>
      <c r="R2967" t="s">
        <v>436</v>
      </c>
    </row>
    <row r="2968" spans="1:18" s="13" customFormat="1" hidden="1">
      <c r="A2968" s="23" t="s">
        <v>5915</v>
      </c>
      <c r="B2968" s="23" t="s">
        <v>5916</v>
      </c>
      <c r="C2968" s="23">
        <v>2847</v>
      </c>
      <c r="G2968"/>
      <c r="I2968" s="14" t="str">
        <f>+IFERROR(VLOOKUP(C2968,'Mov 2023 hasta ahora '!$C$2:$D$314,2,FALSE),"NO")</f>
        <v>NO</v>
      </c>
      <c r="K2968">
        <v>6</v>
      </c>
      <c r="L2968" t="s">
        <v>836</v>
      </c>
      <c r="M2968">
        <v>24</v>
      </c>
      <c r="O2968" s="29" t="s">
        <v>8810</v>
      </c>
      <c r="P2968" s="25" t="s">
        <v>8989</v>
      </c>
      <c r="Q2968" s="25">
        <v>1465</v>
      </c>
      <c r="R2968" t="s">
        <v>436</v>
      </c>
    </row>
    <row r="2969" spans="1:18" hidden="1">
      <c r="A2969" t="s">
        <v>5917</v>
      </c>
      <c r="B2969" t="s">
        <v>5918</v>
      </c>
      <c r="I2969" s="3" t="str">
        <f>+IFERROR(VLOOKUP(C2969,'Mov 2023 hasta ahora '!$C$2:$D$314,2,FALSE),"NO")</f>
        <v>NO</v>
      </c>
      <c r="K2969">
        <v>4</v>
      </c>
      <c r="L2969" t="s">
        <v>836</v>
      </c>
      <c r="M2969">
        <v>14</v>
      </c>
    </row>
    <row r="2970" spans="1:18" hidden="1">
      <c r="A2970" t="s">
        <v>5919</v>
      </c>
      <c r="B2970" t="s">
        <v>5920</v>
      </c>
      <c r="I2970" s="3" t="str">
        <f>+IFERROR(VLOOKUP(C2970,'Mov 2023 hasta ahora '!$C$2:$D$314,2,FALSE),"NO")</f>
        <v>NO</v>
      </c>
      <c r="K2970">
        <v>5</v>
      </c>
      <c r="L2970" t="s">
        <v>836</v>
      </c>
      <c r="M2970">
        <v>18</v>
      </c>
    </row>
    <row r="2971" spans="1:18" s="13" customFormat="1" hidden="1">
      <c r="A2971" s="23" t="s">
        <v>5921</v>
      </c>
      <c r="B2971" s="23" t="s">
        <v>5922</v>
      </c>
      <c r="C2971" s="23">
        <v>2968</v>
      </c>
      <c r="G2971"/>
      <c r="I2971" s="14" t="str">
        <f>+IFERROR(VLOOKUP(C2971,'Mov 2023 hasta ahora '!$C$2:$D$314,2,FALSE),"NO")</f>
        <v>NO</v>
      </c>
      <c r="K2971">
        <v>6</v>
      </c>
      <c r="L2971" t="s">
        <v>836</v>
      </c>
      <c r="M2971">
        <v>24</v>
      </c>
      <c r="O2971" s="29" t="s">
        <v>8815</v>
      </c>
      <c r="P2971" s="25" t="s">
        <v>8796</v>
      </c>
      <c r="Q2971" s="25">
        <v>1579</v>
      </c>
      <c r="R2971" t="s">
        <v>436</v>
      </c>
    </row>
    <row r="2972" spans="1:18" s="13" customFormat="1" hidden="1">
      <c r="A2972" s="23" t="s">
        <v>5923</v>
      </c>
      <c r="B2972" s="23" t="s">
        <v>5924</v>
      </c>
      <c r="C2972" s="23">
        <v>2969</v>
      </c>
      <c r="G2972"/>
      <c r="I2972" s="14" t="str">
        <f>+IFERROR(VLOOKUP(C2972,'Mov 2023 hasta ahora '!$C$2:$D$314,2,FALSE),"NO")</f>
        <v>NO</v>
      </c>
      <c r="K2972">
        <v>6</v>
      </c>
      <c r="L2972" t="s">
        <v>836</v>
      </c>
      <c r="M2972">
        <v>24</v>
      </c>
      <c r="O2972" s="29" t="s">
        <v>8816</v>
      </c>
      <c r="P2972" s="25" t="s">
        <v>8806</v>
      </c>
      <c r="Q2972" s="25">
        <v>1589</v>
      </c>
      <c r="R2972" t="s">
        <v>436</v>
      </c>
    </row>
    <row r="2973" spans="1:18" hidden="1">
      <c r="A2973" t="s">
        <v>5925</v>
      </c>
      <c r="B2973" t="s">
        <v>5926</v>
      </c>
      <c r="I2973" s="3" t="str">
        <f>+IFERROR(VLOOKUP(C2973,'Mov 2023 hasta ahora '!$C$2:$D$314,2,FALSE),"NO")</f>
        <v>NO</v>
      </c>
      <c r="K2973">
        <v>4</v>
      </c>
      <c r="L2973" t="s">
        <v>836</v>
      </c>
      <c r="M2973">
        <v>14</v>
      </c>
    </row>
    <row r="2974" spans="1:18" hidden="1">
      <c r="A2974" t="s">
        <v>5927</v>
      </c>
      <c r="B2974" t="s">
        <v>5928</v>
      </c>
      <c r="I2974" s="3" t="str">
        <f>+IFERROR(VLOOKUP(C2974,'Mov 2023 hasta ahora '!$C$2:$D$314,2,FALSE),"NO")</f>
        <v>NO</v>
      </c>
      <c r="K2974">
        <v>5</v>
      </c>
      <c r="L2974" t="s">
        <v>836</v>
      </c>
      <c r="M2974">
        <v>18</v>
      </c>
    </row>
    <row r="2975" spans="1:18" s="13" customFormat="1" hidden="1">
      <c r="A2975" s="23" t="s">
        <v>5929</v>
      </c>
      <c r="B2975" s="23" t="s">
        <v>5930</v>
      </c>
      <c r="C2975" s="23">
        <v>2848</v>
      </c>
      <c r="G2975"/>
      <c r="I2975" s="14" t="str">
        <f>+IFERROR(VLOOKUP(C2975,'Mov 2023 hasta ahora '!$C$2:$D$314,2,FALSE),"NO")</f>
        <v>NO</v>
      </c>
      <c r="K2975">
        <v>6</v>
      </c>
      <c r="L2975" t="s">
        <v>836</v>
      </c>
      <c r="M2975">
        <v>24</v>
      </c>
      <c r="O2975" s="29" t="s">
        <v>8858</v>
      </c>
      <c r="P2975" s="25" t="s">
        <v>8862</v>
      </c>
      <c r="Q2975" s="25">
        <v>834</v>
      </c>
      <c r="R2975" t="s">
        <v>436</v>
      </c>
    </row>
    <row r="2976" spans="1:18" s="13" customFormat="1" hidden="1">
      <c r="A2976" s="23" t="s">
        <v>5931</v>
      </c>
      <c r="B2976" s="23" t="s">
        <v>5932</v>
      </c>
      <c r="C2976" s="23">
        <v>2849</v>
      </c>
      <c r="G2976"/>
      <c r="I2976" s="14" t="str">
        <f>+IFERROR(VLOOKUP(C2976,'Mov 2023 hasta ahora '!$C$2:$D$314,2,FALSE),"NO")</f>
        <v>NO</v>
      </c>
      <c r="K2976">
        <v>6</v>
      </c>
      <c r="L2976" t="s">
        <v>836</v>
      </c>
      <c r="M2976">
        <v>24</v>
      </c>
      <c r="O2976" s="29" t="s">
        <v>8847</v>
      </c>
      <c r="P2976" s="25" t="s">
        <v>8851</v>
      </c>
      <c r="Q2976" s="25">
        <v>852</v>
      </c>
      <c r="R2976" t="s">
        <v>436</v>
      </c>
    </row>
    <row r="2977" spans="1:18" hidden="1">
      <c r="A2977" t="s">
        <v>5933</v>
      </c>
      <c r="B2977" t="s">
        <v>5934</v>
      </c>
      <c r="I2977" s="3" t="str">
        <f>+IFERROR(VLOOKUP(C2977,'Mov 2023 hasta ahora '!$C$2:$D$314,2,FALSE),"NO")</f>
        <v>NO</v>
      </c>
      <c r="K2977">
        <v>5</v>
      </c>
      <c r="L2977" t="s">
        <v>836</v>
      </c>
      <c r="M2977">
        <v>18</v>
      </c>
    </row>
    <row r="2978" spans="1:18" s="13" customFormat="1" hidden="1">
      <c r="A2978" s="23" t="s">
        <v>5935</v>
      </c>
      <c r="B2978" s="23" t="s">
        <v>5936</v>
      </c>
      <c r="C2978" s="23">
        <v>2850</v>
      </c>
      <c r="G2978"/>
      <c r="I2978" s="14" t="str">
        <f>+IFERROR(VLOOKUP(C2978,'Mov 2023 hasta ahora '!$C$2:$D$314,2,FALSE),"NO")</f>
        <v>NO</v>
      </c>
      <c r="K2978">
        <v>6</v>
      </c>
      <c r="L2978" t="s">
        <v>836</v>
      </c>
      <c r="M2978">
        <v>24</v>
      </c>
      <c r="O2978" s="29" t="s">
        <v>8858</v>
      </c>
      <c r="P2978" s="25" t="s">
        <v>8862</v>
      </c>
      <c r="Q2978" s="25">
        <v>834</v>
      </c>
      <c r="R2978" t="s">
        <v>436</v>
      </c>
    </row>
    <row r="2979" spans="1:18" s="13" customFormat="1" hidden="1">
      <c r="A2979" s="23" t="s">
        <v>5937</v>
      </c>
      <c r="B2979" s="23" t="s">
        <v>5938</v>
      </c>
      <c r="C2979" s="23">
        <v>2851</v>
      </c>
      <c r="G2979"/>
      <c r="I2979" s="14" t="str">
        <f>+IFERROR(VLOOKUP(C2979,'Mov 2023 hasta ahora '!$C$2:$D$314,2,FALSE),"NO")</f>
        <v>NO</v>
      </c>
      <c r="K2979">
        <v>6</v>
      </c>
      <c r="L2979" t="s">
        <v>836</v>
      </c>
      <c r="M2979">
        <v>24</v>
      </c>
      <c r="O2979" s="29" t="s">
        <v>8847</v>
      </c>
      <c r="P2979" s="25" t="s">
        <v>8851</v>
      </c>
      <c r="Q2979" s="25">
        <v>852</v>
      </c>
      <c r="R2979" t="s">
        <v>436</v>
      </c>
    </row>
    <row r="2980" spans="1:18" hidden="1">
      <c r="A2980" t="s">
        <v>5939</v>
      </c>
      <c r="B2980" t="s">
        <v>5940</v>
      </c>
      <c r="I2980" s="3" t="str">
        <f>+IFERROR(VLOOKUP(C2980,'Mov 2023 hasta ahora '!$C$2:$D$314,2,FALSE),"NO")</f>
        <v>NO</v>
      </c>
      <c r="K2980">
        <v>5</v>
      </c>
      <c r="L2980" t="s">
        <v>836</v>
      </c>
      <c r="M2980">
        <v>18</v>
      </c>
    </row>
    <row r="2981" spans="1:18" s="13" customFormat="1" hidden="1">
      <c r="A2981" s="23" t="s">
        <v>5941</v>
      </c>
      <c r="B2981" s="23" t="s">
        <v>5942</v>
      </c>
      <c r="C2981" s="23">
        <v>2852</v>
      </c>
      <c r="G2981"/>
      <c r="I2981" s="14" t="str">
        <f>+IFERROR(VLOOKUP(C2981,'Mov 2023 hasta ahora '!$C$2:$D$314,2,FALSE),"NO")</f>
        <v>NO</v>
      </c>
      <c r="K2981">
        <v>6</v>
      </c>
      <c r="L2981" t="s">
        <v>836</v>
      </c>
      <c r="M2981">
        <v>24</v>
      </c>
      <c r="O2981" s="29" t="s">
        <v>8795</v>
      </c>
      <c r="P2981" s="25" t="s">
        <v>8798</v>
      </c>
      <c r="Q2981" s="25">
        <v>1489</v>
      </c>
      <c r="R2981" t="s">
        <v>436</v>
      </c>
    </row>
    <row r="2982" spans="1:18" s="13" customFormat="1" hidden="1">
      <c r="A2982" s="23" t="s">
        <v>5943</v>
      </c>
      <c r="B2982" s="23" t="s">
        <v>5944</v>
      </c>
      <c r="C2982" s="23">
        <v>2853</v>
      </c>
      <c r="G2982"/>
      <c r="I2982" s="14" t="str">
        <f>+IFERROR(VLOOKUP(C2982,'Mov 2023 hasta ahora '!$C$2:$D$314,2,FALSE),"NO")</f>
        <v>NO</v>
      </c>
      <c r="K2982">
        <v>6</v>
      </c>
      <c r="L2982" t="s">
        <v>836</v>
      </c>
      <c r="M2982">
        <v>24</v>
      </c>
      <c r="O2982" s="29" t="s">
        <v>8804</v>
      </c>
      <c r="P2982" s="25" t="s">
        <v>8808</v>
      </c>
      <c r="Q2982" s="25">
        <v>1497</v>
      </c>
      <c r="R2982" s="13" t="s">
        <v>436</v>
      </c>
    </row>
    <row r="2983" spans="1:18" hidden="1">
      <c r="A2983" t="s">
        <v>5945</v>
      </c>
      <c r="B2983" t="s">
        <v>5946</v>
      </c>
      <c r="I2983" s="3" t="str">
        <f>+IFERROR(VLOOKUP(C2983,'Mov 2023 hasta ahora '!$C$2:$D$314,2,FALSE),"NO")</f>
        <v>NO</v>
      </c>
      <c r="K2983">
        <v>4</v>
      </c>
      <c r="L2983" t="s">
        <v>836</v>
      </c>
      <c r="M2983">
        <v>14</v>
      </c>
    </row>
    <row r="2984" spans="1:18" hidden="1">
      <c r="A2984" t="s">
        <v>5947</v>
      </c>
      <c r="B2984" t="s">
        <v>5948</v>
      </c>
      <c r="I2984" s="3" t="str">
        <f>+IFERROR(VLOOKUP(C2984,'Mov 2023 hasta ahora '!$C$2:$D$314,2,FALSE),"NO")</f>
        <v>NO</v>
      </c>
      <c r="K2984">
        <v>5</v>
      </c>
      <c r="L2984" t="s">
        <v>836</v>
      </c>
      <c r="M2984">
        <v>18</v>
      </c>
    </row>
    <row r="2985" spans="1:18" s="13" customFormat="1" hidden="1">
      <c r="A2985" s="23" t="s">
        <v>5949</v>
      </c>
      <c r="B2985" s="23" t="s">
        <v>5950</v>
      </c>
      <c r="C2985" s="23">
        <v>2854</v>
      </c>
      <c r="G2985"/>
      <c r="I2985" s="14" t="str">
        <f>+IFERROR(VLOOKUP(C2985,'Mov 2023 hasta ahora '!$C$2:$D$314,2,FALSE),"NO")</f>
        <v>NO</v>
      </c>
      <c r="K2985">
        <v>6</v>
      </c>
      <c r="L2985" t="s">
        <v>836</v>
      </c>
      <c r="M2985">
        <v>24</v>
      </c>
      <c r="O2985" s="29" t="s">
        <v>9000</v>
      </c>
      <c r="P2985" s="25" t="s">
        <v>8863</v>
      </c>
      <c r="Q2985" s="25">
        <v>1132</v>
      </c>
      <c r="R2985" t="s">
        <v>436</v>
      </c>
    </row>
    <row r="2986" spans="1:18" s="13" customFormat="1" hidden="1">
      <c r="A2986" s="23" t="s">
        <v>5951</v>
      </c>
      <c r="B2986" s="23" t="s">
        <v>5952</v>
      </c>
      <c r="C2986" s="23">
        <v>2855</v>
      </c>
      <c r="G2986"/>
      <c r="I2986" s="14" t="str">
        <f>+IFERROR(VLOOKUP(C2986,'Mov 2023 hasta ahora '!$C$2:$D$314,2,FALSE),"NO")</f>
        <v>NO</v>
      </c>
      <c r="K2986">
        <v>6</v>
      </c>
      <c r="L2986" t="s">
        <v>836</v>
      </c>
      <c r="M2986">
        <v>24</v>
      </c>
      <c r="O2986" s="29" t="s">
        <v>9001</v>
      </c>
      <c r="P2986" s="25" t="s">
        <v>8852</v>
      </c>
      <c r="Q2986" s="25">
        <v>1150</v>
      </c>
      <c r="R2986" t="s">
        <v>436</v>
      </c>
    </row>
    <row r="2987" spans="1:18" s="13" customFormat="1" hidden="1">
      <c r="A2987" s="23" t="s">
        <v>5953</v>
      </c>
      <c r="B2987" s="23" t="s">
        <v>5954</v>
      </c>
      <c r="C2987" s="23">
        <v>2856</v>
      </c>
      <c r="G2987"/>
      <c r="I2987" s="14" t="str">
        <f>+IFERROR(VLOOKUP(C2987,'Mov 2023 hasta ahora '!$C$2:$D$314,2,FALSE),"NO")</f>
        <v>NO</v>
      </c>
      <c r="K2987">
        <v>6</v>
      </c>
      <c r="L2987" t="s">
        <v>836</v>
      </c>
      <c r="M2987">
        <v>24</v>
      </c>
      <c r="O2987" s="29" t="s">
        <v>9001</v>
      </c>
      <c r="P2987" s="25" t="s">
        <v>8852</v>
      </c>
      <c r="Q2987" s="25">
        <v>1150</v>
      </c>
      <c r="R2987" t="s">
        <v>436</v>
      </c>
    </row>
    <row r="2988" spans="1:18" hidden="1">
      <c r="A2988" t="s">
        <v>5955</v>
      </c>
      <c r="B2988" t="s">
        <v>5956</v>
      </c>
      <c r="I2988" s="3" t="str">
        <f>+IFERROR(VLOOKUP(C2988,'Mov 2023 hasta ahora '!$C$2:$D$314,2,FALSE),"NO")</f>
        <v>NO</v>
      </c>
      <c r="K2988">
        <v>5</v>
      </c>
      <c r="L2988" t="s">
        <v>836</v>
      </c>
      <c r="M2988">
        <v>18</v>
      </c>
    </row>
    <row r="2989" spans="1:18" s="13" customFormat="1" hidden="1">
      <c r="A2989" s="23" t="s">
        <v>5957</v>
      </c>
      <c r="B2989" s="23" t="s">
        <v>5958</v>
      </c>
      <c r="C2989" s="23">
        <v>2857</v>
      </c>
      <c r="G2989"/>
      <c r="I2989" s="14" t="str">
        <f>+IFERROR(VLOOKUP(C2989,'Mov 2023 hasta ahora '!$C$2:$D$314,2,FALSE),"NO")</f>
        <v>NO</v>
      </c>
      <c r="K2989">
        <v>6</v>
      </c>
      <c r="L2989" t="s">
        <v>836</v>
      </c>
      <c r="M2989">
        <v>24</v>
      </c>
      <c r="O2989" s="29" t="s">
        <v>9002</v>
      </c>
      <c r="P2989" s="25" t="s">
        <v>8799</v>
      </c>
      <c r="Q2989" s="25">
        <v>1513</v>
      </c>
      <c r="R2989" t="s">
        <v>436</v>
      </c>
    </row>
    <row r="2990" spans="1:18" s="13" customFormat="1" hidden="1">
      <c r="A2990" s="23" t="s">
        <v>5959</v>
      </c>
      <c r="B2990" s="23" t="s">
        <v>5960</v>
      </c>
      <c r="C2990" s="23">
        <v>2858</v>
      </c>
      <c r="G2990"/>
      <c r="I2990" s="14" t="str">
        <f>+IFERROR(VLOOKUP(C2990,'Mov 2023 hasta ahora '!$C$2:$D$314,2,FALSE),"NO")</f>
        <v>NO</v>
      </c>
      <c r="K2990">
        <v>6</v>
      </c>
      <c r="L2990" t="s">
        <v>836</v>
      </c>
      <c r="M2990">
        <v>24</v>
      </c>
      <c r="O2990" s="29" t="s">
        <v>9003</v>
      </c>
      <c r="P2990" s="25" t="s">
        <v>8803</v>
      </c>
      <c r="Q2990" s="25">
        <v>1505</v>
      </c>
      <c r="R2990" t="s">
        <v>436</v>
      </c>
    </row>
    <row r="2991" spans="1:18" hidden="1">
      <c r="A2991" t="s">
        <v>5961</v>
      </c>
      <c r="B2991" t="s">
        <v>5962</v>
      </c>
      <c r="I2991" s="3" t="str">
        <f>+IFERROR(VLOOKUP(C2991,'Mov 2023 hasta ahora '!$C$2:$D$314,2,FALSE),"NO")</f>
        <v>NO</v>
      </c>
      <c r="K2991">
        <v>4</v>
      </c>
      <c r="L2991" t="s">
        <v>836</v>
      </c>
      <c r="M2991">
        <v>14</v>
      </c>
    </row>
    <row r="2992" spans="1:18" hidden="1">
      <c r="A2992" t="s">
        <v>5963</v>
      </c>
      <c r="B2992" t="s">
        <v>5964</v>
      </c>
      <c r="I2992" s="3" t="str">
        <f>+IFERROR(VLOOKUP(C2992,'Mov 2023 hasta ahora '!$C$2:$D$314,2,FALSE),"NO")</f>
        <v>NO</v>
      </c>
      <c r="K2992">
        <v>5</v>
      </c>
      <c r="L2992" t="s">
        <v>836</v>
      </c>
      <c r="M2992">
        <v>18</v>
      </c>
    </row>
    <row r="2993" spans="1:18" hidden="1">
      <c r="A2993" s="23" t="s">
        <v>5965</v>
      </c>
      <c r="B2993" s="23" t="s">
        <v>5966</v>
      </c>
      <c r="C2993" s="23">
        <v>2859</v>
      </c>
      <c r="I2993" s="3" t="str">
        <f>+IFERROR(VLOOKUP(C2993,'Mov 2023 hasta ahora '!$C$2:$D$314,2,FALSE),"NO")</f>
        <v>NO</v>
      </c>
      <c r="K2993">
        <v>6</v>
      </c>
      <c r="L2993" t="s">
        <v>836</v>
      </c>
      <c r="M2993">
        <v>24</v>
      </c>
      <c r="O2993" s="29" t="s">
        <v>9049</v>
      </c>
      <c r="P2993" s="25" t="s">
        <v>9050</v>
      </c>
      <c r="Q2993" s="25">
        <v>1363</v>
      </c>
      <c r="R2993" t="s">
        <v>436</v>
      </c>
    </row>
    <row r="2994" spans="1:18" hidden="1">
      <c r="A2994" s="23" t="s">
        <v>5967</v>
      </c>
      <c r="B2994" s="23" t="s">
        <v>5968</v>
      </c>
      <c r="C2994" s="23">
        <v>2860</v>
      </c>
      <c r="I2994" s="3" t="str">
        <f>+IFERROR(VLOOKUP(C2994,'Mov 2023 hasta ahora '!$C$2:$D$314,2,FALSE),"NO")</f>
        <v>NO</v>
      </c>
      <c r="K2994">
        <v>6</v>
      </c>
      <c r="L2994" t="s">
        <v>836</v>
      </c>
      <c r="M2994">
        <v>24</v>
      </c>
      <c r="O2994" s="29" t="s">
        <v>9014</v>
      </c>
      <c r="P2994" s="25" t="s">
        <v>8890</v>
      </c>
      <c r="Q2994" s="25">
        <v>1244</v>
      </c>
      <c r="R2994" t="s">
        <v>436</v>
      </c>
    </row>
    <row r="2995" spans="1:18" hidden="1">
      <c r="A2995" s="23" t="s">
        <v>5969</v>
      </c>
      <c r="B2995" s="23" t="s">
        <v>5970</v>
      </c>
      <c r="C2995" s="23">
        <v>2861</v>
      </c>
      <c r="I2995" s="3" t="str">
        <f>+IFERROR(VLOOKUP(C2995,'Mov 2023 hasta ahora '!$C$2:$D$314,2,FALSE),"NO")</f>
        <v>NO</v>
      </c>
      <c r="K2995">
        <v>6</v>
      </c>
      <c r="L2995" t="s">
        <v>836</v>
      </c>
      <c r="M2995">
        <v>24</v>
      </c>
      <c r="O2995" s="29" t="s">
        <v>9059</v>
      </c>
      <c r="P2995" s="25" t="s">
        <v>9060</v>
      </c>
      <c r="Q2995" s="25">
        <v>1534</v>
      </c>
      <c r="R2995" t="s">
        <v>436</v>
      </c>
    </row>
    <row r="2996" spans="1:18" hidden="1">
      <c r="A2996" s="23" t="s">
        <v>5971</v>
      </c>
      <c r="B2996" s="23" t="s">
        <v>5972</v>
      </c>
      <c r="C2996" s="23">
        <v>2862</v>
      </c>
      <c r="I2996" s="3" t="str">
        <f>+IFERROR(VLOOKUP(C2996,'Mov 2023 hasta ahora '!$C$2:$D$314,2,FALSE),"NO")</f>
        <v>NO</v>
      </c>
      <c r="K2996">
        <v>6</v>
      </c>
      <c r="L2996" t="s">
        <v>836</v>
      </c>
      <c r="M2996">
        <v>24</v>
      </c>
      <c r="O2996" s="29" t="s">
        <v>9030</v>
      </c>
      <c r="P2996" s="25" t="s">
        <v>9029</v>
      </c>
      <c r="Q2996" s="25">
        <v>3817</v>
      </c>
      <c r="R2996" t="s">
        <v>436</v>
      </c>
    </row>
    <row r="2997" spans="1:18" hidden="1">
      <c r="A2997" s="23" t="s">
        <v>5973</v>
      </c>
      <c r="B2997" s="23" t="s">
        <v>5974</v>
      </c>
      <c r="C2997" s="23">
        <v>3300</v>
      </c>
      <c r="I2997" s="3" t="str">
        <f>+IFERROR(VLOOKUP(C2997,'Mov 2023 hasta ahora '!$C$2:$D$314,2,FALSE),"NO")</f>
        <v>NO</v>
      </c>
      <c r="K2997">
        <v>6</v>
      </c>
      <c r="L2997" t="s">
        <v>836</v>
      </c>
      <c r="M2997">
        <v>24</v>
      </c>
      <c r="O2997" s="29" t="s">
        <v>9061</v>
      </c>
      <c r="P2997" s="25" t="s">
        <v>9062</v>
      </c>
      <c r="Q2997" s="25">
        <v>2671</v>
      </c>
      <c r="R2997" t="s">
        <v>436</v>
      </c>
    </row>
    <row r="2998" spans="1:18" s="13" customFormat="1" hidden="1">
      <c r="A2998" s="23" t="s">
        <v>5975</v>
      </c>
      <c r="B2998" s="23" t="s">
        <v>5976</v>
      </c>
      <c r="C2998" s="23">
        <v>3311</v>
      </c>
      <c r="G2998"/>
      <c r="I2998" s="14" t="str">
        <f>+IFERROR(VLOOKUP(C2998,'Mov 2023 hasta ahora '!$C$2:$D$314,2,FALSE),"NO")</f>
        <v>NO</v>
      </c>
      <c r="K2998">
        <v>6</v>
      </c>
      <c r="L2998" t="s">
        <v>836</v>
      </c>
      <c r="M2998">
        <v>24</v>
      </c>
      <c r="O2998" s="29" t="s">
        <v>8861</v>
      </c>
      <c r="P2998" s="25" t="s">
        <v>8868</v>
      </c>
      <c r="Q2998" s="25">
        <v>1419</v>
      </c>
      <c r="R2998" t="s">
        <v>436</v>
      </c>
    </row>
    <row r="2999" spans="1:18" hidden="1">
      <c r="A2999" t="s">
        <v>5977</v>
      </c>
      <c r="B2999" t="s">
        <v>5978</v>
      </c>
      <c r="I2999" s="3" t="str">
        <f>+IFERROR(VLOOKUP(C2999,'Mov 2023 hasta ahora '!$C$2:$D$314,2,FALSE),"NO")</f>
        <v>NO</v>
      </c>
      <c r="K2999">
        <v>4</v>
      </c>
      <c r="L2999" t="s">
        <v>836</v>
      </c>
      <c r="M2999">
        <v>14</v>
      </c>
    </row>
    <row r="3000" spans="1:18" hidden="1">
      <c r="A3000" t="s">
        <v>5979</v>
      </c>
      <c r="B3000" t="s">
        <v>5980</v>
      </c>
      <c r="I3000" s="3" t="str">
        <f>+IFERROR(VLOOKUP(C3000,'Mov 2023 hasta ahora '!$C$2:$D$314,2,FALSE),"NO")</f>
        <v>NO</v>
      </c>
      <c r="K3000">
        <v>5</v>
      </c>
      <c r="L3000" t="s">
        <v>836</v>
      </c>
      <c r="M3000">
        <v>18</v>
      </c>
    </row>
    <row r="3001" spans="1:18" s="13" customFormat="1" hidden="1">
      <c r="A3001" s="23" t="s">
        <v>5981</v>
      </c>
      <c r="B3001" s="23" t="s">
        <v>5982</v>
      </c>
      <c r="C3001" s="23">
        <v>2863</v>
      </c>
      <c r="G3001"/>
      <c r="I3001" s="14" t="str">
        <f>+IFERROR(VLOOKUP(C3001,'Mov 2023 hasta ahora '!$C$2:$D$314,2,FALSE),"NO")</f>
        <v>NO</v>
      </c>
      <c r="K3001">
        <v>6</v>
      </c>
      <c r="L3001" t="s">
        <v>836</v>
      </c>
      <c r="M3001">
        <v>24</v>
      </c>
      <c r="O3001" s="29" t="s">
        <v>9009</v>
      </c>
      <c r="P3001" s="25" t="s">
        <v>9005</v>
      </c>
      <c r="Q3001" s="25">
        <v>1024</v>
      </c>
      <c r="R3001" t="s">
        <v>436</v>
      </c>
    </row>
    <row r="3002" spans="1:18" s="13" customFormat="1" hidden="1">
      <c r="A3002" s="23" t="s">
        <v>5983</v>
      </c>
      <c r="B3002" s="23" t="s">
        <v>5984</v>
      </c>
      <c r="C3002" s="23">
        <v>2864</v>
      </c>
      <c r="G3002"/>
      <c r="I3002" s="14" t="str">
        <f>+IFERROR(VLOOKUP(C3002,'Mov 2023 hasta ahora '!$C$2:$D$314,2,FALSE),"NO")</f>
        <v>NO</v>
      </c>
      <c r="K3002">
        <v>6</v>
      </c>
      <c r="L3002" t="s">
        <v>836</v>
      </c>
      <c r="M3002">
        <v>24</v>
      </c>
      <c r="O3002" s="29" t="s">
        <v>9010</v>
      </c>
      <c r="P3002" s="25" t="s">
        <v>9006</v>
      </c>
      <c r="Q3002" s="25">
        <v>1042</v>
      </c>
      <c r="R3002" t="s">
        <v>436</v>
      </c>
    </row>
    <row r="3003" spans="1:18" s="13" customFormat="1" hidden="1">
      <c r="A3003" s="23" t="s">
        <v>5985</v>
      </c>
      <c r="B3003" s="23" t="s">
        <v>5986</v>
      </c>
      <c r="C3003" s="23">
        <v>2865</v>
      </c>
      <c r="G3003"/>
      <c r="I3003" s="14" t="str">
        <f>+IFERROR(VLOOKUP(C3003,'Mov 2023 hasta ahora '!$C$2:$D$314,2,FALSE),"NO")</f>
        <v>NO</v>
      </c>
      <c r="K3003">
        <v>6</v>
      </c>
      <c r="L3003" t="s">
        <v>836</v>
      </c>
      <c r="M3003">
        <v>24</v>
      </c>
      <c r="O3003" s="29" t="s">
        <v>9010</v>
      </c>
      <c r="P3003" s="25" t="s">
        <v>9006</v>
      </c>
      <c r="Q3003" s="25">
        <v>1042</v>
      </c>
      <c r="R3003" t="s">
        <v>436</v>
      </c>
    </row>
    <row r="3004" spans="1:18" hidden="1">
      <c r="A3004" t="s">
        <v>5987</v>
      </c>
      <c r="B3004" t="s">
        <v>5988</v>
      </c>
      <c r="I3004" s="3" t="str">
        <f>+IFERROR(VLOOKUP(C3004,'Mov 2023 hasta ahora '!$C$2:$D$314,2,FALSE),"NO")</f>
        <v>NO</v>
      </c>
      <c r="K3004">
        <v>3</v>
      </c>
      <c r="L3004" t="s">
        <v>836</v>
      </c>
      <c r="M3004">
        <v>10</v>
      </c>
    </row>
    <row r="3005" spans="1:18" hidden="1">
      <c r="A3005" t="s">
        <v>5989</v>
      </c>
      <c r="B3005" t="s">
        <v>5990</v>
      </c>
      <c r="I3005" s="3" t="str">
        <f>+IFERROR(VLOOKUP(C3005,'Mov 2023 hasta ahora '!$C$2:$D$314,2,FALSE),"NO")</f>
        <v>NO</v>
      </c>
      <c r="K3005">
        <v>4</v>
      </c>
      <c r="L3005" t="s">
        <v>836</v>
      </c>
      <c r="M3005">
        <v>14</v>
      </c>
    </row>
    <row r="3006" spans="1:18" hidden="1">
      <c r="A3006" t="s">
        <v>5991</v>
      </c>
      <c r="B3006" t="s">
        <v>5992</v>
      </c>
      <c r="I3006" s="3" t="str">
        <f>+IFERROR(VLOOKUP(C3006,'Mov 2023 hasta ahora '!$C$2:$D$314,2,FALSE),"NO")</f>
        <v>NO</v>
      </c>
      <c r="K3006">
        <v>5</v>
      </c>
      <c r="L3006" t="s">
        <v>836</v>
      </c>
      <c r="M3006">
        <v>18</v>
      </c>
    </row>
    <row r="3007" spans="1:18" hidden="1">
      <c r="A3007" s="23" t="s">
        <v>5993</v>
      </c>
      <c r="B3007" s="23" t="s">
        <v>5994</v>
      </c>
      <c r="C3007" s="23">
        <v>3367</v>
      </c>
      <c r="I3007" s="3" t="str">
        <f>+IFERROR(VLOOKUP(C3007,'Mov 2023 hasta ahora '!$C$2:$D$314,2,FALSE),"NO")</f>
        <v>NO</v>
      </c>
      <c r="K3007">
        <v>6</v>
      </c>
      <c r="L3007" t="s">
        <v>836</v>
      </c>
      <c r="M3007">
        <v>24</v>
      </c>
      <c r="O3007" s="29" t="s">
        <v>8742</v>
      </c>
      <c r="P3007" s="25" t="s">
        <v>9063</v>
      </c>
      <c r="Q3007" s="25">
        <v>176</v>
      </c>
      <c r="R3007" t="s">
        <v>436</v>
      </c>
    </row>
    <row r="3008" spans="1:18" hidden="1">
      <c r="A3008" s="23" t="s">
        <v>5995</v>
      </c>
      <c r="B3008" s="23" t="s">
        <v>5996</v>
      </c>
      <c r="C3008" s="23">
        <v>3210</v>
      </c>
      <c r="I3008" s="3" t="str">
        <f>+IFERROR(VLOOKUP(C3008,'Mov 2023 hasta ahora '!$C$2:$D$314,2,FALSE),"NO")</f>
        <v>NO</v>
      </c>
      <c r="K3008">
        <v>6</v>
      </c>
      <c r="L3008" t="s">
        <v>836</v>
      </c>
      <c r="M3008">
        <v>24</v>
      </c>
      <c r="O3008" s="29" t="s">
        <v>9057</v>
      </c>
      <c r="P3008" s="25" t="s">
        <v>9058</v>
      </c>
      <c r="Q3008" s="25">
        <v>3212</v>
      </c>
      <c r="R3008" t="s">
        <v>436</v>
      </c>
    </row>
    <row r="3009" spans="1:18" hidden="1">
      <c r="A3009" t="s">
        <v>5997</v>
      </c>
      <c r="B3009" t="s">
        <v>5998</v>
      </c>
      <c r="I3009" s="3" t="str">
        <f>+IFERROR(VLOOKUP(C3009,'Mov 2023 hasta ahora '!$C$2:$D$314,2,FALSE),"NO")</f>
        <v>NO</v>
      </c>
      <c r="K3009">
        <v>4</v>
      </c>
      <c r="L3009" t="s">
        <v>836</v>
      </c>
      <c r="M3009">
        <v>14</v>
      </c>
    </row>
    <row r="3010" spans="1:18" hidden="1">
      <c r="A3010" t="s">
        <v>5999</v>
      </c>
      <c r="B3010" t="s">
        <v>6000</v>
      </c>
      <c r="I3010" s="3" t="str">
        <f>+IFERROR(VLOOKUP(C3010,'Mov 2023 hasta ahora '!$C$2:$D$314,2,FALSE),"NO")</f>
        <v>NO</v>
      </c>
      <c r="K3010">
        <v>5</v>
      </c>
      <c r="L3010" t="s">
        <v>836</v>
      </c>
      <c r="M3010">
        <v>18</v>
      </c>
    </row>
    <row r="3011" spans="1:18" hidden="1">
      <c r="A3011" s="23" t="s">
        <v>6001</v>
      </c>
      <c r="B3011" s="23" t="s">
        <v>6002</v>
      </c>
      <c r="C3011" s="23">
        <v>3368</v>
      </c>
      <c r="I3011" s="3" t="str">
        <f>+IFERROR(VLOOKUP(C3011,'Mov 2023 hasta ahora '!$C$2:$D$314,2,FALSE),"NO")</f>
        <v>NO</v>
      </c>
      <c r="K3011">
        <v>6</v>
      </c>
      <c r="L3011" t="s">
        <v>836</v>
      </c>
      <c r="M3011">
        <v>24</v>
      </c>
      <c r="O3011" s="29" t="s">
        <v>9013</v>
      </c>
      <c r="P3011" s="25" t="s">
        <v>8756</v>
      </c>
      <c r="Q3011" s="25">
        <v>212</v>
      </c>
      <c r="R3011" t="s">
        <v>436</v>
      </c>
    </row>
    <row r="3012" spans="1:18" hidden="1">
      <c r="A3012" t="s">
        <v>6003</v>
      </c>
      <c r="B3012" t="s">
        <v>6004</v>
      </c>
      <c r="I3012" s="3" t="str">
        <f>+IFERROR(VLOOKUP(C3012,'Mov 2023 hasta ahora '!$C$2:$D$314,2,FALSE),"NO")</f>
        <v>NO</v>
      </c>
      <c r="K3012">
        <v>4</v>
      </c>
      <c r="L3012" t="s">
        <v>836</v>
      </c>
      <c r="M3012">
        <v>14</v>
      </c>
    </row>
    <row r="3013" spans="1:18" hidden="1">
      <c r="A3013" t="s">
        <v>6005</v>
      </c>
      <c r="B3013" t="s">
        <v>6006</v>
      </c>
      <c r="I3013" s="3" t="str">
        <f>+IFERROR(VLOOKUP(C3013,'Mov 2023 hasta ahora '!$C$2:$D$314,2,FALSE),"NO")</f>
        <v>NO</v>
      </c>
      <c r="K3013">
        <v>5</v>
      </c>
      <c r="L3013" t="s">
        <v>836</v>
      </c>
      <c r="M3013">
        <v>18</v>
      </c>
    </row>
    <row r="3014" spans="1:18" hidden="1">
      <c r="A3014" s="23" t="s">
        <v>6007</v>
      </c>
      <c r="B3014" s="23" t="s">
        <v>6008</v>
      </c>
      <c r="C3014" s="23">
        <v>2883</v>
      </c>
      <c r="I3014" s="3" t="str">
        <f>+IFERROR(VLOOKUP(C3014,'Mov 2023 hasta ahora '!$C$2:$D$314,2,FALSE),"NO")</f>
        <v>NO</v>
      </c>
      <c r="K3014">
        <v>6</v>
      </c>
      <c r="L3014" t="s">
        <v>836</v>
      </c>
      <c r="M3014">
        <v>24</v>
      </c>
      <c r="O3014" s="29" t="s">
        <v>8794</v>
      </c>
      <c r="P3014" s="25" t="s">
        <v>8982</v>
      </c>
      <c r="Q3014" s="25">
        <v>1441</v>
      </c>
      <c r="R3014" t="s">
        <v>436</v>
      </c>
    </row>
    <row r="3015" spans="1:18" hidden="1">
      <c r="A3015" s="23" t="s">
        <v>6009</v>
      </c>
      <c r="B3015" s="23" t="s">
        <v>6010</v>
      </c>
      <c r="C3015" s="23">
        <v>2884</v>
      </c>
      <c r="I3015" s="3" t="str">
        <f>+IFERROR(VLOOKUP(C3015,'Mov 2023 hasta ahora '!$C$2:$D$314,2,FALSE),"NO")</f>
        <v>NO</v>
      </c>
      <c r="K3015">
        <v>6</v>
      </c>
      <c r="L3015" t="s">
        <v>836</v>
      </c>
      <c r="M3015">
        <v>24</v>
      </c>
      <c r="O3015" s="29" t="s">
        <v>8809</v>
      </c>
      <c r="P3015" s="25" t="s">
        <v>8983</v>
      </c>
      <c r="Q3015" s="25">
        <v>1448</v>
      </c>
      <c r="R3015" t="s">
        <v>436</v>
      </c>
    </row>
    <row r="3016" spans="1:18" s="15" customFormat="1" hidden="1">
      <c r="A3016" s="23" t="s">
        <v>6011</v>
      </c>
      <c r="B3016" s="23" t="s">
        <v>6012</v>
      </c>
      <c r="C3016" s="23">
        <v>3221</v>
      </c>
      <c r="G3016"/>
      <c r="I3016" s="16" t="str">
        <f>+IFERROR(VLOOKUP(C3016,'Mov 2023 hasta ahora '!$C$2:$D$314,2,FALSE),"NO")</f>
        <v>NO</v>
      </c>
      <c r="K3016">
        <v>6</v>
      </c>
      <c r="L3016" t="s">
        <v>836</v>
      </c>
      <c r="M3016">
        <v>24</v>
      </c>
      <c r="O3016" s="29" t="s">
        <v>8802</v>
      </c>
      <c r="P3016" s="25" t="s">
        <v>8976</v>
      </c>
      <c r="Q3016" s="25">
        <v>3222</v>
      </c>
      <c r="R3016" t="s">
        <v>436</v>
      </c>
    </row>
    <row r="3017" spans="1:18" s="15" customFormat="1" hidden="1">
      <c r="A3017" s="23" t="s">
        <v>6013</v>
      </c>
      <c r="B3017" s="23" t="s">
        <v>6014</v>
      </c>
      <c r="C3017" s="23">
        <v>3232</v>
      </c>
      <c r="G3017"/>
      <c r="I3017" s="16" t="str">
        <f>+IFERROR(VLOOKUP(C3017,'Mov 2023 hasta ahora '!$C$2:$D$314,2,FALSE),"NO")</f>
        <v>NO</v>
      </c>
      <c r="K3017">
        <v>6</v>
      </c>
      <c r="L3017" t="s">
        <v>836</v>
      </c>
      <c r="M3017">
        <v>24</v>
      </c>
      <c r="O3017" s="29" t="s">
        <v>8833</v>
      </c>
      <c r="P3017" s="25" t="s">
        <v>8977</v>
      </c>
      <c r="Q3017" s="25">
        <v>3233</v>
      </c>
      <c r="R3017" t="s">
        <v>436</v>
      </c>
    </row>
    <row r="3018" spans="1:18" s="15" customFormat="1" hidden="1">
      <c r="A3018" s="23" t="s">
        <v>6015</v>
      </c>
      <c r="B3018" s="23" t="s">
        <v>6016</v>
      </c>
      <c r="C3018" s="23">
        <v>3243</v>
      </c>
      <c r="G3018"/>
      <c r="I3018" s="16" t="str">
        <f>+IFERROR(VLOOKUP(C3018,'Mov 2023 hasta ahora '!$C$2:$D$314,2,FALSE),"NO")</f>
        <v>NO</v>
      </c>
      <c r="K3018">
        <v>6</v>
      </c>
      <c r="L3018" t="s">
        <v>836</v>
      </c>
      <c r="M3018">
        <v>24</v>
      </c>
      <c r="O3018" s="29" t="s">
        <v>8755</v>
      </c>
      <c r="P3018" s="25" t="s">
        <v>8978</v>
      </c>
      <c r="Q3018" s="25">
        <v>3244</v>
      </c>
      <c r="R3018" t="s">
        <v>436</v>
      </c>
    </row>
    <row r="3019" spans="1:18" hidden="1">
      <c r="A3019" t="s">
        <v>6017</v>
      </c>
      <c r="B3019" t="s">
        <v>6018</v>
      </c>
      <c r="I3019" s="3" t="str">
        <f>+IFERROR(VLOOKUP(C3019,'Mov 2023 hasta ahora '!$C$2:$D$314,2,FALSE),"NO")</f>
        <v>NO</v>
      </c>
      <c r="K3019">
        <v>5</v>
      </c>
      <c r="L3019" t="s">
        <v>836</v>
      </c>
      <c r="M3019">
        <v>18</v>
      </c>
    </row>
    <row r="3020" spans="1:18" hidden="1">
      <c r="A3020" s="23" t="s">
        <v>6019</v>
      </c>
      <c r="B3020" s="23" t="s">
        <v>6020</v>
      </c>
      <c r="C3020" s="23">
        <v>2885</v>
      </c>
      <c r="I3020" s="3" t="str">
        <f>+IFERROR(VLOOKUP(C3020,'Mov 2023 hasta ahora '!$C$2:$D$314,2,FALSE),"NO")</f>
        <v>NO</v>
      </c>
      <c r="K3020">
        <v>6</v>
      </c>
      <c r="L3020" t="s">
        <v>836</v>
      </c>
      <c r="M3020">
        <v>24</v>
      </c>
      <c r="O3020" s="29" t="s">
        <v>8794</v>
      </c>
      <c r="P3020" s="25" t="s">
        <v>8982</v>
      </c>
      <c r="Q3020" s="25">
        <v>1441</v>
      </c>
      <c r="R3020" t="s">
        <v>436</v>
      </c>
    </row>
    <row r="3021" spans="1:18" hidden="1">
      <c r="A3021" s="23" t="s">
        <v>6021</v>
      </c>
      <c r="B3021" s="23" t="s">
        <v>6022</v>
      </c>
      <c r="C3021" s="23">
        <v>2886</v>
      </c>
      <c r="I3021" s="3" t="str">
        <f>+IFERROR(VLOOKUP(C3021,'Mov 2023 hasta ahora '!$C$2:$D$314,2,FALSE),"NO")</f>
        <v>NO</v>
      </c>
      <c r="K3021">
        <v>6</v>
      </c>
      <c r="L3021" t="s">
        <v>836</v>
      </c>
      <c r="M3021">
        <v>24</v>
      </c>
      <c r="O3021" s="29" t="s">
        <v>8809</v>
      </c>
      <c r="P3021" s="25" t="s">
        <v>8983</v>
      </c>
      <c r="Q3021" s="25">
        <v>1448</v>
      </c>
      <c r="R3021" t="s">
        <v>436</v>
      </c>
    </row>
    <row r="3022" spans="1:18" hidden="1">
      <c r="A3022" t="s">
        <v>6023</v>
      </c>
      <c r="B3022" t="s">
        <v>6024</v>
      </c>
      <c r="I3022" s="3" t="str">
        <f>+IFERROR(VLOOKUP(C3022,'Mov 2023 hasta ahora '!$C$2:$D$314,2,FALSE),"NO")</f>
        <v>NO</v>
      </c>
      <c r="K3022">
        <v>4</v>
      </c>
      <c r="L3022" t="s">
        <v>836</v>
      </c>
      <c r="M3022">
        <v>14</v>
      </c>
    </row>
    <row r="3023" spans="1:18" hidden="1">
      <c r="A3023" t="s">
        <v>6025</v>
      </c>
      <c r="B3023" t="s">
        <v>6026</v>
      </c>
      <c r="I3023" s="3" t="str">
        <f>+IFERROR(VLOOKUP(C3023,'Mov 2023 hasta ahora '!$C$2:$D$314,2,FALSE),"NO")</f>
        <v>NO</v>
      </c>
      <c r="K3023">
        <v>5</v>
      </c>
      <c r="L3023" t="s">
        <v>836</v>
      </c>
      <c r="M3023">
        <v>18</v>
      </c>
    </row>
    <row r="3024" spans="1:18" s="13" customFormat="1" hidden="1">
      <c r="A3024" s="23" t="s">
        <v>6027</v>
      </c>
      <c r="B3024" s="23" t="s">
        <v>6028</v>
      </c>
      <c r="C3024" s="23">
        <v>2917</v>
      </c>
      <c r="G3024"/>
      <c r="I3024" s="14" t="str">
        <f>+IFERROR(VLOOKUP(C3024,'Mov 2023 hasta ahora '!$C$2:$D$314,2,FALSE),"NO")</f>
        <v>NO</v>
      </c>
      <c r="K3024">
        <v>6</v>
      </c>
      <c r="L3024" t="s">
        <v>836</v>
      </c>
      <c r="M3024">
        <v>24</v>
      </c>
      <c r="O3024" s="29" t="s">
        <v>8846</v>
      </c>
      <c r="P3024" s="25" t="s">
        <v>8981</v>
      </c>
      <c r="Q3024" s="25">
        <v>2179</v>
      </c>
      <c r="R3024" t="s">
        <v>436</v>
      </c>
    </row>
    <row r="3025" spans="1:18" s="13" customFormat="1" hidden="1">
      <c r="A3025" s="23" t="s">
        <v>6029</v>
      </c>
      <c r="B3025" s="23" t="s">
        <v>6030</v>
      </c>
      <c r="C3025" s="23">
        <v>2826</v>
      </c>
      <c r="G3025"/>
      <c r="I3025" s="14" t="str">
        <f>+IFERROR(VLOOKUP(C3025,'Mov 2023 hasta ahora '!$C$2:$D$314,2,FALSE),"NO")</f>
        <v>NO</v>
      </c>
      <c r="K3025">
        <v>6</v>
      </c>
      <c r="L3025" t="s">
        <v>836</v>
      </c>
      <c r="M3025">
        <v>24</v>
      </c>
      <c r="O3025" s="29" t="s">
        <v>8794</v>
      </c>
      <c r="P3025" s="25" t="s">
        <v>8982</v>
      </c>
      <c r="Q3025" s="25">
        <v>1441</v>
      </c>
      <c r="R3025" t="s">
        <v>436</v>
      </c>
    </row>
    <row r="3026" spans="1:18" s="13" customFormat="1" hidden="1">
      <c r="A3026" s="23" t="s">
        <v>6031</v>
      </c>
      <c r="B3026" s="23" t="s">
        <v>6032</v>
      </c>
      <c r="C3026" s="23">
        <v>2827</v>
      </c>
      <c r="G3026"/>
      <c r="I3026" s="14" t="str">
        <f>+IFERROR(VLOOKUP(C3026,'Mov 2023 hasta ahora '!$C$2:$D$314,2,FALSE),"NO")</f>
        <v>NO</v>
      </c>
      <c r="K3026">
        <v>6</v>
      </c>
      <c r="L3026" t="s">
        <v>836</v>
      </c>
      <c r="M3026">
        <v>24</v>
      </c>
      <c r="O3026" s="29" t="s">
        <v>8809</v>
      </c>
      <c r="P3026" s="25" t="s">
        <v>8983</v>
      </c>
      <c r="Q3026" s="25">
        <v>1448</v>
      </c>
      <c r="R3026" t="s">
        <v>436</v>
      </c>
    </row>
    <row r="3027" spans="1:18" s="13" customFormat="1" hidden="1">
      <c r="A3027" s="23" t="s">
        <v>6033</v>
      </c>
      <c r="B3027" s="23" t="s">
        <v>6034</v>
      </c>
      <c r="C3027" s="23">
        <v>3254</v>
      </c>
      <c r="G3027"/>
      <c r="I3027" s="14" t="str">
        <f>+IFERROR(VLOOKUP(C3027,'Mov 2023 hasta ahora '!$C$2:$D$314,2,FALSE),"NO")</f>
        <v>NO</v>
      </c>
      <c r="K3027">
        <v>6</v>
      </c>
      <c r="L3027" t="s">
        <v>836</v>
      </c>
      <c r="M3027">
        <v>24</v>
      </c>
      <c r="O3027" s="29" t="s">
        <v>8857</v>
      </c>
      <c r="P3027" s="25" t="s">
        <v>8980</v>
      </c>
      <c r="Q3027" s="25">
        <v>2178</v>
      </c>
      <c r="R3027" t="s">
        <v>436</v>
      </c>
    </row>
    <row r="3028" spans="1:18" s="13" customFormat="1" hidden="1">
      <c r="A3028" s="23" t="s">
        <v>6035</v>
      </c>
      <c r="B3028" s="23" t="s">
        <v>6036</v>
      </c>
      <c r="C3028" s="23">
        <v>3265</v>
      </c>
      <c r="G3028"/>
      <c r="I3028" s="14" t="str">
        <f>+IFERROR(VLOOKUP(C3028,'Mov 2023 hasta ahora '!$C$2:$D$314,2,FALSE),"NO")</f>
        <v>NO</v>
      </c>
      <c r="K3028">
        <v>6</v>
      </c>
      <c r="L3028" t="s">
        <v>836</v>
      </c>
      <c r="M3028">
        <v>24</v>
      </c>
      <c r="O3028" s="29" t="s">
        <v>8857</v>
      </c>
      <c r="P3028" s="25" t="s">
        <v>8980</v>
      </c>
      <c r="Q3028" s="25">
        <v>2178</v>
      </c>
      <c r="R3028" t="s">
        <v>436</v>
      </c>
    </row>
    <row r="3029" spans="1:18" s="13" customFormat="1" hidden="1">
      <c r="A3029" s="23" t="s">
        <v>6037</v>
      </c>
      <c r="B3029" s="23" t="s">
        <v>6038</v>
      </c>
      <c r="C3029" s="23">
        <v>3276</v>
      </c>
      <c r="G3029"/>
      <c r="I3029" s="14" t="str">
        <f>+IFERROR(VLOOKUP(C3029,'Mov 2023 hasta ahora '!$C$2:$D$314,2,FALSE),"NO")</f>
        <v>NO</v>
      </c>
      <c r="K3029">
        <v>6</v>
      </c>
      <c r="L3029" t="s">
        <v>836</v>
      </c>
      <c r="M3029">
        <v>24</v>
      </c>
      <c r="O3029" s="29" t="s">
        <v>8857</v>
      </c>
      <c r="P3029" s="25" t="s">
        <v>8980</v>
      </c>
      <c r="Q3029" s="25">
        <v>2178</v>
      </c>
      <c r="R3029" t="s">
        <v>436</v>
      </c>
    </row>
    <row r="3030" spans="1:18" s="13" customFormat="1" hidden="1">
      <c r="A3030" s="23" t="s">
        <v>6039</v>
      </c>
      <c r="B3030" s="23" t="s">
        <v>6040</v>
      </c>
      <c r="C3030" s="23">
        <v>3287</v>
      </c>
      <c r="G3030"/>
      <c r="I3030" s="14" t="str">
        <f>+IFERROR(VLOOKUP(C3030,'Mov 2023 hasta ahora '!$C$2:$D$314,2,FALSE),"NO")</f>
        <v>NO</v>
      </c>
      <c r="K3030">
        <v>6</v>
      </c>
      <c r="L3030" t="s">
        <v>836</v>
      </c>
      <c r="M3030">
        <v>24</v>
      </c>
      <c r="O3030" s="29" t="s">
        <v>8857</v>
      </c>
      <c r="P3030" s="25" t="s">
        <v>8980</v>
      </c>
      <c r="Q3030" s="25">
        <v>2178</v>
      </c>
      <c r="R3030" t="s">
        <v>436</v>
      </c>
    </row>
    <row r="3031" spans="1:18" hidden="1">
      <c r="A3031" t="s">
        <v>6041</v>
      </c>
      <c r="B3031" t="s">
        <v>6042</v>
      </c>
      <c r="I3031" s="3" t="str">
        <f>+IFERROR(VLOOKUP(C3031,'Mov 2023 hasta ahora '!$C$2:$D$314,2,FALSE),"NO")</f>
        <v>NO</v>
      </c>
      <c r="K3031">
        <v>4</v>
      </c>
      <c r="L3031" t="s">
        <v>836</v>
      </c>
      <c r="M3031">
        <v>14</v>
      </c>
    </row>
    <row r="3032" spans="1:18" hidden="1">
      <c r="A3032" t="s">
        <v>6043</v>
      </c>
      <c r="B3032" t="s">
        <v>6044</v>
      </c>
      <c r="I3032" s="3" t="str">
        <f>+IFERROR(VLOOKUP(C3032,'Mov 2023 hasta ahora '!$C$2:$D$314,2,FALSE),"NO")</f>
        <v>NO</v>
      </c>
      <c r="K3032">
        <v>5</v>
      </c>
      <c r="L3032" t="s">
        <v>836</v>
      </c>
      <c r="M3032">
        <v>18</v>
      </c>
    </row>
    <row r="3033" spans="1:18" s="13" customFormat="1" hidden="1">
      <c r="A3033" s="23" t="s">
        <v>6045</v>
      </c>
      <c r="B3033" s="23" t="s">
        <v>6046</v>
      </c>
      <c r="C3033" s="23">
        <v>2973</v>
      </c>
      <c r="G3033"/>
      <c r="I3033" s="14" t="str">
        <f>+IFERROR(VLOOKUP(C3033,'Mov 2023 hasta ahora '!$C$2:$D$314,2,FALSE),"NO")</f>
        <v>NO</v>
      </c>
      <c r="K3033">
        <v>6</v>
      </c>
      <c r="L3033" t="s">
        <v>836</v>
      </c>
      <c r="M3033">
        <v>24</v>
      </c>
      <c r="O3033" s="29" t="s">
        <v>8867</v>
      </c>
      <c r="P3033" s="25" t="s">
        <v>8987</v>
      </c>
      <c r="Q3033" s="25">
        <v>456</v>
      </c>
      <c r="R3033" t="s">
        <v>436</v>
      </c>
    </row>
    <row r="3034" spans="1:18" s="13" customFormat="1" hidden="1">
      <c r="A3034" s="23" t="s">
        <v>6047</v>
      </c>
      <c r="B3034" s="23" t="s">
        <v>6048</v>
      </c>
      <c r="C3034" s="23">
        <v>2972</v>
      </c>
      <c r="G3034"/>
      <c r="I3034" s="14" t="str">
        <f>+IFERROR(VLOOKUP(C3034,'Mov 2023 hasta ahora '!$C$2:$D$314,2,FALSE),"NO")</f>
        <v>NO</v>
      </c>
      <c r="K3034">
        <v>6</v>
      </c>
      <c r="L3034" t="s">
        <v>836</v>
      </c>
      <c r="M3034">
        <v>24</v>
      </c>
      <c r="O3034" s="29" t="s">
        <v>8853</v>
      </c>
      <c r="P3034" s="25" t="s">
        <v>8986</v>
      </c>
      <c r="Q3034" s="25">
        <v>366</v>
      </c>
      <c r="R3034" t="s">
        <v>436</v>
      </c>
    </row>
    <row r="3035" spans="1:18" s="13" customFormat="1" hidden="1">
      <c r="A3035" s="23" t="s">
        <v>6049</v>
      </c>
      <c r="B3035" s="23" t="s">
        <v>6050</v>
      </c>
      <c r="C3035" s="23">
        <v>3327</v>
      </c>
      <c r="G3035"/>
      <c r="I3035" s="14" t="str">
        <f>+IFERROR(VLOOKUP(C3035,'Mov 2023 hasta ahora '!$C$2:$D$314,2,FALSE),"NO")</f>
        <v>NO</v>
      </c>
      <c r="K3035">
        <v>6</v>
      </c>
      <c r="L3035" t="s">
        <v>836</v>
      </c>
      <c r="M3035">
        <v>24</v>
      </c>
      <c r="O3035" s="29" t="s">
        <v>8853</v>
      </c>
      <c r="P3035" s="25" t="s">
        <v>8986</v>
      </c>
      <c r="Q3035" s="25">
        <v>366</v>
      </c>
      <c r="R3035" t="s">
        <v>436</v>
      </c>
    </row>
    <row r="3036" spans="1:18" s="13" customFormat="1" hidden="1">
      <c r="A3036" s="23" t="s">
        <v>6051</v>
      </c>
      <c r="B3036" s="23" t="s">
        <v>6052</v>
      </c>
      <c r="C3036" s="23">
        <v>2887</v>
      </c>
      <c r="G3036"/>
      <c r="I3036" s="14" t="str">
        <f>+IFERROR(VLOOKUP(C3036,'Mov 2023 hasta ahora '!$C$2:$D$314,2,FALSE),"NO")</f>
        <v>NO</v>
      </c>
      <c r="K3036">
        <v>6</v>
      </c>
      <c r="L3036" t="s">
        <v>836</v>
      </c>
      <c r="M3036">
        <v>24</v>
      </c>
      <c r="O3036" s="29" t="s">
        <v>8800</v>
      </c>
      <c r="P3036" s="25" t="s">
        <v>8988</v>
      </c>
      <c r="Q3036" s="25">
        <v>1457</v>
      </c>
      <c r="R3036" t="s">
        <v>436</v>
      </c>
    </row>
    <row r="3037" spans="1:18" s="13" customFormat="1" hidden="1">
      <c r="A3037" s="23" t="s">
        <v>6053</v>
      </c>
      <c r="B3037" s="23" t="s">
        <v>6054</v>
      </c>
      <c r="C3037" s="23">
        <v>2888</v>
      </c>
      <c r="G3037"/>
      <c r="I3037" s="14" t="str">
        <f>+IFERROR(VLOOKUP(C3037,'Mov 2023 hasta ahora '!$C$2:$D$314,2,FALSE),"NO")</f>
        <v>NO</v>
      </c>
      <c r="K3037">
        <v>6</v>
      </c>
      <c r="L3037" t="s">
        <v>836</v>
      </c>
      <c r="M3037">
        <v>24</v>
      </c>
      <c r="O3037" s="29" t="s">
        <v>8810</v>
      </c>
      <c r="P3037" s="25" t="s">
        <v>8989</v>
      </c>
      <c r="Q3037" s="25">
        <v>1465</v>
      </c>
      <c r="R3037" t="s">
        <v>436</v>
      </c>
    </row>
    <row r="3038" spans="1:18" hidden="1">
      <c r="A3038" t="s">
        <v>6055</v>
      </c>
      <c r="B3038" t="s">
        <v>6056</v>
      </c>
      <c r="I3038" s="3" t="str">
        <f>+IFERROR(VLOOKUP(C3038,'Mov 2023 hasta ahora '!$C$2:$D$314,2,FALSE),"NO")</f>
        <v>NO</v>
      </c>
      <c r="K3038">
        <v>4</v>
      </c>
      <c r="L3038" t="s">
        <v>836</v>
      </c>
      <c r="M3038">
        <v>14</v>
      </c>
    </row>
    <row r="3039" spans="1:18" hidden="1">
      <c r="A3039" t="s">
        <v>6057</v>
      </c>
      <c r="B3039" t="s">
        <v>6058</v>
      </c>
      <c r="I3039" s="3" t="str">
        <f>+IFERROR(VLOOKUP(C3039,'Mov 2023 hasta ahora '!$C$2:$D$314,2,FALSE),"NO")</f>
        <v>NO</v>
      </c>
      <c r="K3039">
        <v>5</v>
      </c>
      <c r="L3039" t="s">
        <v>836</v>
      </c>
      <c r="M3039">
        <v>18</v>
      </c>
    </row>
    <row r="3040" spans="1:18" s="13" customFormat="1" hidden="1">
      <c r="A3040" s="23" t="s">
        <v>6059</v>
      </c>
      <c r="B3040" s="23" t="s">
        <v>6060</v>
      </c>
      <c r="C3040" s="23">
        <v>2889</v>
      </c>
      <c r="G3040"/>
      <c r="I3040" s="14" t="str">
        <f>+IFERROR(VLOOKUP(C3040,'Mov 2023 hasta ahora '!$C$2:$D$314,2,FALSE),"NO")</f>
        <v>NO</v>
      </c>
      <c r="K3040">
        <v>6</v>
      </c>
      <c r="L3040" t="s">
        <v>836</v>
      </c>
      <c r="M3040">
        <v>24</v>
      </c>
      <c r="O3040" s="29" t="s">
        <v>8815</v>
      </c>
      <c r="P3040" s="25" t="s">
        <v>8796</v>
      </c>
      <c r="Q3040" s="25">
        <v>1579</v>
      </c>
      <c r="R3040" t="s">
        <v>436</v>
      </c>
    </row>
    <row r="3041" spans="1:18" s="13" customFormat="1" hidden="1">
      <c r="A3041" s="23" t="s">
        <v>6061</v>
      </c>
      <c r="B3041" s="23" t="s">
        <v>6062</v>
      </c>
      <c r="C3041" s="23">
        <v>2890</v>
      </c>
      <c r="G3041"/>
      <c r="I3041" s="14" t="str">
        <f>+IFERROR(VLOOKUP(C3041,'Mov 2023 hasta ahora '!$C$2:$D$314,2,FALSE),"NO")</f>
        <v>NO</v>
      </c>
      <c r="K3041">
        <v>6</v>
      </c>
      <c r="L3041" t="s">
        <v>836</v>
      </c>
      <c r="M3041">
        <v>24</v>
      </c>
      <c r="O3041" s="29" t="s">
        <v>8816</v>
      </c>
      <c r="P3041" s="25" t="s">
        <v>8806</v>
      </c>
      <c r="Q3041" s="25">
        <v>1589</v>
      </c>
      <c r="R3041" t="s">
        <v>436</v>
      </c>
    </row>
    <row r="3042" spans="1:18" hidden="1">
      <c r="A3042" t="s">
        <v>6063</v>
      </c>
      <c r="B3042" t="s">
        <v>6064</v>
      </c>
      <c r="I3042" s="3" t="str">
        <f>+IFERROR(VLOOKUP(C3042,'Mov 2023 hasta ahora '!$C$2:$D$314,2,FALSE),"NO")</f>
        <v>NO</v>
      </c>
      <c r="K3042">
        <v>4</v>
      </c>
      <c r="L3042" t="s">
        <v>836</v>
      </c>
      <c r="M3042">
        <v>14</v>
      </c>
    </row>
    <row r="3043" spans="1:18" hidden="1">
      <c r="A3043" t="s">
        <v>6065</v>
      </c>
      <c r="B3043" t="s">
        <v>6066</v>
      </c>
      <c r="I3043" s="3" t="str">
        <f>+IFERROR(VLOOKUP(C3043,'Mov 2023 hasta ahora '!$C$2:$D$314,2,FALSE),"NO")</f>
        <v>NO</v>
      </c>
      <c r="K3043">
        <v>5</v>
      </c>
      <c r="L3043" t="s">
        <v>836</v>
      </c>
      <c r="M3043">
        <v>18</v>
      </c>
    </row>
    <row r="3044" spans="1:18" s="13" customFormat="1" hidden="1">
      <c r="A3044" s="23" t="s">
        <v>6067</v>
      </c>
      <c r="B3044" s="23" t="s">
        <v>6068</v>
      </c>
      <c r="C3044" s="23">
        <v>3328</v>
      </c>
      <c r="G3044"/>
      <c r="I3044" s="14" t="str">
        <f>+IFERROR(VLOOKUP(C3044,'Mov 2023 hasta ahora '!$C$2:$D$314,2,FALSE),"NO")</f>
        <v>NO</v>
      </c>
      <c r="K3044">
        <v>6</v>
      </c>
      <c r="L3044" t="s">
        <v>836</v>
      </c>
      <c r="M3044">
        <v>24</v>
      </c>
      <c r="O3044" s="30" t="s">
        <v>8768</v>
      </c>
      <c r="P3044" s="30" t="s">
        <v>8994</v>
      </c>
      <c r="Q3044" s="30">
        <v>663</v>
      </c>
      <c r="R3044" s="13" t="s">
        <v>436</v>
      </c>
    </row>
    <row r="3045" spans="1:18" s="13" customFormat="1" hidden="1">
      <c r="A3045" s="23" t="s">
        <v>6069</v>
      </c>
      <c r="B3045" s="23" t="s">
        <v>6070</v>
      </c>
      <c r="C3045" s="23">
        <v>2891</v>
      </c>
      <c r="G3045"/>
      <c r="I3045" s="14" t="str">
        <f>+IFERROR(VLOOKUP(C3045,'Mov 2023 hasta ahora '!$C$2:$D$314,2,FALSE),"NO")</f>
        <v>NO</v>
      </c>
      <c r="K3045">
        <v>6</v>
      </c>
      <c r="L3045" t="s">
        <v>836</v>
      </c>
      <c r="M3045">
        <v>24</v>
      </c>
      <c r="O3045" s="29" t="s">
        <v>8752</v>
      </c>
      <c r="P3045" s="25" t="s">
        <v>8995</v>
      </c>
      <c r="Q3045" s="25">
        <v>1481</v>
      </c>
      <c r="R3045" t="s">
        <v>436</v>
      </c>
    </row>
    <row r="3046" spans="1:18" s="13" customFormat="1" hidden="1">
      <c r="A3046" s="23" t="s">
        <v>6071</v>
      </c>
      <c r="B3046" s="23" t="s">
        <v>6072</v>
      </c>
      <c r="C3046" s="23">
        <v>2892</v>
      </c>
      <c r="G3046"/>
      <c r="I3046" s="14" t="str">
        <f>+IFERROR(VLOOKUP(C3046,'Mov 2023 hasta ahora '!$C$2:$D$314,2,FALSE),"NO")</f>
        <v>NO</v>
      </c>
      <c r="K3046">
        <v>6</v>
      </c>
      <c r="L3046" t="s">
        <v>836</v>
      </c>
      <c r="M3046">
        <v>24</v>
      </c>
      <c r="O3046" s="29" t="s">
        <v>8766</v>
      </c>
      <c r="P3046" s="25" t="s">
        <v>8996</v>
      </c>
      <c r="Q3046" s="25">
        <v>1473</v>
      </c>
      <c r="R3046" t="s">
        <v>436</v>
      </c>
    </row>
    <row r="3047" spans="1:18" hidden="1">
      <c r="A3047" t="s">
        <v>6073</v>
      </c>
      <c r="B3047" t="s">
        <v>6074</v>
      </c>
      <c r="I3047" s="3" t="str">
        <f>+IFERROR(VLOOKUP(C3047,'Mov 2023 hasta ahora '!$C$2:$D$314,2,FALSE),"NO")</f>
        <v>NO</v>
      </c>
      <c r="K3047">
        <v>4</v>
      </c>
      <c r="L3047" t="s">
        <v>836</v>
      </c>
      <c r="M3047">
        <v>14</v>
      </c>
    </row>
    <row r="3048" spans="1:18" hidden="1">
      <c r="A3048" t="s">
        <v>6075</v>
      </c>
      <c r="B3048" t="s">
        <v>6076</v>
      </c>
      <c r="I3048" s="3" t="str">
        <f>+IFERROR(VLOOKUP(C3048,'Mov 2023 hasta ahora '!$C$2:$D$314,2,FALSE),"NO")</f>
        <v>NO</v>
      </c>
      <c r="K3048">
        <v>5</v>
      </c>
      <c r="L3048" t="s">
        <v>836</v>
      </c>
      <c r="M3048">
        <v>18</v>
      </c>
    </row>
    <row r="3049" spans="1:18" s="13" customFormat="1" hidden="1">
      <c r="A3049" s="23" t="s">
        <v>6077</v>
      </c>
      <c r="B3049" s="23" t="s">
        <v>6078</v>
      </c>
      <c r="C3049" s="23">
        <v>2893</v>
      </c>
      <c r="G3049"/>
      <c r="I3049" s="14" t="str">
        <f>+IFERROR(VLOOKUP(C3049,'Mov 2023 hasta ahora '!$C$2:$D$314,2,FALSE),"NO")</f>
        <v>NO</v>
      </c>
      <c r="K3049">
        <v>6</v>
      </c>
      <c r="L3049" t="s">
        <v>836</v>
      </c>
      <c r="M3049">
        <v>24</v>
      </c>
      <c r="O3049" s="29" t="s">
        <v>8795</v>
      </c>
      <c r="P3049" s="25" t="s">
        <v>8798</v>
      </c>
      <c r="Q3049" s="25">
        <v>1489</v>
      </c>
      <c r="R3049" t="s">
        <v>436</v>
      </c>
    </row>
    <row r="3050" spans="1:18" s="13" customFormat="1" hidden="1">
      <c r="A3050" s="23" t="s">
        <v>6079</v>
      </c>
      <c r="B3050" s="23" t="s">
        <v>6080</v>
      </c>
      <c r="C3050" s="23">
        <v>2894</v>
      </c>
      <c r="G3050"/>
      <c r="I3050" s="14" t="str">
        <f>+IFERROR(VLOOKUP(C3050,'Mov 2023 hasta ahora '!$C$2:$D$314,2,FALSE),"NO")</f>
        <v>NO</v>
      </c>
      <c r="K3050">
        <v>6</v>
      </c>
      <c r="L3050" t="s">
        <v>836</v>
      </c>
      <c r="M3050">
        <v>24</v>
      </c>
      <c r="O3050" s="29" t="s">
        <v>8804</v>
      </c>
      <c r="P3050" s="25" t="s">
        <v>8808</v>
      </c>
      <c r="Q3050" s="25">
        <v>1497</v>
      </c>
      <c r="R3050" s="13" t="s">
        <v>436</v>
      </c>
    </row>
    <row r="3051" spans="1:18" hidden="1">
      <c r="A3051" t="s">
        <v>6081</v>
      </c>
      <c r="B3051" t="s">
        <v>6082</v>
      </c>
      <c r="I3051" s="3" t="str">
        <f>+IFERROR(VLOOKUP(C3051,'Mov 2023 hasta ahora '!$C$2:$D$314,2,FALSE),"NO")</f>
        <v>NO</v>
      </c>
      <c r="K3051">
        <v>4</v>
      </c>
      <c r="L3051" t="s">
        <v>836</v>
      </c>
      <c r="M3051">
        <v>14</v>
      </c>
    </row>
    <row r="3052" spans="1:18" hidden="1">
      <c r="A3052" t="s">
        <v>6083</v>
      </c>
      <c r="B3052" t="s">
        <v>6084</v>
      </c>
      <c r="I3052" s="3" t="str">
        <f>+IFERROR(VLOOKUP(C3052,'Mov 2023 hasta ahora '!$C$2:$D$314,2,FALSE),"NO")</f>
        <v>NO</v>
      </c>
      <c r="K3052">
        <v>5</v>
      </c>
      <c r="L3052" t="s">
        <v>836</v>
      </c>
      <c r="M3052">
        <v>18</v>
      </c>
    </row>
    <row r="3053" spans="1:18" s="13" customFormat="1" hidden="1">
      <c r="A3053" s="23" t="s">
        <v>6085</v>
      </c>
      <c r="B3053" s="23" t="s">
        <v>6086</v>
      </c>
      <c r="C3053" s="23">
        <v>2948</v>
      </c>
      <c r="G3053"/>
      <c r="I3053" s="14" t="str">
        <f>+IFERROR(VLOOKUP(C3053,'Mov 2023 hasta ahora '!$C$2:$D$314,2,FALSE),"NO")</f>
        <v>NO</v>
      </c>
      <c r="K3053">
        <v>6</v>
      </c>
      <c r="L3053" t="s">
        <v>836</v>
      </c>
      <c r="M3053">
        <v>24</v>
      </c>
      <c r="O3053" s="29" t="s">
        <v>9010</v>
      </c>
      <c r="P3053" s="25" t="s">
        <v>9006</v>
      </c>
      <c r="Q3053" s="25">
        <v>1042</v>
      </c>
      <c r="R3053" t="s">
        <v>436</v>
      </c>
    </row>
    <row r="3054" spans="1:18" hidden="1">
      <c r="A3054" t="s">
        <v>6087</v>
      </c>
      <c r="B3054" t="s">
        <v>6088</v>
      </c>
      <c r="I3054" s="3" t="str">
        <f>+IFERROR(VLOOKUP(C3054,'Mov 2023 hasta ahora '!$C$2:$D$314,2,FALSE),"NO")</f>
        <v>NO</v>
      </c>
      <c r="K3054">
        <v>4</v>
      </c>
      <c r="L3054" t="s">
        <v>836</v>
      </c>
      <c r="M3054">
        <v>14</v>
      </c>
    </row>
    <row r="3055" spans="1:18" hidden="1">
      <c r="A3055" t="s">
        <v>6089</v>
      </c>
      <c r="B3055" t="s">
        <v>6090</v>
      </c>
      <c r="I3055" s="3" t="str">
        <f>+IFERROR(VLOOKUP(C3055,'Mov 2023 hasta ahora '!$C$2:$D$314,2,FALSE),"NO")</f>
        <v>NO</v>
      </c>
      <c r="K3055">
        <v>5</v>
      </c>
      <c r="L3055" t="s">
        <v>836</v>
      </c>
      <c r="M3055">
        <v>18</v>
      </c>
    </row>
    <row r="3056" spans="1:18" s="13" customFormat="1" hidden="1">
      <c r="A3056" s="23" t="s">
        <v>6091</v>
      </c>
      <c r="B3056" s="23" t="s">
        <v>6092</v>
      </c>
      <c r="C3056" s="23">
        <v>2895</v>
      </c>
      <c r="G3056"/>
      <c r="I3056" s="14" t="str">
        <f>+IFERROR(VLOOKUP(C3056,'Mov 2023 hasta ahora '!$C$2:$D$314,2,FALSE),"NO")</f>
        <v>NO</v>
      </c>
      <c r="K3056">
        <v>6</v>
      </c>
      <c r="L3056" t="s">
        <v>836</v>
      </c>
      <c r="M3056">
        <v>24</v>
      </c>
      <c r="O3056" s="29" t="s">
        <v>9002</v>
      </c>
      <c r="P3056" s="25" t="s">
        <v>8799</v>
      </c>
      <c r="Q3056" s="25">
        <v>1513</v>
      </c>
      <c r="R3056" t="s">
        <v>436</v>
      </c>
    </row>
    <row r="3057" spans="1:18" s="13" customFormat="1" hidden="1">
      <c r="A3057" s="23" t="s">
        <v>6093</v>
      </c>
      <c r="B3057" s="23" t="s">
        <v>6094</v>
      </c>
      <c r="C3057" s="23">
        <v>2896</v>
      </c>
      <c r="G3057"/>
      <c r="I3057" s="14" t="str">
        <f>+IFERROR(VLOOKUP(C3057,'Mov 2023 hasta ahora '!$C$2:$D$314,2,FALSE),"NO")</f>
        <v>NO</v>
      </c>
      <c r="K3057">
        <v>6</v>
      </c>
      <c r="L3057" t="s">
        <v>836</v>
      </c>
      <c r="M3057">
        <v>24</v>
      </c>
      <c r="O3057" s="29" t="s">
        <v>9003</v>
      </c>
      <c r="P3057" s="25" t="s">
        <v>8803</v>
      </c>
      <c r="Q3057" s="25">
        <v>1505</v>
      </c>
      <c r="R3057" t="s">
        <v>436</v>
      </c>
    </row>
    <row r="3058" spans="1:18" hidden="1">
      <c r="A3058" t="s">
        <v>6095</v>
      </c>
      <c r="B3058" t="s">
        <v>6096</v>
      </c>
      <c r="I3058" s="3" t="str">
        <f>+IFERROR(VLOOKUP(C3058,'Mov 2023 hasta ahora '!$C$2:$D$314,2,FALSE),"NO")</f>
        <v>NO</v>
      </c>
      <c r="K3058">
        <v>4</v>
      </c>
      <c r="L3058" t="s">
        <v>836</v>
      </c>
      <c r="M3058">
        <v>14</v>
      </c>
    </row>
    <row r="3059" spans="1:18" hidden="1">
      <c r="A3059" t="s">
        <v>6097</v>
      </c>
      <c r="B3059" t="s">
        <v>6098</v>
      </c>
      <c r="I3059" s="3" t="str">
        <f>+IFERROR(VLOOKUP(C3059,'Mov 2023 hasta ahora '!$C$2:$D$314,2,FALSE),"NO")</f>
        <v>NO</v>
      </c>
      <c r="K3059">
        <v>5</v>
      </c>
      <c r="L3059" t="s">
        <v>836</v>
      </c>
      <c r="M3059">
        <v>18</v>
      </c>
    </row>
    <row r="3060" spans="1:18" hidden="1">
      <c r="A3060" s="23" t="s">
        <v>6099</v>
      </c>
      <c r="B3060" s="23" t="s">
        <v>6100</v>
      </c>
      <c r="C3060" s="23">
        <v>3298</v>
      </c>
      <c r="I3060" s="3" t="str">
        <f>+IFERROR(VLOOKUP(C3060,'Mov 2023 hasta ahora '!$C$2:$D$314,2,FALSE),"NO")</f>
        <v>NO</v>
      </c>
      <c r="K3060">
        <v>6</v>
      </c>
      <c r="L3060" t="s">
        <v>836</v>
      </c>
      <c r="M3060">
        <v>24</v>
      </c>
      <c r="O3060" s="29" t="s">
        <v>9061</v>
      </c>
      <c r="P3060" s="25" t="s">
        <v>9062</v>
      </c>
      <c r="Q3060" s="25">
        <v>2671</v>
      </c>
      <c r="R3060" t="s">
        <v>436</v>
      </c>
    </row>
    <row r="3061" spans="1:18" hidden="1">
      <c r="A3061" s="23" t="s">
        <v>6101</v>
      </c>
      <c r="B3061" s="23" t="s">
        <v>6102</v>
      </c>
      <c r="C3061" s="23">
        <v>2897</v>
      </c>
      <c r="I3061" s="3" t="str">
        <f>+IFERROR(VLOOKUP(C3061,'Mov 2023 hasta ahora '!$C$2:$D$314,2,FALSE),"NO")</f>
        <v>NO</v>
      </c>
      <c r="K3061">
        <v>6</v>
      </c>
      <c r="L3061" t="s">
        <v>836</v>
      </c>
      <c r="M3061">
        <v>24</v>
      </c>
      <c r="O3061" s="29" t="s">
        <v>8861</v>
      </c>
      <c r="P3061" s="25" t="s">
        <v>8868</v>
      </c>
      <c r="Q3061" s="25">
        <v>1419</v>
      </c>
      <c r="R3061" t="s">
        <v>436</v>
      </c>
    </row>
    <row r="3062" spans="1:18" s="13" customFormat="1" hidden="1">
      <c r="A3062" s="23" t="s">
        <v>6103</v>
      </c>
      <c r="B3062" s="23" t="s">
        <v>6104</v>
      </c>
      <c r="C3062" s="23">
        <v>3309</v>
      </c>
      <c r="G3062"/>
      <c r="I3062" s="14" t="str">
        <f>+IFERROR(VLOOKUP(C3062,'Mov 2023 hasta ahora '!$C$2:$D$314,2,FALSE),"NO")</f>
        <v>NO</v>
      </c>
      <c r="K3062">
        <v>6</v>
      </c>
      <c r="L3062" t="s">
        <v>836</v>
      </c>
      <c r="M3062">
        <v>24</v>
      </c>
      <c r="O3062" s="29" t="s">
        <v>8861</v>
      </c>
      <c r="P3062" s="25" t="s">
        <v>8868</v>
      </c>
      <c r="Q3062" s="25">
        <v>1419</v>
      </c>
      <c r="R3062" t="s">
        <v>436</v>
      </c>
    </row>
    <row r="3063" spans="1:18" hidden="1">
      <c r="A3063" t="s">
        <v>6105</v>
      </c>
      <c r="B3063" t="s">
        <v>6106</v>
      </c>
      <c r="I3063" s="3" t="str">
        <f>+IFERROR(VLOOKUP(C3063,'Mov 2023 hasta ahora '!$C$2:$D$314,2,FALSE),"NO")</f>
        <v>NO</v>
      </c>
      <c r="K3063">
        <v>5</v>
      </c>
      <c r="L3063" t="s">
        <v>836</v>
      </c>
      <c r="M3063">
        <v>18</v>
      </c>
    </row>
    <row r="3064" spans="1:18" hidden="1">
      <c r="A3064" s="23" t="s">
        <v>6107</v>
      </c>
      <c r="B3064" s="23" t="s">
        <v>6108</v>
      </c>
      <c r="C3064" s="23">
        <v>2898</v>
      </c>
      <c r="I3064" s="3" t="str">
        <f>+IFERROR(VLOOKUP(C3064,'Mov 2023 hasta ahora '!$C$2:$D$314,2,FALSE),"NO")</f>
        <v>NO</v>
      </c>
      <c r="K3064">
        <v>6</v>
      </c>
      <c r="L3064" t="s">
        <v>836</v>
      </c>
      <c r="M3064">
        <v>24</v>
      </c>
      <c r="O3064" s="29" t="s">
        <v>9049</v>
      </c>
      <c r="P3064" s="25" t="s">
        <v>9050</v>
      </c>
      <c r="Q3064" s="25">
        <v>1363</v>
      </c>
      <c r="R3064" t="s">
        <v>436</v>
      </c>
    </row>
    <row r="3065" spans="1:18" hidden="1">
      <c r="A3065" s="23" t="s">
        <v>6109</v>
      </c>
      <c r="B3065" s="23" t="s">
        <v>6110</v>
      </c>
      <c r="C3065" s="23">
        <v>2899</v>
      </c>
      <c r="I3065" s="3" t="str">
        <f>+IFERROR(VLOOKUP(C3065,'Mov 2023 hasta ahora '!$C$2:$D$314,2,FALSE),"NO")</f>
        <v>NO</v>
      </c>
      <c r="K3065">
        <v>6</v>
      </c>
      <c r="L3065" t="s">
        <v>836</v>
      </c>
      <c r="M3065">
        <v>24</v>
      </c>
      <c r="O3065" s="29" t="s">
        <v>9014</v>
      </c>
      <c r="P3065" s="25" t="s">
        <v>8890</v>
      </c>
      <c r="Q3065" s="25">
        <v>1244</v>
      </c>
      <c r="R3065" t="s">
        <v>436</v>
      </c>
    </row>
    <row r="3066" spans="1:18" hidden="1">
      <c r="A3066" s="23" t="s">
        <v>6111</v>
      </c>
      <c r="B3066" s="23" t="s">
        <v>6112</v>
      </c>
      <c r="C3066" s="23">
        <v>2900</v>
      </c>
      <c r="I3066" s="3" t="str">
        <f>+IFERROR(VLOOKUP(C3066,'Mov 2023 hasta ahora '!$C$2:$D$314,2,FALSE),"NO")</f>
        <v>NO</v>
      </c>
      <c r="K3066">
        <v>6</v>
      </c>
      <c r="L3066" t="s">
        <v>836</v>
      </c>
      <c r="M3066">
        <v>24</v>
      </c>
      <c r="O3066" s="29" t="s">
        <v>9030</v>
      </c>
      <c r="P3066" s="25" t="s">
        <v>9029</v>
      </c>
      <c r="Q3066" s="25">
        <v>3817</v>
      </c>
      <c r="R3066" t="s">
        <v>436</v>
      </c>
    </row>
    <row r="3067" spans="1:18" s="13" customFormat="1" hidden="1">
      <c r="A3067" s="23" t="s">
        <v>6113</v>
      </c>
      <c r="B3067" s="23" t="s">
        <v>6114</v>
      </c>
      <c r="C3067" s="23">
        <v>2901</v>
      </c>
      <c r="G3067"/>
      <c r="I3067" s="14" t="str">
        <f>+IFERROR(VLOOKUP(C3067,'Mov 2023 hasta ahora '!$C$2:$D$314,2,FALSE),"NO")</f>
        <v>NO</v>
      </c>
      <c r="K3067">
        <v>6</v>
      </c>
      <c r="L3067" t="s">
        <v>836</v>
      </c>
      <c r="M3067">
        <v>24</v>
      </c>
      <c r="O3067" s="29" t="s">
        <v>8825</v>
      </c>
      <c r="P3067" s="25" t="s">
        <v>8832</v>
      </c>
      <c r="Q3067" s="25">
        <v>3601</v>
      </c>
      <c r="R3067" t="s">
        <v>436</v>
      </c>
    </row>
    <row r="3068" spans="1:18" s="13" customFormat="1" hidden="1">
      <c r="A3068" s="23" t="s">
        <v>6115</v>
      </c>
      <c r="B3068" s="23" t="s">
        <v>6116</v>
      </c>
      <c r="C3068" s="23">
        <v>2902</v>
      </c>
      <c r="G3068"/>
      <c r="I3068" s="14" t="str">
        <f>+IFERROR(VLOOKUP(C3068,'Mov 2023 hasta ahora '!$C$2:$D$314,2,FALSE),"NO")</f>
        <v>NO</v>
      </c>
      <c r="K3068">
        <v>6</v>
      </c>
      <c r="L3068" t="s">
        <v>836</v>
      </c>
      <c r="M3068">
        <v>24</v>
      </c>
      <c r="O3068" s="29" t="s">
        <v>8992</v>
      </c>
      <c r="P3068" s="25" t="s">
        <v>8836</v>
      </c>
      <c r="Q3068" s="25">
        <v>3603</v>
      </c>
      <c r="R3068" t="s">
        <v>436</v>
      </c>
    </row>
    <row r="3069" spans="1:18" hidden="1">
      <c r="A3069" t="s">
        <v>6117</v>
      </c>
      <c r="B3069" t="s">
        <v>1601</v>
      </c>
      <c r="I3069" s="3" t="str">
        <f>+IFERROR(VLOOKUP(C3069,'Mov 2023 hasta ahora '!$C$2:$D$314,2,FALSE),"NO")</f>
        <v>NO</v>
      </c>
      <c r="K3069">
        <v>3</v>
      </c>
      <c r="L3069" t="s">
        <v>836</v>
      </c>
      <c r="M3069">
        <v>10</v>
      </c>
    </row>
    <row r="3070" spans="1:18" hidden="1">
      <c r="A3070" t="s">
        <v>6118</v>
      </c>
      <c r="B3070" t="s">
        <v>6119</v>
      </c>
      <c r="I3070" s="3" t="str">
        <f>+IFERROR(VLOOKUP(C3070,'Mov 2023 hasta ahora '!$C$2:$D$314,2,FALSE),"NO")</f>
        <v>NO</v>
      </c>
      <c r="K3070">
        <v>4</v>
      </c>
      <c r="L3070" t="s">
        <v>836</v>
      </c>
      <c r="M3070">
        <v>14</v>
      </c>
    </row>
    <row r="3071" spans="1:18" hidden="1">
      <c r="A3071" t="s">
        <v>6120</v>
      </c>
      <c r="B3071" t="s">
        <v>6121</v>
      </c>
      <c r="I3071" s="3" t="str">
        <f>+IFERROR(VLOOKUP(C3071,'Mov 2023 hasta ahora '!$C$2:$D$314,2,FALSE),"NO")</f>
        <v>NO</v>
      </c>
      <c r="K3071">
        <v>5</v>
      </c>
      <c r="L3071" t="s">
        <v>836</v>
      </c>
      <c r="M3071">
        <v>18</v>
      </c>
    </row>
    <row r="3072" spans="1:18" s="13" customFormat="1" hidden="1">
      <c r="A3072" s="23" t="s">
        <v>6122</v>
      </c>
      <c r="B3072" s="23" t="s">
        <v>6123</v>
      </c>
      <c r="C3072" s="23">
        <v>2976</v>
      </c>
      <c r="G3072"/>
      <c r="I3072" s="14" t="str">
        <f>+IFERROR(VLOOKUP(C3072,'Mov 2023 hasta ahora '!$C$2:$D$314,2,FALSE),"NO")</f>
        <v>NO</v>
      </c>
      <c r="K3072">
        <v>6</v>
      </c>
      <c r="L3072" t="s">
        <v>836</v>
      </c>
      <c r="M3072">
        <v>24</v>
      </c>
      <c r="O3072" s="29" t="s">
        <v>8857</v>
      </c>
      <c r="P3072" s="25" t="s">
        <v>8980</v>
      </c>
      <c r="Q3072" s="25">
        <v>2178</v>
      </c>
      <c r="R3072" t="s">
        <v>436</v>
      </c>
    </row>
    <row r="3073" spans="1:18" s="13" customFormat="1" hidden="1">
      <c r="A3073" s="23" t="s">
        <v>6124</v>
      </c>
      <c r="B3073" s="23" t="s">
        <v>6125</v>
      </c>
      <c r="C3073" s="23">
        <v>2977</v>
      </c>
      <c r="G3073"/>
      <c r="I3073" s="14" t="str">
        <f>+IFERROR(VLOOKUP(C3073,'Mov 2023 hasta ahora '!$C$2:$D$314,2,FALSE),"NO")</f>
        <v>NO</v>
      </c>
      <c r="K3073">
        <v>6</v>
      </c>
      <c r="L3073" t="s">
        <v>836</v>
      </c>
      <c r="M3073">
        <v>24</v>
      </c>
      <c r="O3073" s="29" t="s">
        <v>8846</v>
      </c>
      <c r="P3073" s="25" t="s">
        <v>8981</v>
      </c>
      <c r="Q3073" s="25">
        <v>2179</v>
      </c>
      <c r="R3073" t="s">
        <v>436</v>
      </c>
    </row>
    <row r="3074" spans="1:18" s="13" customFormat="1" hidden="1">
      <c r="A3074" s="23" t="s">
        <v>6126</v>
      </c>
      <c r="B3074" s="23" t="s">
        <v>6127</v>
      </c>
      <c r="C3074" s="23">
        <v>2978</v>
      </c>
      <c r="G3074"/>
      <c r="I3074" s="14" t="str">
        <f>+IFERROR(VLOOKUP(C3074,'Mov 2023 hasta ahora '!$C$2:$D$314,2,FALSE),"NO")</f>
        <v>NO</v>
      </c>
      <c r="K3074">
        <v>6</v>
      </c>
      <c r="L3074" t="s">
        <v>836</v>
      </c>
      <c r="M3074">
        <v>24</v>
      </c>
      <c r="O3074" s="29" t="s">
        <v>8746</v>
      </c>
      <c r="P3074" s="25" t="s">
        <v>9054</v>
      </c>
      <c r="Q3074" s="25">
        <v>185</v>
      </c>
      <c r="R3074" t="s">
        <v>436</v>
      </c>
    </row>
    <row r="3075" spans="1:18" s="13" customFormat="1" hidden="1">
      <c r="A3075" s="23" t="s">
        <v>6128</v>
      </c>
      <c r="B3075" s="23" t="s">
        <v>6129</v>
      </c>
      <c r="C3075" s="23">
        <v>2979</v>
      </c>
      <c r="G3075"/>
      <c r="I3075" s="14" t="str">
        <f>+IFERROR(VLOOKUP(C3075,'Mov 2023 hasta ahora '!$C$2:$D$314,2,FALSE),"NO")</f>
        <v>NO</v>
      </c>
      <c r="K3075">
        <v>6</v>
      </c>
      <c r="L3075" t="s">
        <v>836</v>
      </c>
      <c r="M3075">
        <v>24</v>
      </c>
      <c r="O3075" s="29" t="s">
        <v>9013</v>
      </c>
      <c r="P3075" s="25" t="s">
        <v>8756</v>
      </c>
      <c r="Q3075" s="25">
        <v>212</v>
      </c>
      <c r="R3075" t="s">
        <v>436</v>
      </c>
    </row>
    <row r="3076" spans="1:18" s="13" customFormat="1" hidden="1">
      <c r="A3076" s="23" t="s">
        <v>6130</v>
      </c>
      <c r="B3076" s="23" t="s">
        <v>6131</v>
      </c>
      <c r="C3076" s="23">
        <v>2980</v>
      </c>
      <c r="G3076"/>
      <c r="I3076" s="14" t="str">
        <f>+IFERROR(VLOOKUP(C3076,'Mov 2023 hasta ahora '!$C$2:$D$314,2,FALSE),"NO")</f>
        <v>NO</v>
      </c>
      <c r="K3076">
        <v>6</v>
      </c>
      <c r="L3076" t="s">
        <v>836</v>
      </c>
      <c r="M3076">
        <v>24</v>
      </c>
      <c r="O3076" s="29" t="s">
        <v>8794</v>
      </c>
      <c r="P3076" s="25" t="s">
        <v>8982</v>
      </c>
      <c r="Q3076" s="25">
        <v>1441</v>
      </c>
      <c r="R3076" t="s">
        <v>436</v>
      </c>
    </row>
    <row r="3077" spans="1:18" s="13" customFormat="1" hidden="1">
      <c r="A3077" s="23" t="s">
        <v>6132</v>
      </c>
      <c r="B3077" s="23" t="s">
        <v>6133</v>
      </c>
      <c r="C3077" s="23">
        <v>2981</v>
      </c>
      <c r="G3077"/>
      <c r="I3077" s="14" t="str">
        <f>+IFERROR(VLOOKUP(C3077,'Mov 2023 hasta ahora '!$C$2:$D$314,2,FALSE),"NO")</f>
        <v>NO</v>
      </c>
      <c r="K3077">
        <v>6</v>
      </c>
      <c r="L3077" t="s">
        <v>836</v>
      </c>
      <c r="M3077">
        <v>24</v>
      </c>
      <c r="O3077" s="29" t="s">
        <v>8809</v>
      </c>
      <c r="P3077" s="25" t="s">
        <v>8983</v>
      </c>
      <c r="Q3077" s="25">
        <v>1448</v>
      </c>
      <c r="R3077" t="s">
        <v>436</v>
      </c>
    </row>
    <row r="3078" spans="1:18" hidden="1">
      <c r="A3078" t="s">
        <v>6134</v>
      </c>
      <c r="B3078" t="s">
        <v>6135</v>
      </c>
      <c r="I3078" s="3" t="str">
        <f>+IFERROR(VLOOKUP(C3078,'Mov 2023 hasta ahora '!$C$2:$D$314,2,FALSE),"NO")</f>
        <v>NO</v>
      </c>
      <c r="K3078">
        <v>4</v>
      </c>
      <c r="L3078" t="s">
        <v>836</v>
      </c>
      <c r="M3078">
        <v>14</v>
      </c>
    </row>
    <row r="3079" spans="1:18" hidden="1">
      <c r="A3079" t="s">
        <v>6136</v>
      </c>
      <c r="B3079" t="s">
        <v>6137</v>
      </c>
      <c r="I3079" s="3" t="str">
        <f>+IFERROR(VLOOKUP(C3079,'Mov 2023 hasta ahora '!$C$2:$D$314,2,FALSE),"NO")</f>
        <v>NO</v>
      </c>
      <c r="K3079">
        <v>5</v>
      </c>
      <c r="L3079" t="s">
        <v>836</v>
      </c>
      <c r="M3079">
        <v>18</v>
      </c>
    </row>
    <row r="3080" spans="1:18" hidden="1">
      <c r="A3080" s="23" t="s">
        <v>6138</v>
      </c>
      <c r="B3080" s="23" t="s">
        <v>6139</v>
      </c>
      <c r="C3080" s="23">
        <v>2982</v>
      </c>
      <c r="I3080" s="3" t="str">
        <f>+IFERROR(VLOOKUP(C3080,'Mov 2023 hasta ahora '!$C$2:$D$314,2,FALSE),"NO")</f>
        <v>NO</v>
      </c>
      <c r="K3080">
        <v>6</v>
      </c>
      <c r="L3080" t="s">
        <v>836</v>
      </c>
      <c r="M3080">
        <v>24</v>
      </c>
      <c r="O3080" s="29" t="s">
        <v>9049</v>
      </c>
      <c r="P3080" s="25" t="s">
        <v>9050</v>
      </c>
      <c r="Q3080" s="25">
        <v>1363</v>
      </c>
      <c r="R3080" t="s">
        <v>436</v>
      </c>
    </row>
    <row r="3081" spans="1:18" hidden="1">
      <c r="A3081" s="23" t="s">
        <v>6140</v>
      </c>
      <c r="B3081" s="23" t="s">
        <v>6141</v>
      </c>
      <c r="C3081" s="23">
        <v>2983</v>
      </c>
      <c r="I3081" s="3" t="str">
        <f>+IFERROR(VLOOKUP(C3081,'Mov 2023 hasta ahora '!$C$2:$D$314,2,FALSE),"NO")</f>
        <v>NO</v>
      </c>
      <c r="K3081">
        <v>6</v>
      </c>
      <c r="L3081" t="s">
        <v>836</v>
      </c>
      <c r="M3081">
        <v>24</v>
      </c>
      <c r="O3081" s="29" t="s">
        <v>9014</v>
      </c>
      <c r="P3081" s="25" t="s">
        <v>8890</v>
      </c>
      <c r="Q3081" s="25">
        <v>1244</v>
      </c>
      <c r="R3081" t="s">
        <v>436</v>
      </c>
    </row>
    <row r="3082" spans="1:18" hidden="1">
      <c r="A3082" s="23" t="s">
        <v>6142</v>
      </c>
      <c r="B3082" s="23" t="s">
        <v>6143</v>
      </c>
      <c r="C3082" s="23">
        <v>2984</v>
      </c>
      <c r="I3082" s="3" t="str">
        <f>+IFERROR(VLOOKUP(C3082,'Mov 2023 hasta ahora '!$C$2:$D$314,2,FALSE),"NO")</f>
        <v>NO</v>
      </c>
      <c r="K3082">
        <v>6</v>
      </c>
      <c r="L3082" t="s">
        <v>836</v>
      </c>
      <c r="M3082">
        <v>24</v>
      </c>
      <c r="O3082" s="29" t="s">
        <v>9030</v>
      </c>
      <c r="P3082" s="25" t="s">
        <v>9029</v>
      </c>
      <c r="Q3082" s="25">
        <v>3817</v>
      </c>
      <c r="R3082" t="s">
        <v>436</v>
      </c>
    </row>
    <row r="3083" spans="1:18" s="13" customFormat="1" hidden="1">
      <c r="A3083" s="23" t="s">
        <v>6144</v>
      </c>
      <c r="B3083" s="23" t="s">
        <v>6145</v>
      </c>
      <c r="C3083" s="23">
        <v>2985</v>
      </c>
      <c r="G3083"/>
      <c r="I3083" s="14" t="str">
        <f>+IFERROR(VLOOKUP(C3083,'Mov 2023 hasta ahora '!$C$2:$D$314,2,FALSE),"NO")</f>
        <v>NO</v>
      </c>
      <c r="K3083">
        <v>6</v>
      </c>
      <c r="L3083" t="s">
        <v>836</v>
      </c>
      <c r="M3083">
        <v>24</v>
      </c>
      <c r="O3083" s="29" t="s">
        <v>8825</v>
      </c>
      <c r="P3083" s="25" t="s">
        <v>8832</v>
      </c>
      <c r="Q3083" s="25">
        <v>3601</v>
      </c>
      <c r="R3083" t="s">
        <v>436</v>
      </c>
    </row>
    <row r="3084" spans="1:18" s="13" customFormat="1" hidden="1">
      <c r="A3084" s="23" t="s">
        <v>6146</v>
      </c>
      <c r="B3084" s="23" t="s">
        <v>6147</v>
      </c>
      <c r="C3084" s="23">
        <v>2986</v>
      </c>
      <c r="G3084"/>
      <c r="I3084" s="14" t="str">
        <f>+IFERROR(VLOOKUP(C3084,'Mov 2023 hasta ahora '!$C$2:$D$314,2,FALSE),"NO")</f>
        <v>NO</v>
      </c>
      <c r="K3084">
        <v>6</v>
      </c>
      <c r="L3084" t="s">
        <v>836</v>
      </c>
      <c r="M3084">
        <v>24</v>
      </c>
      <c r="O3084" s="29" t="s">
        <v>8992</v>
      </c>
      <c r="P3084" s="25" t="s">
        <v>8836</v>
      </c>
      <c r="Q3084" s="25">
        <v>3603</v>
      </c>
      <c r="R3084" t="s">
        <v>436</v>
      </c>
    </row>
    <row r="3085" spans="1:18" hidden="1">
      <c r="A3085" t="s">
        <v>6148</v>
      </c>
      <c r="B3085" t="s">
        <v>6149</v>
      </c>
      <c r="I3085" s="3" t="str">
        <f>+IFERROR(VLOOKUP(C3085,'Mov 2023 hasta ahora '!$C$2:$D$314,2,FALSE),"NO")</f>
        <v>NO</v>
      </c>
      <c r="K3085">
        <v>3</v>
      </c>
      <c r="L3085" t="s">
        <v>836</v>
      </c>
      <c r="M3085">
        <v>10</v>
      </c>
    </row>
    <row r="3086" spans="1:18" hidden="1">
      <c r="A3086" t="s">
        <v>6150</v>
      </c>
      <c r="B3086" t="s">
        <v>6151</v>
      </c>
      <c r="I3086" s="3" t="str">
        <f>+IFERROR(VLOOKUP(C3086,'Mov 2023 hasta ahora '!$C$2:$D$314,2,FALSE),"NO")</f>
        <v>NO</v>
      </c>
      <c r="K3086">
        <v>4</v>
      </c>
      <c r="L3086" t="s">
        <v>836</v>
      </c>
      <c r="M3086">
        <v>14</v>
      </c>
    </row>
    <row r="3087" spans="1:18" hidden="1">
      <c r="A3087" t="s">
        <v>6152</v>
      </c>
      <c r="B3087" t="s">
        <v>6153</v>
      </c>
      <c r="I3087" s="3" t="str">
        <f>+IFERROR(VLOOKUP(C3087,'Mov 2023 hasta ahora '!$C$2:$D$314,2,FALSE),"NO")</f>
        <v>NO</v>
      </c>
      <c r="K3087">
        <v>5</v>
      </c>
      <c r="L3087" t="s">
        <v>836</v>
      </c>
      <c r="M3087">
        <v>18</v>
      </c>
    </row>
    <row r="3088" spans="1:18" hidden="1">
      <c r="A3088" s="23" t="s">
        <v>6154</v>
      </c>
      <c r="B3088" s="23" t="s">
        <v>6155</v>
      </c>
      <c r="C3088" s="23">
        <v>3372</v>
      </c>
      <c r="I3088" s="3" t="str">
        <f>+IFERROR(VLOOKUP(C3088,'Mov 2023 hasta ahora '!$C$2:$D$314,2,FALSE),"NO")</f>
        <v>NO</v>
      </c>
      <c r="K3088">
        <v>6</v>
      </c>
      <c r="L3088" t="s">
        <v>836</v>
      </c>
      <c r="M3088">
        <v>24</v>
      </c>
      <c r="O3088" s="29" t="s">
        <v>8742</v>
      </c>
      <c r="P3088" s="25" t="s">
        <v>9063</v>
      </c>
      <c r="Q3088" s="25">
        <v>176</v>
      </c>
      <c r="R3088" t="s">
        <v>436</v>
      </c>
    </row>
    <row r="3089" spans="1:18" hidden="1">
      <c r="A3089" s="23" t="s">
        <v>6156</v>
      </c>
      <c r="B3089" s="23" t="s">
        <v>6157</v>
      </c>
      <c r="C3089" s="23">
        <v>3209</v>
      </c>
      <c r="I3089" s="3" t="str">
        <f>+IFERROR(VLOOKUP(C3089,'Mov 2023 hasta ahora '!$C$2:$D$314,2,FALSE),"NO")</f>
        <v>NO</v>
      </c>
      <c r="K3089">
        <v>6</v>
      </c>
      <c r="L3089" t="s">
        <v>836</v>
      </c>
      <c r="M3089">
        <v>24</v>
      </c>
      <c r="O3089" s="29" t="s">
        <v>9057</v>
      </c>
      <c r="P3089" s="25" t="s">
        <v>9058</v>
      </c>
      <c r="Q3089" s="25">
        <v>3212</v>
      </c>
      <c r="R3089" t="s">
        <v>436</v>
      </c>
    </row>
    <row r="3090" spans="1:18" hidden="1">
      <c r="A3090" t="s">
        <v>6158</v>
      </c>
      <c r="B3090" t="s">
        <v>6159</v>
      </c>
      <c r="I3090" s="3" t="str">
        <f>+IFERROR(VLOOKUP(C3090,'Mov 2023 hasta ahora '!$C$2:$D$314,2,FALSE),"NO")</f>
        <v>NO</v>
      </c>
      <c r="K3090">
        <v>4</v>
      </c>
      <c r="L3090" t="s">
        <v>836</v>
      </c>
      <c r="M3090">
        <v>14</v>
      </c>
    </row>
    <row r="3091" spans="1:18" hidden="1">
      <c r="A3091" t="s">
        <v>6160</v>
      </c>
      <c r="B3091" t="s">
        <v>6161</v>
      </c>
      <c r="I3091" s="3" t="str">
        <f>+IFERROR(VLOOKUP(C3091,'Mov 2023 hasta ahora '!$C$2:$D$314,2,FALSE),"NO")</f>
        <v>NO</v>
      </c>
      <c r="K3091">
        <v>5</v>
      </c>
      <c r="L3091" t="s">
        <v>836</v>
      </c>
      <c r="M3091">
        <v>18</v>
      </c>
    </row>
    <row r="3092" spans="1:18" hidden="1">
      <c r="A3092" s="23" t="s">
        <v>6162</v>
      </c>
      <c r="B3092" s="23" t="s">
        <v>6163</v>
      </c>
      <c r="C3092" s="23">
        <v>3371</v>
      </c>
      <c r="I3092" s="3" t="str">
        <f>+IFERROR(VLOOKUP(C3092,'Mov 2023 hasta ahora '!$C$2:$D$314,2,FALSE),"NO")</f>
        <v>NO</v>
      </c>
      <c r="K3092">
        <v>6</v>
      </c>
      <c r="L3092" t="s">
        <v>836</v>
      </c>
      <c r="M3092">
        <v>24</v>
      </c>
      <c r="O3092" s="29" t="s">
        <v>9013</v>
      </c>
      <c r="P3092" s="25" t="s">
        <v>8756</v>
      </c>
      <c r="Q3092" s="25">
        <v>212</v>
      </c>
      <c r="R3092" t="s">
        <v>436</v>
      </c>
    </row>
    <row r="3093" spans="1:18" hidden="1">
      <c r="A3093" t="s">
        <v>6164</v>
      </c>
      <c r="B3093" t="s">
        <v>6165</v>
      </c>
      <c r="I3093" s="3" t="str">
        <f>+IFERROR(VLOOKUP(C3093,'Mov 2023 hasta ahora '!$C$2:$D$314,2,FALSE),"NO")</f>
        <v>NO</v>
      </c>
      <c r="K3093">
        <v>4</v>
      </c>
      <c r="L3093" t="s">
        <v>836</v>
      </c>
      <c r="M3093">
        <v>14</v>
      </c>
    </row>
    <row r="3094" spans="1:18" hidden="1">
      <c r="A3094" t="s">
        <v>6166</v>
      </c>
      <c r="B3094" t="s">
        <v>6167</v>
      </c>
      <c r="I3094" s="3" t="str">
        <f>+IFERROR(VLOOKUP(C3094,'Mov 2023 hasta ahora '!$C$2:$D$314,2,FALSE),"NO")</f>
        <v>NO</v>
      </c>
      <c r="K3094">
        <v>5</v>
      </c>
      <c r="L3094" t="s">
        <v>836</v>
      </c>
      <c r="M3094">
        <v>18</v>
      </c>
    </row>
    <row r="3095" spans="1:18" s="15" customFormat="1" hidden="1">
      <c r="A3095" s="23" t="s">
        <v>6168</v>
      </c>
      <c r="B3095" s="23" t="s">
        <v>6169</v>
      </c>
      <c r="C3095" s="23">
        <v>3220</v>
      </c>
      <c r="G3095"/>
      <c r="I3095" s="16" t="str">
        <f>+IFERROR(VLOOKUP(C3095,'Mov 2023 hasta ahora '!$C$2:$D$314,2,FALSE),"NO")</f>
        <v>NO</v>
      </c>
      <c r="K3095">
        <v>6</v>
      </c>
      <c r="L3095" t="s">
        <v>836</v>
      </c>
      <c r="M3095">
        <v>24</v>
      </c>
      <c r="O3095" s="29" t="s">
        <v>8802</v>
      </c>
      <c r="P3095" s="25" t="s">
        <v>8976</v>
      </c>
      <c r="Q3095" s="25">
        <v>3222</v>
      </c>
      <c r="R3095" t="s">
        <v>436</v>
      </c>
    </row>
    <row r="3096" spans="1:18" s="15" customFormat="1" hidden="1">
      <c r="A3096" s="23" t="s">
        <v>6170</v>
      </c>
      <c r="B3096" s="23" t="s">
        <v>6171</v>
      </c>
      <c r="C3096" s="23">
        <v>3231</v>
      </c>
      <c r="G3096"/>
      <c r="I3096" s="16" t="str">
        <f>+IFERROR(VLOOKUP(C3096,'Mov 2023 hasta ahora '!$C$2:$D$314,2,FALSE),"NO")</f>
        <v>NO</v>
      </c>
      <c r="K3096">
        <v>6</v>
      </c>
      <c r="L3096" t="s">
        <v>836</v>
      </c>
      <c r="M3096">
        <v>24</v>
      </c>
      <c r="O3096" s="29" t="s">
        <v>8833</v>
      </c>
      <c r="P3096" s="25" t="s">
        <v>8977</v>
      </c>
      <c r="Q3096" s="25">
        <v>3233</v>
      </c>
      <c r="R3096" t="s">
        <v>436</v>
      </c>
    </row>
    <row r="3097" spans="1:18" s="15" customFormat="1" hidden="1">
      <c r="A3097" s="23" t="s">
        <v>6172</v>
      </c>
      <c r="B3097" s="23" t="s">
        <v>6173</v>
      </c>
      <c r="C3097" s="23">
        <v>3242</v>
      </c>
      <c r="G3097"/>
      <c r="I3097" s="16" t="str">
        <f>+IFERROR(VLOOKUP(C3097,'Mov 2023 hasta ahora '!$C$2:$D$314,2,FALSE),"NO")</f>
        <v>NO</v>
      </c>
      <c r="K3097">
        <v>6</v>
      </c>
      <c r="L3097" t="s">
        <v>836</v>
      </c>
      <c r="M3097">
        <v>24</v>
      </c>
      <c r="O3097" s="29" t="s">
        <v>8755</v>
      </c>
      <c r="P3097" s="25" t="s">
        <v>8978</v>
      </c>
      <c r="Q3097" s="25">
        <v>3244</v>
      </c>
      <c r="R3097" t="s">
        <v>436</v>
      </c>
    </row>
    <row r="3098" spans="1:18" hidden="1">
      <c r="A3098" t="s">
        <v>6174</v>
      </c>
      <c r="B3098" t="s">
        <v>6175</v>
      </c>
      <c r="I3098" s="3" t="str">
        <f>+IFERROR(VLOOKUP(C3098,'Mov 2023 hasta ahora '!$C$2:$D$314,2,FALSE),"NO")</f>
        <v>NO</v>
      </c>
      <c r="K3098">
        <v>5</v>
      </c>
      <c r="L3098" t="s">
        <v>836</v>
      </c>
      <c r="M3098">
        <v>18</v>
      </c>
    </row>
    <row r="3099" spans="1:18" s="15" customFormat="1" hidden="1">
      <c r="A3099" s="23" t="s">
        <v>6176</v>
      </c>
      <c r="B3099" s="23" t="s">
        <v>6177</v>
      </c>
      <c r="C3099" s="23">
        <v>3090</v>
      </c>
      <c r="G3099"/>
      <c r="I3099" s="16" t="str">
        <f>+IFERROR(VLOOKUP(C3099,'Mov 2023 hasta ahora '!$C$2:$D$314,2,FALSE),"NO")</f>
        <v>NO</v>
      </c>
      <c r="K3099">
        <v>6</v>
      </c>
      <c r="L3099" t="s">
        <v>836</v>
      </c>
      <c r="M3099">
        <v>24</v>
      </c>
      <c r="O3099" s="29" t="s">
        <v>8864</v>
      </c>
      <c r="P3099" s="25" t="s">
        <v>8979</v>
      </c>
      <c r="Q3099" s="25">
        <v>2177</v>
      </c>
      <c r="R3099" t="s">
        <v>436</v>
      </c>
    </row>
    <row r="3100" spans="1:18" s="15" customFormat="1" hidden="1">
      <c r="A3100" s="23" t="s">
        <v>6178</v>
      </c>
      <c r="B3100" s="23" t="s">
        <v>6179</v>
      </c>
      <c r="C3100" s="23">
        <v>2990</v>
      </c>
      <c r="G3100"/>
      <c r="I3100" s="16" t="str">
        <f>+IFERROR(VLOOKUP(C3100,'Mov 2023 hasta ahora '!$C$2:$D$314,2,FALSE),"NO")</f>
        <v>NO</v>
      </c>
      <c r="K3100">
        <v>6</v>
      </c>
      <c r="L3100" t="s">
        <v>836</v>
      </c>
      <c r="M3100">
        <v>24</v>
      </c>
      <c r="O3100" s="29" t="s">
        <v>8793</v>
      </c>
      <c r="P3100" s="25" t="s">
        <v>8975</v>
      </c>
      <c r="Q3100" s="25">
        <v>1616</v>
      </c>
      <c r="R3100" t="s">
        <v>436</v>
      </c>
    </row>
    <row r="3101" spans="1:18" s="15" customFormat="1" hidden="1">
      <c r="A3101" s="23" t="s">
        <v>6180</v>
      </c>
      <c r="B3101" s="23" t="s">
        <v>6181</v>
      </c>
      <c r="C3101" s="23">
        <v>2991</v>
      </c>
      <c r="G3101"/>
      <c r="I3101" s="16" t="str">
        <f>+IFERROR(VLOOKUP(C3101,'Mov 2023 hasta ahora '!$C$2:$D$314,2,FALSE),"NO")</f>
        <v>NO</v>
      </c>
      <c r="K3101">
        <v>6</v>
      </c>
      <c r="L3101" t="s">
        <v>836</v>
      </c>
      <c r="M3101">
        <v>24</v>
      </c>
      <c r="O3101" s="29" t="s">
        <v>8793</v>
      </c>
      <c r="P3101" s="25" t="s">
        <v>8975</v>
      </c>
      <c r="Q3101" s="25">
        <v>1616</v>
      </c>
      <c r="R3101" t="s">
        <v>436</v>
      </c>
    </row>
    <row r="3102" spans="1:18" hidden="1">
      <c r="A3102" s="23" t="s">
        <v>6182</v>
      </c>
      <c r="B3102" s="23" t="s">
        <v>6183</v>
      </c>
      <c r="C3102" s="23">
        <v>3088</v>
      </c>
      <c r="I3102" s="3" t="str">
        <f>+IFERROR(VLOOKUP(C3102,'Mov 2023 hasta ahora '!$C$2:$D$314,2,FALSE),"NO")</f>
        <v>NO</v>
      </c>
      <c r="K3102">
        <v>6</v>
      </c>
      <c r="L3102" t="s">
        <v>836</v>
      </c>
      <c r="M3102">
        <v>24</v>
      </c>
      <c r="O3102" s="29" t="s">
        <v>8794</v>
      </c>
      <c r="P3102" s="25" t="s">
        <v>8982</v>
      </c>
      <c r="Q3102" s="25">
        <v>1441</v>
      </c>
      <c r="R3102" t="s">
        <v>436</v>
      </c>
    </row>
    <row r="3103" spans="1:18" hidden="1">
      <c r="A3103" s="23" t="s">
        <v>6184</v>
      </c>
      <c r="B3103" s="23" t="s">
        <v>6185</v>
      </c>
      <c r="C3103" s="23">
        <v>3089</v>
      </c>
      <c r="I3103" s="3" t="str">
        <f>+IFERROR(VLOOKUP(C3103,'Mov 2023 hasta ahora '!$C$2:$D$314,2,FALSE),"NO")</f>
        <v>NO</v>
      </c>
      <c r="K3103">
        <v>6</v>
      </c>
      <c r="L3103" t="s">
        <v>836</v>
      </c>
      <c r="M3103">
        <v>24</v>
      </c>
      <c r="O3103" s="29" t="s">
        <v>8809</v>
      </c>
      <c r="P3103" s="25" t="s">
        <v>8983</v>
      </c>
      <c r="Q3103" s="25">
        <v>1448</v>
      </c>
      <c r="R3103" t="s">
        <v>436</v>
      </c>
    </row>
    <row r="3104" spans="1:18" s="15" customFormat="1" hidden="1">
      <c r="A3104" s="23" t="s">
        <v>6186</v>
      </c>
      <c r="B3104" s="23" t="s">
        <v>6187</v>
      </c>
      <c r="C3104" s="23">
        <v>2992</v>
      </c>
      <c r="G3104"/>
      <c r="I3104" s="16" t="str">
        <f>+IFERROR(VLOOKUP(C3104,'Mov 2023 hasta ahora '!$C$2:$D$314,2,FALSE),"NO")</f>
        <v>NO</v>
      </c>
      <c r="K3104">
        <v>6</v>
      </c>
      <c r="L3104" t="s">
        <v>836</v>
      </c>
      <c r="M3104">
        <v>24</v>
      </c>
      <c r="O3104" s="29" t="s">
        <v>8864</v>
      </c>
      <c r="P3104" s="25" t="s">
        <v>8979</v>
      </c>
      <c r="Q3104" s="25">
        <v>2177</v>
      </c>
      <c r="R3104" t="s">
        <v>436</v>
      </c>
    </row>
    <row r="3105" spans="1:18" hidden="1">
      <c r="A3105" t="s">
        <v>6188</v>
      </c>
      <c r="B3105" t="s">
        <v>6189</v>
      </c>
      <c r="I3105" s="3" t="str">
        <f>+IFERROR(VLOOKUP(C3105,'Mov 2023 hasta ahora '!$C$2:$D$314,2,FALSE),"NO")</f>
        <v>NO</v>
      </c>
      <c r="K3105">
        <v>4</v>
      </c>
      <c r="L3105" t="s">
        <v>836</v>
      </c>
      <c r="M3105">
        <v>14</v>
      </c>
    </row>
    <row r="3106" spans="1:18" hidden="1">
      <c r="A3106" t="s">
        <v>6190</v>
      </c>
      <c r="B3106" t="s">
        <v>6191</v>
      </c>
      <c r="I3106" s="3" t="str">
        <f>+IFERROR(VLOOKUP(C3106,'Mov 2023 hasta ahora '!$C$2:$D$314,2,FALSE),"NO")</f>
        <v>NO</v>
      </c>
      <c r="K3106">
        <v>5</v>
      </c>
      <c r="L3106" t="s">
        <v>836</v>
      </c>
      <c r="M3106">
        <v>18</v>
      </c>
    </row>
    <row r="3107" spans="1:18" s="13" customFormat="1" hidden="1">
      <c r="A3107" s="23" t="s">
        <v>6192</v>
      </c>
      <c r="B3107" s="23" t="s">
        <v>6193</v>
      </c>
      <c r="C3107" s="23">
        <v>2993</v>
      </c>
      <c r="G3107"/>
      <c r="I3107" s="14" t="str">
        <f>+IFERROR(VLOOKUP(C3107,'Mov 2023 hasta ahora '!$C$2:$D$314,2,FALSE),"NO")</f>
        <v>NO</v>
      </c>
      <c r="K3107">
        <v>6</v>
      </c>
      <c r="L3107" t="s">
        <v>836</v>
      </c>
      <c r="M3107">
        <v>24</v>
      </c>
      <c r="O3107" s="29" t="s">
        <v>8857</v>
      </c>
      <c r="P3107" s="25" t="s">
        <v>8980</v>
      </c>
      <c r="Q3107" s="25">
        <v>2178</v>
      </c>
      <c r="R3107" t="s">
        <v>436</v>
      </c>
    </row>
    <row r="3108" spans="1:18" s="13" customFormat="1" hidden="1">
      <c r="A3108" s="23" t="s">
        <v>6194</v>
      </c>
      <c r="B3108" s="23" t="s">
        <v>6195</v>
      </c>
      <c r="C3108" s="23">
        <v>2994</v>
      </c>
      <c r="G3108"/>
      <c r="I3108" s="14" t="str">
        <f>+IFERROR(VLOOKUP(C3108,'Mov 2023 hasta ahora '!$C$2:$D$314,2,FALSE),"NO")</f>
        <v>NO</v>
      </c>
      <c r="K3108">
        <v>6</v>
      </c>
      <c r="L3108" t="s">
        <v>836</v>
      </c>
      <c r="M3108">
        <v>24</v>
      </c>
      <c r="O3108" s="29" t="s">
        <v>8846</v>
      </c>
      <c r="P3108" s="25" t="s">
        <v>8981</v>
      </c>
      <c r="Q3108" s="25">
        <v>2179</v>
      </c>
      <c r="R3108" t="s">
        <v>436</v>
      </c>
    </row>
    <row r="3109" spans="1:18" s="13" customFormat="1" hidden="1">
      <c r="A3109" s="23" t="s">
        <v>6196</v>
      </c>
      <c r="B3109" s="23" t="s">
        <v>6197</v>
      </c>
      <c r="C3109" s="23">
        <v>2995</v>
      </c>
      <c r="G3109"/>
      <c r="I3109" s="14" t="str">
        <f>+IFERROR(VLOOKUP(C3109,'Mov 2023 hasta ahora '!$C$2:$D$314,2,FALSE),"NO")</f>
        <v>NO</v>
      </c>
      <c r="K3109">
        <v>6</v>
      </c>
      <c r="L3109" t="s">
        <v>836</v>
      </c>
      <c r="M3109">
        <v>24</v>
      </c>
      <c r="O3109" s="29" t="s">
        <v>8746</v>
      </c>
      <c r="P3109" s="25" t="s">
        <v>9054</v>
      </c>
      <c r="Q3109" s="25">
        <v>185</v>
      </c>
      <c r="R3109" t="s">
        <v>436</v>
      </c>
    </row>
    <row r="3110" spans="1:18" s="13" customFormat="1" hidden="1">
      <c r="A3110" s="23" t="s">
        <v>6198</v>
      </c>
      <c r="B3110" s="23" t="s">
        <v>6199</v>
      </c>
      <c r="C3110" s="23">
        <v>2996</v>
      </c>
      <c r="G3110"/>
      <c r="I3110" s="14" t="str">
        <f>+IFERROR(VLOOKUP(C3110,'Mov 2023 hasta ahora '!$C$2:$D$314,2,FALSE),"NO")</f>
        <v>NO</v>
      </c>
      <c r="K3110">
        <v>6</v>
      </c>
      <c r="L3110" t="s">
        <v>836</v>
      </c>
      <c r="M3110">
        <v>24</v>
      </c>
      <c r="O3110" s="29" t="s">
        <v>9013</v>
      </c>
      <c r="P3110" s="25" t="s">
        <v>8756</v>
      </c>
      <c r="Q3110" s="25">
        <v>212</v>
      </c>
      <c r="R3110" t="s">
        <v>436</v>
      </c>
    </row>
    <row r="3111" spans="1:18" s="13" customFormat="1" hidden="1">
      <c r="A3111" s="23" t="s">
        <v>6200</v>
      </c>
      <c r="B3111" s="23" t="s">
        <v>6201</v>
      </c>
      <c r="C3111" s="23">
        <v>2997</v>
      </c>
      <c r="G3111"/>
      <c r="I3111" s="14" t="str">
        <f>+IFERROR(VLOOKUP(C3111,'Mov 2023 hasta ahora '!$C$2:$D$314,2,FALSE),"NO")</f>
        <v>NO</v>
      </c>
      <c r="K3111">
        <v>6</v>
      </c>
      <c r="L3111" t="s">
        <v>836</v>
      </c>
      <c r="M3111">
        <v>24</v>
      </c>
      <c r="O3111" s="29" t="s">
        <v>8794</v>
      </c>
      <c r="P3111" s="25" t="s">
        <v>8982</v>
      </c>
      <c r="Q3111" s="25">
        <v>1441</v>
      </c>
      <c r="R3111" t="s">
        <v>436</v>
      </c>
    </row>
    <row r="3112" spans="1:18" s="13" customFormat="1" hidden="1">
      <c r="A3112" s="23" t="s">
        <v>6202</v>
      </c>
      <c r="B3112" s="23" t="s">
        <v>6203</v>
      </c>
      <c r="C3112" s="23">
        <v>2998</v>
      </c>
      <c r="G3112"/>
      <c r="I3112" s="14" t="str">
        <f>+IFERROR(VLOOKUP(C3112,'Mov 2023 hasta ahora '!$C$2:$D$314,2,FALSE),"NO")</f>
        <v>NO</v>
      </c>
      <c r="K3112">
        <v>6</v>
      </c>
      <c r="L3112" t="s">
        <v>836</v>
      </c>
      <c r="M3112">
        <v>24</v>
      </c>
      <c r="O3112" s="29" t="s">
        <v>8809</v>
      </c>
      <c r="P3112" s="25" t="s">
        <v>8983</v>
      </c>
      <c r="Q3112" s="25">
        <v>1448</v>
      </c>
      <c r="R3112" t="s">
        <v>436</v>
      </c>
    </row>
    <row r="3113" spans="1:18" s="13" customFormat="1" hidden="1">
      <c r="A3113" s="23" t="s">
        <v>6204</v>
      </c>
      <c r="B3113" s="23" t="s">
        <v>6205</v>
      </c>
      <c r="C3113" s="23">
        <v>3253</v>
      </c>
      <c r="G3113"/>
      <c r="I3113" s="14" t="str">
        <f>+IFERROR(VLOOKUP(C3113,'Mov 2023 hasta ahora '!$C$2:$D$314,2,FALSE),"NO")</f>
        <v>NO</v>
      </c>
      <c r="K3113">
        <v>6</v>
      </c>
      <c r="L3113" t="s">
        <v>836</v>
      </c>
      <c r="M3113">
        <v>24</v>
      </c>
      <c r="O3113" s="29" t="s">
        <v>8857</v>
      </c>
      <c r="P3113" s="25" t="s">
        <v>8980</v>
      </c>
      <c r="Q3113" s="25">
        <v>2178</v>
      </c>
      <c r="R3113" t="s">
        <v>436</v>
      </c>
    </row>
    <row r="3114" spans="1:18" s="13" customFormat="1" hidden="1">
      <c r="A3114" s="23" t="s">
        <v>6206</v>
      </c>
      <c r="B3114" s="23" t="s">
        <v>6207</v>
      </c>
      <c r="C3114" s="23">
        <v>3264</v>
      </c>
      <c r="G3114"/>
      <c r="I3114" s="14" t="str">
        <f>+IFERROR(VLOOKUP(C3114,'Mov 2023 hasta ahora '!$C$2:$D$314,2,FALSE),"NO")</f>
        <v>NO</v>
      </c>
      <c r="K3114">
        <v>6</v>
      </c>
      <c r="L3114" t="s">
        <v>836</v>
      </c>
      <c r="M3114">
        <v>24</v>
      </c>
      <c r="O3114" s="29" t="s">
        <v>8857</v>
      </c>
      <c r="P3114" s="25" t="s">
        <v>8980</v>
      </c>
      <c r="Q3114" s="25">
        <v>2178</v>
      </c>
      <c r="R3114" t="s">
        <v>436</v>
      </c>
    </row>
    <row r="3115" spans="1:18" s="13" customFormat="1" hidden="1">
      <c r="A3115" s="23" t="s">
        <v>6208</v>
      </c>
      <c r="B3115" s="23" t="s">
        <v>6209</v>
      </c>
      <c r="C3115" s="23">
        <v>3275</v>
      </c>
      <c r="G3115"/>
      <c r="I3115" s="14" t="str">
        <f>+IFERROR(VLOOKUP(C3115,'Mov 2023 hasta ahora '!$C$2:$D$314,2,FALSE),"NO")</f>
        <v>NO</v>
      </c>
      <c r="K3115">
        <v>6</v>
      </c>
      <c r="L3115" t="s">
        <v>836</v>
      </c>
      <c r="M3115">
        <v>24</v>
      </c>
      <c r="O3115" s="29" t="s">
        <v>8857</v>
      </c>
      <c r="P3115" s="25" t="s">
        <v>8980</v>
      </c>
      <c r="Q3115" s="25">
        <v>2178</v>
      </c>
      <c r="R3115" t="s">
        <v>436</v>
      </c>
    </row>
    <row r="3116" spans="1:18" s="13" customFormat="1" hidden="1">
      <c r="A3116" s="23" t="s">
        <v>6210</v>
      </c>
      <c r="B3116" s="23" t="s">
        <v>6211</v>
      </c>
      <c r="C3116" s="23">
        <v>3286</v>
      </c>
      <c r="G3116"/>
      <c r="I3116" s="14" t="str">
        <f>+IFERROR(VLOOKUP(C3116,'Mov 2023 hasta ahora '!$C$2:$D$314,2,FALSE),"NO")</f>
        <v>NO</v>
      </c>
      <c r="K3116">
        <v>6</v>
      </c>
      <c r="L3116" t="s">
        <v>836</v>
      </c>
      <c r="M3116">
        <v>24</v>
      </c>
      <c r="O3116" s="29" t="s">
        <v>8857</v>
      </c>
      <c r="P3116" s="25" t="s">
        <v>8980</v>
      </c>
      <c r="Q3116" s="25">
        <v>2178</v>
      </c>
      <c r="R3116" t="s">
        <v>436</v>
      </c>
    </row>
    <row r="3117" spans="1:18" hidden="1">
      <c r="A3117" t="s">
        <v>6212</v>
      </c>
      <c r="B3117" t="s">
        <v>6213</v>
      </c>
      <c r="I3117" s="3" t="str">
        <f>+IFERROR(VLOOKUP(C3117,'Mov 2023 hasta ahora '!$C$2:$D$314,2,FALSE),"NO")</f>
        <v>NO</v>
      </c>
      <c r="K3117">
        <v>4</v>
      </c>
      <c r="L3117" t="s">
        <v>836</v>
      </c>
      <c r="M3117">
        <v>14</v>
      </c>
    </row>
    <row r="3118" spans="1:18" hidden="1">
      <c r="A3118" t="s">
        <v>6214</v>
      </c>
      <c r="B3118" t="s">
        <v>6215</v>
      </c>
      <c r="I3118" s="3" t="str">
        <f>+IFERROR(VLOOKUP(C3118,'Mov 2023 hasta ahora '!$C$2:$D$314,2,FALSE),"NO")</f>
        <v>NO</v>
      </c>
      <c r="K3118">
        <v>5</v>
      </c>
      <c r="L3118" t="s">
        <v>836</v>
      </c>
      <c r="M3118">
        <v>18</v>
      </c>
    </row>
    <row r="3119" spans="1:18" s="13" customFormat="1" hidden="1">
      <c r="A3119" s="23" t="s">
        <v>6216</v>
      </c>
      <c r="B3119" s="23" t="s">
        <v>6217</v>
      </c>
      <c r="C3119" s="23">
        <v>3110</v>
      </c>
      <c r="G3119"/>
      <c r="I3119" s="14" t="str">
        <f>+IFERROR(VLOOKUP(C3119,'Mov 2023 hasta ahora '!$C$2:$D$314,2,FALSE),"NO")</f>
        <v>NO</v>
      </c>
      <c r="K3119">
        <v>6</v>
      </c>
      <c r="L3119" t="s">
        <v>836</v>
      </c>
      <c r="M3119">
        <v>24</v>
      </c>
      <c r="O3119" s="29" t="s">
        <v>8800</v>
      </c>
      <c r="P3119" s="25" t="s">
        <v>8988</v>
      </c>
      <c r="Q3119" s="25">
        <v>1457</v>
      </c>
      <c r="R3119" t="s">
        <v>436</v>
      </c>
    </row>
    <row r="3120" spans="1:18" s="13" customFormat="1" hidden="1">
      <c r="A3120" s="23" t="s">
        <v>6218</v>
      </c>
      <c r="B3120" s="23" t="s">
        <v>6219</v>
      </c>
      <c r="C3120" s="23">
        <v>3111</v>
      </c>
      <c r="G3120"/>
      <c r="I3120" s="14" t="str">
        <f>+IFERROR(VLOOKUP(C3120,'Mov 2023 hasta ahora '!$C$2:$D$314,2,FALSE),"NO")</f>
        <v>NO</v>
      </c>
      <c r="K3120">
        <v>6</v>
      </c>
      <c r="L3120" t="s">
        <v>836</v>
      </c>
      <c r="M3120">
        <v>24</v>
      </c>
      <c r="O3120" s="29" t="s">
        <v>8810</v>
      </c>
      <c r="P3120" s="25" t="s">
        <v>8989</v>
      </c>
      <c r="Q3120" s="25">
        <v>1465</v>
      </c>
      <c r="R3120" t="s">
        <v>436</v>
      </c>
    </row>
    <row r="3121" spans="1:18" hidden="1">
      <c r="A3121" t="s">
        <v>6220</v>
      </c>
      <c r="B3121" t="s">
        <v>6221</v>
      </c>
      <c r="I3121" s="3" t="str">
        <f>+IFERROR(VLOOKUP(C3121,'Mov 2023 hasta ahora '!$C$2:$D$314,2,FALSE),"NO")</f>
        <v>NO</v>
      </c>
      <c r="K3121">
        <v>4</v>
      </c>
      <c r="L3121" t="s">
        <v>836</v>
      </c>
      <c r="M3121">
        <v>14</v>
      </c>
    </row>
    <row r="3122" spans="1:18" hidden="1">
      <c r="A3122" t="s">
        <v>6222</v>
      </c>
      <c r="B3122" t="s">
        <v>6223</v>
      </c>
      <c r="I3122" s="3" t="str">
        <f>+IFERROR(VLOOKUP(C3122,'Mov 2023 hasta ahora '!$C$2:$D$314,2,FALSE),"NO")</f>
        <v>NO</v>
      </c>
      <c r="K3122">
        <v>5</v>
      </c>
      <c r="L3122" t="s">
        <v>836</v>
      </c>
      <c r="M3122">
        <v>18</v>
      </c>
    </row>
    <row r="3123" spans="1:18" s="13" customFormat="1" hidden="1">
      <c r="A3123" s="23" t="s">
        <v>6224</v>
      </c>
      <c r="B3123" s="23" t="s">
        <v>6225</v>
      </c>
      <c r="C3123" s="23">
        <v>3454</v>
      </c>
      <c r="D3123" s="13" t="s">
        <v>436</v>
      </c>
      <c r="G3123"/>
      <c r="I3123" s="14" t="str">
        <f>+IFERROR(VLOOKUP(C3123,'Mov 2023 hasta ahora '!$C$2:$D$314,2,FALSE),"NO")</f>
        <v>NO</v>
      </c>
      <c r="K3123">
        <v>6</v>
      </c>
      <c r="L3123" t="s">
        <v>836</v>
      </c>
      <c r="M3123">
        <v>24</v>
      </c>
      <c r="O3123" s="29" t="s">
        <v>8752</v>
      </c>
      <c r="P3123" s="25" t="s">
        <v>8995</v>
      </c>
      <c r="Q3123" s="25">
        <v>1481</v>
      </c>
      <c r="R3123" t="s">
        <v>436</v>
      </c>
    </row>
    <row r="3124" spans="1:18" s="13" customFormat="1" hidden="1">
      <c r="A3124" s="23" t="s">
        <v>6226</v>
      </c>
      <c r="B3124" s="23" t="s">
        <v>6227</v>
      </c>
      <c r="C3124" s="23">
        <v>3455</v>
      </c>
      <c r="D3124" s="13" t="s">
        <v>436</v>
      </c>
      <c r="G3124"/>
      <c r="I3124" s="14" t="str">
        <f>+IFERROR(VLOOKUP(C3124,'Mov 2023 hasta ahora '!$C$2:$D$314,2,FALSE),"NO")</f>
        <v>NO</v>
      </c>
      <c r="K3124">
        <v>6</v>
      </c>
      <c r="L3124" t="s">
        <v>836</v>
      </c>
      <c r="M3124">
        <v>24</v>
      </c>
      <c r="O3124" s="29" t="s">
        <v>8766</v>
      </c>
      <c r="P3124" s="25" t="s">
        <v>8996</v>
      </c>
      <c r="Q3124" s="25">
        <v>1473</v>
      </c>
      <c r="R3124" t="s">
        <v>436</v>
      </c>
    </row>
    <row r="3125" spans="1:18" hidden="1">
      <c r="A3125" t="s">
        <v>6228</v>
      </c>
      <c r="B3125" t="s">
        <v>6229</v>
      </c>
      <c r="I3125" s="3" t="str">
        <f>+IFERROR(VLOOKUP(C3125,'Mov 2023 hasta ahora '!$C$2:$D$314,2,FALSE),"NO")</f>
        <v>NO</v>
      </c>
      <c r="K3125">
        <v>4</v>
      </c>
      <c r="L3125" t="s">
        <v>836</v>
      </c>
      <c r="M3125">
        <v>14</v>
      </c>
    </row>
    <row r="3126" spans="1:18" hidden="1">
      <c r="A3126" t="s">
        <v>6230</v>
      </c>
      <c r="B3126" t="s">
        <v>6231</v>
      </c>
      <c r="I3126" s="3" t="str">
        <f>+IFERROR(VLOOKUP(C3126,'Mov 2023 hasta ahora '!$C$2:$D$314,2,FALSE),"NO")</f>
        <v>NO</v>
      </c>
      <c r="K3126">
        <v>5</v>
      </c>
      <c r="L3126" t="s">
        <v>836</v>
      </c>
      <c r="M3126">
        <v>18</v>
      </c>
    </row>
    <row r="3127" spans="1:18" s="13" customFormat="1" hidden="1">
      <c r="A3127" s="23" t="s">
        <v>6232</v>
      </c>
      <c r="B3127" s="23" t="s">
        <v>6233</v>
      </c>
      <c r="C3127" s="23">
        <v>3320</v>
      </c>
      <c r="G3127"/>
      <c r="I3127" s="14" t="str">
        <f>+IFERROR(VLOOKUP(C3127,'Mov 2023 hasta ahora '!$C$2:$D$314,2,FALSE),"NO")</f>
        <v>NO</v>
      </c>
      <c r="K3127">
        <v>6</v>
      </c>
      <c r="L3127" t="s">
        <v>836</v>
      </c>
      <c r="M3127">
        <v>24</v>
      </c>
      <c r="O3127" s="29" t="s">
        <v>8795</v>
      </c>
      <c r="P3127" s="25" t="s">
        <v>8798</v>
      </c>
      <c r="Q3127" s="25">
        <v>1489</v>
      </c>
      <c r="R3127" t="s">
        <v>436</v>
      </c>
    </row>
    <row r="3128" spans="1:18" s="13" customFormat="1" hidden="1">
      <c r="A3128" s="23" t="s">
        <v>6234</v>
      </c>
      <c r="B3128" s="23" t="s">
        <v>6235</v>
      </c>
      <c r="C3128" s="23">
        <v>3321</v>
      </c>
      <c r="G3128"/>
      <c r="I3128" s="14" t="str">
        <f>+IFERROR(VLOOKUP(C3128,'Mov 2023 hasta ahora '!$C$2:$D$314,2,FALSE),"NO")</f>
        <v>NO</v>
      </c>
      <c r="K3128">
        <v>6</v>
      </c>
      <c r="L3128" t="s">
        <v>836</v>
      </c>
      <c r="M3128">
        <v>24</v>
      </c>
      <c r="O3128" s="29" t="s">
        <v>8804</v>
      </c>
      <c r="P3128" s="25" t="s">
        <v>8808</v>
      </c>
      <c r="Q3128" s="25">
        <v>1497</v>
      </c>
      <c r="R3128" s="13" t="s">
        <v>436</v>
      </c>
    </row>
    <row r="3129" spans="1:18" hidden="1">
      <c r="A3129" t="s">
        <v>6236</v>
      </c>
      <c r="B3129" t="s">
        <v>6237</v>
      </c>
      <c r="I3129" s="3" t="str">
        <f>+IFERROR(VLOOKUP(C3129,'Mov 2023 hasta ahora '!$C$2:$D$314,2,FALSE),"NO")</f>
        <v>NO</v>
      </c>
      <c r="K3129">
        <v>4</v>
      </c>
      <c r="L3129" t="s">
        <v>836</v>
      </c>
      <c r="M3129">
        <v>14</v>
      </c>
    </row>
    <row r="3130" spans="1:18" hidden="1">
      <c r="A3130" t="s">
        <v>6238</v>
      </c>
      <c r="B3130" t="s">
        <v>6239</v>
      </c>
      <c r="I3130" s="3" t="str">
        <f>+IFERROR(VLOOKUP(C3130,'Mov 2023 hasta ahora '!$C$2:$D$314,2,FALSE),"NO")</f>
        <v>NO</v>
      </c>
      <c r="K3130">
        <v>5</v>
      </c>
      <c r="L3130" t="s">
        <v>836</v>
      </c>
      <c r="M3130">
        <v>18</v>
      </c>
    </row>
    <row r="3131" spans="1:18" hidden="1">
      <c r="A3131" s="23" t="s">
        <v>6240</v>
      </c>
      <c r="B3131" s="23" t="s">
        <v>6241</v>
      </c>
      <c r="C3131" s="23">
        <v>3297</v>
      </c>
      <c r="I3131" s="3" t="str">
        <f>+IFERROR(VLOOKUP(C3131,'Mov 2023 hasta ahora '!$C$2:$D$314,2,FALSE),"NO")</f>
        <v>NO</v>
      </c>
      <c r="K3131">
        <v>6</v>
      </c>
      <c r="L3131" t="s">
        <v>836</v>
      </c>
      <c r="M3131">
        <v>24</v>
      </c>
      <c r="O3131" s="29" t="s">
        <v>9061</v>
      </c>
      <c r="P3131" s="25" t="s">
        <v>9062</v>
      </c>
      <c r="Q3131" s="25">
        <v>2671</v>
      </c>
      <c r="R3131" t="s">
        <v>436</v>
      </c>
    </row>
    <row r="3132" spans="1:18" s="13" customFormat="1" hidden="1">
      <c r="A3132" s="23" t="s">
        <v>6242</v>
      </c>
      <c r="B3132" s="23" t="s">
        <v>6243</v>
      </c>
      <c r="C3132" s="23">
        <v>3308</v>
      </c>
      <c r="G3132"/>
      <c r="I3132" s="14" t="str">
        <f>+IFERROR(VLOOKUP(C3132,'Mov 2023 hasta ahora '!$C$2:$D$314,2,FALSE),"NO")</f>
        <v>NO</v>
      </c>
      <c r="K3132">
        <v>6</v>
      </c>
      <c r="L3132" t="s">
        <v>836</v>
      </c>
      <c r="M3132">
        <v>24</v>
      </c>
      <c r="O3132" s="29" t="s">
        <v>8861</v>
      </c>
      <c r="P3132" s="25" t="s">
        <v>8868</v>
      </c>
      <c r="Q3132" s="25">
        <v>1419</v>
      </c>
      <c r="R3132" t="s">
        <v>436</v>
      </c>
    </row>
    <row r="3133" spans="1:18" hidden="1">
      <c r="A3133" t="s">
        <v>6244</v>
      </c>
      <c r="B3133" t="s">
        <v>6245</v>
      </c>
      <c r="I3133" s="3" t="str">
        <f>+IFERROR(VLOOKUP(C3133,'Mov 2023 hasta ahora '!$C$2:$D$314,2,FALSE),"NO")</f>
        <v>NO</v>
      </c>
      <c r="K3133">
        <v>5</v>
      </c>
      <c r="L3133" t="s">
        <v>836</v>
      </c>
      <c r="M3133">
        <v>18</v>
      </c>
    </row>
    <row r="3134" spans="1:18" hidden="1">
      <c r="A3134" s="23" t="s">
        <v>6246</v>
      </c>
      <c r="B3134" s="23" t="s">
        <v>6247</v>
      </c>
      <c r="C3134" s="23">
        <v>2999</v>
      </c>
      <c r="I3134" s="3" t="str">
        <f>+IFERROR(VLOOKUP(C3134,'Mov 2023 hasta ahora '!$C$2:$D$314,2,FALSE),"NO")</f>
        <v>NO</v>
      </c>
      <c r="K3134">
        <v>6</v>
      </c>
      <c r="L3134" t="s">
        <v>836</v>
      </c>
      <c r="M3134">
        <v>24</v>
      </c>
      <c r="O3134" s="29" t="s">
        <v>9049</v>
      </c>
      <c r="P3134" s="25" t="s">
        <v>9050</v>
      </c>
      <c r="Q3134" s="25">
        <v>1363</v>
      </c>
      <c r="R3134" t="s">
        <v>436</v>
      </c>
    </row>
    <row r="3135" spans="1:18" hidden="1">
      <c r="A3135" s="23" t="s">
        <v>6248</v>
      </c>
      <c r="B3135" s="23" t="s">
        <v>6249</v>
      </c>
      <c r="C3135" s="23">
        <v>3000</v>
      </c>
      <c r="I3135" s="3" t="str">
        <f>+IFERROR(VLOOKUP(C3135,'Mov 2023 hasta ahora '!$C$2:$D$314,2,FALSE),"NO")</f>
        <v>NO</v>
      </c>
      <c r="K3135">
        <v>6</v>
      </c>
      <c r="L3135" t="s">
        <v>836</v>
      </c>
      <c r="M3135">
        <v>24</v>
      </c>
      <c r="O3135" s="29" t="s">
        <v>9014</v>
      </c>
      <c r="P3135" s="25" t="s">
        <v>8890</v>
      </c>
      <c r="Q3135" s="25">
        <v>1244</v>
      </c>
      <c r="R3135" t="s">
        <v>436</v>
      </c>
    </row>
    <row r="3136" spans="1:18" hidden="1">
      <c r="A3136" s="23" t="s">
        <v>6250</v>
      </c>
      <c r="B3136" s="23" t="s">
        <v>6251</v>
      </c>
      <c r="C3136" s="23">
        <v>3001</v>
      </c>
      <c r="I3136" s="3" t="str">
        <f>+IFERROR(VLOOKUP(C3136,'Mov 2023 hasta ahora '!$C$2:$D$314,2,FALSE),"NO")</f>
        <v>NO</v>
      </c>
      <c r="K3136">
        <v>6</v>
      </c>
      <c r="L3136" t="s">
        <v>836</v>
      </c>
      <c r="M3136">
        <v>24</v>
      </c>
      <c r="O3136" s="29" t="s">
        <v>9030</v>
      </c>
      <c r="P3136" s="25" t="s">
        <v>9029</v>
      </c>
      <c r="Q3136" s="25">
        <v>3817</v>
      </c>
      <c r="R3136" t="s">
        <v>436</v>
      </c>
    </row>
    <row r="3137" spans="1:18" s="13" customFormat="1" hidden="1">
      <c r="A3137" s="23" t="s">
        <v>6252</v>
      </c>
      <c r="B3137" s="23" t="s">
        <v>6253</v>
      </c>
      <c r="C3137" s="23">
        <v>3002</v>
      </c>
      <c r="G3137"/>
      <c r="I3137" s="14" t="str">
        <f>+IFERROR(VLOOKUP(C3137,'Mov 2023 hasta ahora '!$C$2:$D$314,2,FALSE),"NO")</f>
        <v>NO</v>
      </c>
      <c r="K3137">
        <v>6</v>
      </c>
      <c r="L3137" t="s">
        <v>836</v>
      </c>
      <c r="M3137">
        <v>24</v>
      </c>
      <c r="O3137" s="29" t="s">
        <v>8825</v>
      </c>
      <c r="P3137" s="25" t="s">
        <v>8832</v>
      </c>
      <c r="Q3137" s="25">
        <v>3601</v>
      </c>
      <c r="R3137" t="s">
        <v>436</v>
      </c>
    </row>
    <row r="3138" spans="1:18" s="13" customFormat="1" hidden="1">
      <c r="A3138" s="23" t="s">
        <v>6254</v>
      </c>
      <c r="B3138" s="23" t="s">
        <v>6255</v>
      </c>
      <c r="C3138" s="23">
        <v>3003</v>
      </c>
      <c r="G3138"/>
      <c r="I3138" s="14" t="str">
        <f>+IFERROR(VLOOKUP(C3138,'Mov 2023 hasta ahora '!$C$2:$D$314,2,FALSE),"NO")</f>
        <v>NO</v>
      </c>
      <c r="K3138">
        <v>6</v>
      </c>
      <c r="L3138" t="s">
        <v>836</v>
      </c>
      <c r="M3138">
        <v>24</v>
      </c>
      <c r="O3138" s="29" t="s">
        <v>8992</v>
      </c>
      <c r="P3138" s="25" t="s">
        <v>8836</v>
      </c>
      <c r="Q3138" s="25">
        <v>3603</v>
      </c>
      <c r="R3138" t="s">
        <v>436</v>
      </c>
    </row>
    <row r="3139" spans="1:18" hidden="1">
      <c r="A3139" t="s">
        <v>6256</v>
      </c>
      <c r="B3139" t="s">
        <v>1617</v>
      </c>
      <c r="I3139" s="3" t="str">
        <f>+IFERROR(VLOOKUP(C3139,'Mov 2023 hasta ahora '!$C$2:$D$314,2,FALSE),"NO")</f>
        <v>NO</v>
      </c>
      <c r="K3139">
        <v>3</v>
      </c>
      <c r="L3139" t="s">
        <v>836</v>
      </c>
      <c r="M3139">
        <v>10</v>
      </c>
    </row>
    <row r="3140" spans="1:18" hidden="1">
      <c r="A3140" t="s">
        <v>6257</v>
      </c>
      <c r="B3140" t="s">
        <v>6258</v>
      </c>
      <c r="I3140" s="3" t="str">
        <f>+IFERROR(VLOOKUP(C3140,'Mov 2023 hasta ahora '!$C$2:$D$314,2,FALSE),"NO")</f>
        <v>NO</v>
      </c>
      <c r="K3140">
        <v>4</v>
      </c>
      <c r="L3140" t="s">
        <v>836</v>
      </c>
      <c r="M3140">
        <v>14</v>
      </c>
    </row>
    <row r="3141" spans="1:18" hidden="1">
      <c r="A3141" t="s">
        <v>6259</v>
      </c>
      <c r="B3141" t="s">
        <v>6260</v>
      </c>
      <c r="I3141" s="3" t="str">
        <f>+IFERROR(VLOOKUP(C3141,'Mov 2023 hasta ahora '!$C$2:$D$314,2,FALSE),"NO")</f>
        <v>NO</v>
      </c>
      <c r="K3141">
        <v>5</v>
      </c>
      <c r="L3141" t="s">
        <v>836</v>
      </c>
      <c r="M3141">
        <v>18</v>
      </c>
    </row>
    <row r="3142" spans="1:18" s="13" customFormat="1" hidden="1">
      <c r="A3142" s="23" t="s">
        <v>6261</v>
      </c>
      <c r="B3142" s="23" t="s">
        <v>6262</v>
      </c>
      <c r="C3142" s="23">
        <v>3107</v>
      </c>
      <c r="G3142"/>
      <c r="I3142" s="14" t="str">
        <f>+IFERROR(VLOOKUP(C3142,'Mov 2023 hasta ahora '!$C$2:$D$314,2,FALSE),"NO")</f>
        <v>NO</v>
      </c>
      <c r="K3142">
        <v>6</v>
      </c>
      <c r="L3142" t="s">
        <v>836</v>
      </c>
      <c r="M3142">
        <v>24</v>
      </c>
      <c r="O3142" s="29" t="s">
        <v>8794</v>
      </c>
      <c r="P3142" s="25" t="s">
        <v>8982</v>
      </c>
      <c r="Q3142" s="25">
        <v>1441</v>
      </c>
      <c r="R3142" t="s">
        <v>436</v>
      </c>
    </row>
    <row r="3143" spans="1:18" s="13" customFormat="1" hidden="1">
      <c r="A3143" s="23" t="s">
        <v>6263</v>
      </c>
      <c r="B3143" s="23" t="s">
        <v>6264</v>
      </c>
      <c r="C3143" s="23">
        <v>3108</v>
      </c>
      <c r="G3143"/>
      <c r="I3143" s="14" t="str">
        <f>+IFERROR(VLOOKUP(C3143,'Mov 2023 hasta ahora '!$C$2:$D$314,2,FALSE),"NO")</f>
        <v>NO</v>
      </c>
      <c r="K3143">
        <v>6</v>
      </c>
      <c r="L3143" t="s">
        <v>836</v>
      </c>
      <c r="M3143">
        <v>24</v>
      </c>
      <c r="O3143" s="29" t="s">
        <v>8809</v>
      </c>
      <c r="P3143" s="25" t="s">
        <v>8983</v>
      </c>
      <c r="Q3143" s="25">
        <v>1448</v>
      </c>
      <c r="R3143" t="s">
        <v>436</v>
      </c>
    </row>
    <row r="3144" spans="1:18" hidden="1">
      <c r="A3144" t="s">
        <v>6265</v>
      </c>
      <c r="B3144" t="s">
        <v>6266</v>
      </c>
      <c r="I3144" s="3" t="str">
        <f>+IFERROR(VLOOKUP(C3144,'Mov 2023 hasta ahora '!$C$2:$D$314,2,FALSE),"NO")</f>
        <v>NO</v>
      </c>
      <c r="K3144">
        <v>4</v>
      </c>
      <c r="L3144" t="s">
        <v>836</v>
      </c>
      <c r="M3144">
        <v>14</v>
      </c>
    </row>
    <row r="3145" spans="1:18" hidden="1">
      <c r="A3145" t="s">
        <v>6267</v>
      </c>
      <c r="B3145" t="s">
        <v>6268</v>
      </c>
      <c r="I3145" s="3" t="str">
        <f>+IFERROR(VLOOKUP(C3145,'Mov 2023 hasta ahora '!$C$2:$D$314,2,FALSE),"NO")</f>
        <v>NO</v>
      </c>
      <c r="K3145">
        <v>5</v>
      </c>
      <c r="L3145" t="s">
        <v>836</v>
      </c>
      <c r="M3145">
        <v>18</v>
      </c>
    </row>
    <row r="3146" spans="1:18" hidden="1">
      <c r="A3146" s="23" t="s">
        <v>6269</v>
      </c>
      <c r="B3146" s="23" t="s">
        <v>6270</v>
      </c>
      <c r="C3146" s="23">
        <v>3004</v>
      </c>
      <c r="I3146" s="3" t="str">
        <f>+IFERROR(VLOOKUP(C3146,'Mov 2023 hasta ahora '!$C$2:$D$314,2,FALSE),"NO")</f>
        <v>NO</v>
      </c>
      <c r="K3146">
        <v>6</v>
      </c>
      <c r="L3146" t="s">
        <v>836</v>
      </c>
      <c r="M3146">
        <v>24</v>
      </c>
      <c r="O3146" s="29" t="s">
        <v>9049</v>
      </c>
      <c r="P3146" s="25" t="s">
        <v>9050</v>
      </c>
      <c r="Q3146" s="25">
        <v>1363</v>
      </c>
      <c r="R3146" t="s">
        <v>436</v>
      </c>
    </row>
    <row r="3147" spans="1:18" hidden="1">
      <c r="A3147" s="23" t="s">
        <v>6271</v>
      </c>
      <c r="B3147" s="23" t="s">
        <v>6272</v>
      </c>
      <c r="C3147" s="23">
        <v>3005</v>
      </c>
      <c r="I3147" s="3" t="str">
        <f>+IFERROR(VLOOKUP(C3147,'Mov 2023 hasta ahora '!$C$2:$D$314,2,FALSE),"NO")</f>
        <v>NO</v>
      </c>
      <c r="K3147">
        <v>6</v>
      </c>
      <c r="L3147" t="s">
        <v>836</v>
      </c>
      <c r="M3147">
        <v>24</v>
      </c>
      <c r="O3147" s="29" t="s">
        <v>9014</v>
      </c>
      <c r="P3147" s="25" t="s">
        <v>8890</v>
      </c>
      <c r="Q3147" s="25">
        <v>1244</v>
      </c>
      <c r="R3147" t="s">
        <v>436</v>
      </c>
    </row>
    <row r="3148" spans="1:18" hidden="1">
      <c r="A3148" s="23" t="s">
        <v>6273</v>
      </c>
      <c r="B3148" s="23" t="s">
        <v>6274</v>
      </c>
      <c r="C3148" s="23">
        <v>3006</v>
      </c>
      <c r="I3148" s="3" t="str">
        <f>+IFERROR(VLOOKUP(C3148,'Mov 2023 hasta ahora '!$C$2:$D$314,2,FALSE),"NO")</f>
        <v>NO</v>
      </c>
      <c r="K3148">
        <v>6</v>
      </c>
      <c r="L3148" t="s">
        <v>836</v>
      </c>
      <c r="M3148">
        <v>24</v>
      </c>
      <c r="O3148" s="29" t="s">
        <v>9030</v>
      </c>
      <c r="P3148" s="25" t="s">
        <v>9029</v>
      </c>
      <c r="Q3148" s="25">
        <v>3817</v>
      </c>
      <c r="R3148" t="s">
        <v>436</v>
      </c>
    </row>
    <row r="3149" spans="1:18" s="13" customFormat="1" hidden="1">
      <c r="A3149" s="23" t="s">
        <v>6275</v>
      </c>
      <c r="B3149" s="23" t="s">
        <v>6276</v>
      </c>
      <c r="C3149" s="23">
        <v>3007</v>
      </c>
      <c r="G3149"/>
      <c r="I3149" s="14" t="str">
        <f>+IFERROR(VLOOKUP(C3149,'Mov 2023 hasta ahora '!$C$2:$D$314,2,FALSE),"NO")</f>
        <v>NO</v>
      </c>
      <c r="K3149">
        <v>6</v>
      </c>
      <c r="L3149" t="s">
        <v>836</v>
      </c>
      <c r="M3149">
        <v>24</v>
      </c>
      <c r="O3149" s="29" t="s">
        <v>8825</v>
      </c>
      <c r="P3149" s="25" t="s">
        <v>8832</v>
      </c>
      <c r="Q3149" s="25">
        <v>3601</v>
      </c>
      <c r="R3149" t="s">
        <v>436</v>
      </c>
    </row>
    <row r="3150" spans="1:18" s="13" customFormat="1" hidden="1">
      <c r="A3150" s="23" t="s">
        <v>6277</v>
      </c>
      <c r="B3150" s="23" t="s">
        <v>6278</v>
      </c>
      <c r="C3150" s="23">
        <v>3008</v>
      </c>
      <c r="G3150"/>
      <c r="I3150" s="14" t="str">
        <f>+IFERROR(VLOOKUP(C3150,'Mov 2023 hasta ahora '!$C$2:$D$314,2,FALSE),"NO")</f>
        <v>NO</v>
      </c>
      <c r="K3150">
        <v>6</v>
      </c>
      <c r="L3150" t="s">
        <v>836</v>
      </c>
      <c r="M3150">
        <v>24</v>
      </c>
      <c r="O3150" s="29" t="s">
        <v>8992</v>
      </c>
      <c r="P3150" s="25" t="s">
        <v>8836</v>
      </c>
      <c r="Q3150" s="25">
        <v>3603</v>
      </c>
      <c r="R3150" t="s">
        <v>436</v>
      </c>
    </row>
    <row r="3151" spans="1:18" hidden="1">
      <c r="A3151" t="s">
        <v>6279</v>
      </c>
      <c r="B3151" t="s">
        <v>1633</v>
      </c>
      <c r="I3151" s="3" t="str">
        <f>+IFERROR(VLOOKUP(C3151,'Mov 2023 hasta ahora '!$C$2:$D$314,2,FALSE),"NO")</f>
        <v>NO</v>
      </c>
      <c r="K3151">
        <v>3</v>
      </c>
      <c r="L3151" t="s">
        <v>836</v>
      </c>
      <c r="M3151">
        <v>10</v>
      </c>
    </row>
    <row r="3152" spans="1:18" hidden="1">
      <c r="A3152" t="s">
        <v>6280</v>
      </c>
      <c r="B3152" t="s">
        <v>6281</v>
      </c>
      <c r="I3152" s="3" t="str">
        <f>+IFERROR(VLOOKUP(C3152,'Mov 2023 hasta ahora '!$C$2:$D$314,2,FALSE),"NO")</f>
        <v>NO</v>
      </c>
      <c r="K3152">
        <v>4</v>
      </c>
      <c r="L3152" t="s">
        <v>836</v>
      </c>
      <c r="M3152">
        <v>14</v>
      </c>
    </row>
    <row r="3153" spans="1:18" hidden="1">
      <c r="A3153" t="s">
        <v>6282</v>
      </c>
      <c r="B3153" t="s">
        <v>6283</v>
      </c>
      <c r="I3153" s="3" t="str">
        <f>+IFERROR(VLOOKUP(C3153,'Mov 2023 hasta ahora '!$C$2:$D$314,2,FALSE),"NO")</f>
        <v>NO</v>
      </c>
      <c r="K3153">
        <v>5</v>
      </c>
      <c r="L3153" t="s">
        <v>836</v>
      </c>
      <c r="M3153">
        <v>18</v>
      </c>
    </row>
    <row r="3154" spans="1:18" hidden="1">
      <c r="A3154" s="23" t="s">
        <v>6284</v>
      </c>
      <c r="B3154" s="23" t="s">
        <v>6285</v>
      </c>
      <c r="C3154" s="23">
        <v>3012</v>
      </c>
      <c r="I3154" s="3" t="str">
        <f>+IFERROR(VLOOKUP(C3154,'Mov 2023 hasta ahora '!$C$2:$D$314,2,FALSE),"NO")</f>
        <v>NO</v>
      </c>
      <c r="K3154">
        <v>6</v>
      </c>
      <c r="L3154" t="s">
        <v>836</v>
      </c>
      <c r="M3154">
        <v>24</v>
      </c>
      <c r="O3154" s="29" t="s">
        <v>8742</v>
      </c>
      <c r="P3154" s="25" t="s">
        <v>9063</v>
      </c>
      <c r="Q3154" s="25">
        <v>176</v>
      </c>
      <c r="R3154" t="s">
        <v>436</v>
      </c>
    </row>
    <row r="3155" spans="1:18" hidden="1">
      <c r="A3155" s="23" t="s">
        <v>6286</v>
      </c>
      <c r="B3155" s="23" t="s">
        <v>6287</v>
      </c>
      <c r="C3155" s="23">
        <v>3208</v>
      </c>
      <c r="I3155" s="3" t="str">
        <f>+IFERROR(VLOOKUP(C3155,'Mov 2023 hasta ahora '!$C$2:$D$314,2,FALSE),"NO")</f>
        <v>NO</v>
      </c>
      <c r="K3155">
        <v>6</v>
      </c>
      <c r="L3155" t="s">
        <v>836</v>
      </c>
      <c r="M3155">
        <v>24</v>
      </c>
      <c r="O3155" s="29" t="s">
        <v>9057</v>
      </c>
      <c r="P3155" s="25" t="s">
        <v>9058</v>
      </c>
      <c r="Q3155" s="25">
        <v>3212</v>
      </c>
      <c r="R3155" t="s">
        <v>436</v>
      </c>
    </row>
    <row r="3156" spans="1:18" hidden="1">
      <c r="A3156" t="s">
        <v>6288</v>
      </c>
      <c r="B3156" t="s">
        <v>6289</v>
      </c>
      <c r="I3156" s="3" t="str">
        <f>+IFERROR(VLOOKUP(C3156,'Mov 2023 hasta ahora '!$C$2:$D$314,2,FALSE),"NO")</f>
        <v>NO</v>
      </c>
      <c r="K3156">
        <v>4</v>
      </c>
      <c r="L3156" t="s">
        <v>836</v>
      </c>
      <c r="M3156">
        <v>14</v>
      </c>
    </row>
    <row r="3157" spans="1:18" hidden="1">
      <c r="A3157" t="s">
        <v>6290</v>
      </c>
      <c r="B3157" t="s">
        <v>6291</v>
      </c>
      <c r="I3157" s="3" t="str">
        <f>+IFERROR(VLOOKUP(C3157,'Mov 2023 hasta ahora '!$C$2:$D$314,2,FALSE),"NO")</f>
        <v>NO</v>
      </c>
      <c r="K3157">
        <v>5</v>
      </c>
      <c r="L3157" t="s">
        <v>836</v>
      </c>
      <c r="M3157">
        <v>18</v>
      </c>
    </row>
    <row r="3158" spans="1:18" s="13" customFormat="1" hidden="1">
      <c r="A3158" s="23" t="s">
        <v>6292</v>
      </c>
      <c r="B3158" s="23" t="s">
        <v>6293</v>
      </c>
      <c r="C3158" s="23">
        <v>3014</v>
      </c>
      <c r="G3158"/>
      <c r="I3158" s="14" t="str">
        <f>+IFERROR(VLOOKUP(C3158,'Mov 2023 hasta ahora '!$C$2:$D$314,2,FALSE),"NO")</f>
        <v>NO</v>
      </c>
      <c r="K3158">
        <v>6</v>
      </c>
      <c r="L3158" t="s">
        <v>836</v>
      </c>
      <c r="M3158">
        <v>24</v>
      </c>
      <c r="O3158" s="29" t="s">
        <v>8746</v>
      </c>
      <c r="P3158" s="25" t="s">
        <v>9054</v>
      </c>
      <c r="Q3158" s="25">
        <v>185</v>
      </c>
      <c r="R3158" t="s">
        <v>436</v>
      </c>
    </row>
    <row r="3159" spans="1:18" s="13" customFormat="1" hidden="1">
      <c r="A3159" s="23" t="s">
        <v>6294</v>
      </c>
      <c r="B3159" s="23" t="s">
        <v>6295</v>
      </c>
      <c r="C3159" s="23">
        <v>3013</v>
      </c>
      <c r="G3159"/>
      <c r="I3159" s="14" t="str">
        <f>+IFERROR(VLOOKUP(C3159,'Mov 2023 hasta ahora '!$C$2:$D$314,2,FALSE),"NO")</f>
        <v>NO</v>
      </c>
      <c r="K3159">
        <v>6</v>
      </c>
      <c r="L3159" t="s">
        <v>836</v>
      </c>
      <c r="M3159">
        <v>24</v>
      </c>
      <c r="O3159" s="29" t="s">
        <v>8748</v>
      </c>
      <c r="P3159" s="25" t="s">
        <v>9055</v>
      </c>
      <c r="Q3159" s="25">
        <v>193</v>
      </c>
      <c r="R3159" t="s">
        <v>436</v>
      </c>
    </row>
    <row r="3160" spans="1:18" s="13" customFormat="1" hidden="1">
      <c r="A3160" s="23" t="s">
        <v>6296</v>
      </c>
      <c r="B3160" s="23" t="s">
        <v>6297</v>
      </c>
      <c r="C3160" s="23">
        <v>3015</v>
      </c>
      <c r="G3160"/>
      <c r="I3160" s="14" t="str">
        <f>+IFERROR(VLOOKUP(C3160,'Mov 2023 hasta ahora '!$C$2:$D$314,2,FALSE),"NO")</f>
        <v>NO</v>
      </c>
      <c r="K3160">
        <v>6</v>
      </c>
      <c r="L3160" t="s">
        <v>836</v>
      </c>
      <c r="M3160">
        <v>24</v>
      </c>
      <c r="O3160" s="29" t="s">
        <v>8749</v>
      </c>
      <c r="P3160" s="25" t="s">
        <v>9056</v>
      </c>
      <c r="Q3160" s="25">
        <v>202</v>
      </c>
      <c r="R3160" t="s">
        <v>436</v>
      </c>
    </row>
    <row r="3161" spans="1:18" hidden="1">
      <c r="A3161" s="23" t="s">
        <v>6298</v>
      </c>
      <c r="B3161" s="23" t="s">
        <v>6299</v>
      </c>
      <c r="C3161" s="23">
        <v>3016</v>
      </c>
      <c r="I3161" s="3" t="str">
        <f>+IFERROR(VLOOKUP(C3161,'Mov 2023 hasta ahora '!$C$2:$D$314,2,FALSE),"NO")</f>
        <v>NO</v>
      </c>
      <c r="K3161">
        <v>6</v>
      </c>
      <c r="L3161" t="s">
        <v>836</v>
      </c>
      <c r="M3161">
        <v>24</v>
      </c>
      <c r="O3161" s="29" t="s">
        <v>8750</v>
      </c>
      <c r="P3161" s="25" t="s">
        <v>8968</v>
      </c>
      <c r="Q3161" s="25">
        <v>1351</v>
      </c>
      <c r="R3161" t="s">
        <v>436</v>
      </c>
    </row>
    <row r="3162" spans="1:18" hidden="1">
      <c r="A3162" t="s">
        <v>6300</v>
      </c>
      <c r="B3162" t="s">
        <v>6301</v>
      </c>
      <c r="I3162" s="3" t="str">
        <f>+IFERROR(VLOOKUP(C3162,'Mov 2023 hasta ahora '!$C$2:$D$314,2,FALSE),"NO")</f>
        <v>NO</v>
      </c>
      <c r="K3162">
        <v>4</v>
      </c>
      <c r="L3162" t="s">
        <v>836</v>
      </c>
      <c r="M3162">
        <v>14</v>
      </c>
    </row>
    <row r="3163" spans="1:18" hidden="1">
      <c r="A3163" t="s">
        <v>6302</v>
      </c>
      <c r="B3163" t="s">
        <v>6303</v>
      </c>
      <c r="I3163" s="3" t="str">
        <f>+IFERROR(VLOOKUP(C3163,'Mov 2023 hasta ahora '!$C$2:$D$314,2,FALSE),"NO")</f>
        <v>NO</v>
      </c>
      <c r="K3163">
        <v>5</v>
      </c>
      <c r="L3163" t="s">
        <v>836</v>
      </c>
      <c r="M3163">
        <v>18</v>
      </c>
    </row>
    <row r="3164" spans="1:18" hidden="1">
      <c r="A3164" s="23" t="s">
        <v>6304</v>
      </c>
      <c r="B3164" s="23" t="s">
        <v>6305</v>
      </c>
      <c r="C3164" s="23">
        <v>3017</v>
      </c>
      <c r="I3164" s="3" t="str">
        <f>+IFERROR(VLOOKUP(C3164,'Mov 2023 hasta ahora '!$C$2:$D$314,2,FALSE),"NO")</f>
        <v>NO</v>
      </c>
      <c r="K3164">
        <v>6</v>
      </c>
      <c r="L3164" t="s">
        <v>836</v>
      </c>
      <c r="M3164">
        <v>24</v>
      </c>
      <c r="O3164" s="29" t="s">
        <v>9013</v>
      </c>
      <c r="P3164" s="25" t="s">
        <v>8756</v>
      </c>
      <c r="Q3164" s="25">
        <v>212</v>
      </c>
      <c r="R3164" t="s">
        <v>436</v>
      </c>
    </row>
    <row r="3165" spans="1:18" hidden="1">
      <c r="A3165" t="s">
        <v>6306</v>
      </c>
      <c r="B3165" t="s">
        <v>6307</v>
      </c>
      <c r="I3165" s="3" t="str">
        <f>+IFERROR(VLOOKUP(C3165,'Mov 2023 hasta ahora '!$C$2:$D$314,2,FALSE),"NO")</f>
        <v>NO</v>
      </c>
      <c r="K3165">
        <v>4</v>
      </c>
      <c r="L3165" t="s">
        <v>836</v>
      </c>
      <c r="M3165">
        <v>14</v>
      </c>
    </row>
    <row r="3166" spans="1:18" hidden="1">
      <c r="A3166" t="s">
        <v>6308</v>
      </c>
      <c r="B3166" t="s">
        <v>6309</v>
      </c>
      <c r="I3166" s="3" t="str">
        <f>+IFERROR(VLOOKUP(C3166,'Mov 2023 hasta ahora '!$C$2:$D$314,2,FALSE),"NO")</f>
        <v>NO</v>
      </c>
      <c r="K3166">
        <v>5</v>
      </c>
      <c r="L3166" t="s">
        <v>836</v>
      </c>
      <c r="M3166">
        <v>18</v>
      </c>
    </row>
    <row r="3167" spans="1:18" s="15" customFormat="1" hidden="1">
      <c r="A3167" s="23" t="s">
        <v>6310</v>
      </c>
      <c r="B3167" s="23" t="s">
        <v>6311</v>
      </c>
      <c r="C3167" s="23">
        <v>3018</v>
      </c>
      <c r="G3167"/>
      <c r="I3167" s="16" t="str">
        <f>+IFERROR(VLOOKUP(C3167,'Mov 2023 hasta ahora '!$C$2:$D$314,2,FALSE),"NO")</f>
        <v>NO</v>
      </c>
      <c r="K3167">
        <v>6</v>
      </c>
      <c r="L3167" t="s">
        <v>836</v>
      </c>
      <c r="M3167">
        <v>24</v>
      </c>
      <c r="O3167" s="29" t="s">
        <v>8793</v>
      </c>
      <c r="P3167" s="25" t="s">
        <v>8975</v>
      </c>
      <c r="Q3167" s="25">
        <v>1616</v>
      </c>
      <c r="R3167" t="s">
        <v>436</v>
      </c>
    </row>
    <row r="3168" spans="1:18" s="15" customFormat="1" hidden="1">
      <c r="A3168" s="23" t="s">
        <v>6312</v>
      </c>
      <c r="B3168" s="23" t="s">
        <v>6313</v>
      </c>
      <c r="C3168" s="23">
        <v>3019</v>
      </c>
      <c r="G3168"/>
      <c r="I3168" s="16" t="str">
        <f>+IFERROR(VLOOKUP(C3168,'Mov 2023 hasta ahora '!$C$2:$D$314,2,FALSE),"NO")</f>
        <v>NO</v>
      </c>
      <c r="K3168">
        <v>6</v>
      </c>
      <c r="L3168" t="s">
        <v>836</v>
      </c>
      <c r="M3168">
        <v>24</v>
      </c>
      <c r="O3168" s="29" t="s">
        <v>8793</v>
      </c>
      <c r="P3168" s="25" t="s">
        <v>8975</v>
      </c>
      <c r="Q3168" s="25">
        <v>1616</v>
      </c>
      <c r="R3168" t="s">
        <v>436</v>
      </c>
    </row>
    <row r="3169" spans="1:18" s="15" customFormat="1" hidden="1">
      <c r="A3169" s="23" t="s">
        <v>6314</v>
      </c>
      <c r="B3169" s="23" t="s">
        <v>6315</v>
      </c>
      <c r="C3169" s="23">
        <v>3219</v>
      </c>
      <c r="G3169"/>
      <c r="I3169" s="16" t="str">
        <f>+IFERROR(VLOOKUP(C3169,'Mov 2023 hasta ahora '!$C$2:$D$314,2,FALSE),"NO")</f>
        <v>NO</v>
      </c>
      <c r="K3169">
        <v>6</v>
      </c>
      <c r="L3169" t="s">
        <v>836</v>
      </c>
      <c r="M3169">
        <v>24</v>
      </c>
      <c r="O3169" s="29" t="s">
        <v>8802</v>
      </c>
      <c r="P3169" s="25" t="s">
        <v>8976</v>
      </c>
      <c r="Q3169" s="25">
        <v>3222</v>
      </c>
      <c r="R3169" t="s">
        <v>436</v>
      </c>
    </row>
    <row r="3170" spans="1:18" s="15" customFormat="1" hidden="1">
      <c r="A3170" s="23" t="s">
        <v>6316</v>
      </c>
      <c r="B3170" s="23" t="s">
        <v>6317</v>
      </c>
      <c r="C3170" s="23">
        <v>3230</v>
      </c>
      <c r="G3170"/>
      <c r="I3170" s="16" t="str">
        <f>+IFERROR(VLOOKUP(C3170,'Mov 2023 hasta ahora '!$C$2:$D$314,2,FALSE),"NO")</f>
        <v>NO</v>
      </c>
      <c r="K3170">
        <v>6</v>
      </c>
      <c r="L3170" t="s">
        <v>836</v>
      </c>
      <c r="M3170">
        <v>24</v>
      </c>
      <c r="O3170" s="29" t="s">
        <v>8833</v>
      </c>
      <c r="P3170" s="25" t="s">
        <v>8977</v>
      </c>
      <c r="Q3170" s="25">
        <v>3233</v>
      </c>
      <c r="R3170" t="s">
        <v>436</v>
      </c>
    </row>
    <row r="3171" spans="1:18" s="15" customFormat="1" hidden="1">
      <c r="A3171" s="23" t="s">
        <v>6318</v>
      </c>
      <c r="B3171" s="23" t="s">
        <v>6319</v>
      </c>
      <c r="C3171" s="23">
        <v>3241</v>
      </c>
      <c r="G3171"/>
      <c r="I3171" s="16" t="str">
        <f>+IFERROR(VLOOKUP(C3171,'Mov 2023 hasta ahora '!$C$2:$D$314,2,FALSE),"NO")</f>
        <v>NO</v>
      </c>
      <c r="K3171">
        <v>6</v>
      </c>
      <c r="L3171" t="s">
        <v>836</v>
      </c>
      <c r="M3171">
        <v>24</v>
      </c>
      <c r="O3171" s="29" t="s">
        <v>8755</v>
      </c>
      <c r="P3171" s="25" t="s">
        <v>8978</v>
      </c>
      <c r="Q3171" s="25">
        <v>3244</v>
      </c>
      <c r="R3171" t="s">
        <v>436</v>
      </c>
    </row>
    <row r="3172" spans="1:18" hidden="1">
      <c r="A3172" t="s">
        <v>6320</v>
      </c>
      <c r="B3172" t="s">
        <v>6321</v>
      </c>
      <c r="I3172" s="3" t="str">
        <f>+IFERROR(VLOOKUP(C3172,'Mov 2023 hasta ahora '!$C$2:$D$314,2,FALSE),"NO")</f>
        <v>NO</v>
      </c>
      <c r="K3172">
        <v>5</v>
      </c>
      <c r="L3172" t="s">
        <v>836</v>
      </c>
      <c r="M3172">
        <v>18</v>
      </c>
    </row>
    <row r="3173" spans="1:18" hidden="1">
      <c r="A3173" s="23" t="s">
        <v>6322</v>
      </c>
      <c r="B3173" s="23" t="s">
        <v>6323</v>
      </c>
      <c r="C3173" s="23">
        <v>3093</v>
      </c>
      <c r="I3173" s="3" t="str">
        <f>+IFERROR(VLOOKUP(C3173,'Mov 2023 hasta ahora '!$C$2:$D$314,2,FALSE),"NO")</f>
        <v>NO</v>
      </c>
      <c r="K3173">
        <v>6</v>
      </c>
      <c r="L3173" t="s">
        <v>836</v>
      </c>
      <c r="M3173">
        <v>24</v>
      </c>
      <c r="O3173" s="29" t="s">
        <v>8794</v>
      </c>
      <c r="P3173" s="25" t="s">
        <v>8982</v>
      </c>
      <c r="Q3173" s="25">
        <v>1441</v>
      </c>
      <c r="R3173" t="s">
        <v>436</v>
      </c>
    </row>
    <row r="3174" spans="1:18" hidden="1">
      <c r="A3174" s="23" t="s">
        <v>6324</v>
      </c>
      <c r="B3174" s="23" t="s">
        <v>6325</v>
      </c>
      <c r="C3174" s="23">
        <v>3094</v>
      </c>
      <c r="I3174" s="3" t="str">
        <f>+IFERROR(VLOOKUP(C3174,'Mov 2023 hasta ahora '!$C$2:$D$314,2,FALSE),"NO")</f>
        <v>NO</v>
      </c>
      <c r="K3174">
        <v>6</v>
      </c>
      <c r="L3174" t="s">
        <v>836</v>
      </c>
      <c r="M3174">
        <v>24</v>
      </c>
      <c r="O3174" s="29" t="s">
        <v>8809</v>
      </c>
      <c r="P3174" s="25" t="s">
        <v>8983</v>
      </c>
      <c r="Q3174" s="25">
        <v>1448</v>
      </c>
      <c r="R3174" t="s">
        <v>436</v>
      </c>
    </row>
    <row r="3175" spans="1:18" hidden="1">
      <c r="A3175" t="s">
        <v>6326</v>
      </c>
      <c r="B3175" t="s">
        <v>6327</v>
      </c>
      <c r="I3175" s="3" t="str">
        <f>+IFERROR(VLOOKUP(C3175,'Mov 2023 hasta ahora '!$C$2:$D$314,2,FALSE),"NO")</f>
        <v>NO</v>
      </c>
      <c r="K3175">
        <v>4</v>
      </c>
      <c r="L3175" t="s">
        <v>836</v>
      </c>
      <c r="M3175">
        <v>14</v>
      </c>
    </row>
    <row r="3176" spans="1:18" hidden="1">
      <c r="A3176" t="s">
        <v>6328</v>
      </c>
      <c r="B3176" t="s">
        <v>6329</v>
      </c>
      <c r="I3176" s="3" t="str">
        <f>+IFERROR(VLOOKUP(C3176,'Mov 2023 hasta ahora '!$C$2:$D$314,2,FALSE),"NO")</f>
        <v>NO</v>
      </c>
      <c r="K3176">
        <v>5</v>
      </c>
      <c r="L3176" t="s">
        <v>836</v>
      </c>
      <c r="M3176">
        <v>18</v>
      </c>
    </row>
    <row r="3177" spans="1:18" s="13" customFormat="1" hidden="1">
      <c r="A3177" s="23" t="s">
        <v>6330</v>
      </c>
      <c r="B3177" s="23" t="s">
        <v>6331</v>
      </c>
      <c r="C3177" s="23">
        <v>3020</v>
      </c>
      <c r="G3177"/>
      <c r="I3177" s="14" t="str">
        <f>+IFERROR(VLOOKUP(C3177,'Mov 2023 hasta ahora '!$C$2:$D$314,2,FALSE),"NO")</f>
        <v>NO</v>
      </c>
      <c r="K3177">
        <v>6</v>
      </c>
      <c r="L3177" t="s">
        <v>836</v>
      </c>
      <c r="M3177">
        <v>24</v>
      </c>
      <c r="O3177" s="29" t="s">
        <v>8857</v>
      </c>
      <c r="P3177" s="25" t="s">
        <v>8980</v>
      </c>
      <c r="Q3177" s="25">
        <v>2178</v>
      </c>
      <c r="R3177" t="s">
        <v>436</v>
      </c>
    </row>
    <row r="3178" spans="1:18" s="13" customFormat="1" hidden="1">
      <c r="A3178" s="23" t="s">
        <v>6332</v>
      </c>
      <c r="B3178" s="23" t="s">
        <v>6333</v>
      </c>
      <c r="C3178" s="23">
        <v>3021</v>
      </c>
      <c r="G3178"/>
      <c r="I3178" s="14" t="str">
        <f>+IFERROR(VLOOKUP(C3178,'Mov 2023 hasta ahora '!$C$2:$D$314,2,FALSE),"NO")</f>
        <v>NO</v>
      </c>
      <c r="K3178">
        <v>6</v>
      </c>
      <c r="L3178" t="s">
        <v>836</v>
      </c>
      <c r="M3178">
        <v>24</v>
      </c>
      <c r="O3178" s="29" t="s">
        <v>8846</v>
      </c>
      <c r="P3178" s="25" t="s">
        <v>8981</v>
      </c>
      <c r="Q3178" s="25">
        <v>2179</v>
      </c>
      <c r="R3178" t="s">
        <v>436</v>
      </c>
    </row>
    <row r="3179" spans="1:18" s="13" customFormat="1" hidden="1">
      <c r="A3179" s="23" t="s">
        <v>6334</v>
      </c>
      <c r="B3179" s="23" t="s">
        <v>6335</v>
      </c>
      <c r="C3179" s="23">
        <v>3022</v>
      </c>
      <c r="G3179"/>
      <c r="I3179" s="14" t="str">
        <f>+IFERROR(VLOOKUP(C3179,'Mov 2023 hasta ahora '!$C$2:$D$314,2,FALSE),"NO")</f>
        <v>NO</v>
      </c>
      <c r="K3179">
        <v>6</v>
      </c>
      <c r="L3179" t="s">
        <v>836</v>
      </c>
      <c r="M3179">
        <v>24</v>
      </c>
      <c r="O3179" s="29" t="s">
        <v>8846</v>
      </c>
      <c r="P3179" s="25" t="s">
        <v>8981</v>
      </c>
      <c r="Q3179" s="25">
        <v>2179</v>
      </c>
      <c r="R3179" t="s">
        <v>436</v>
      </c>
    </row>
    <row r="3180" spans="1:18" s="13" customFormat="1" hidden="1">
      <c r="A3180" s="23" t="s">
        <v>6336</v>
      </c>
      <c r="B3180" s="23" t="s">
        <v>6337</v>
      </c>
      <c r="C3180" s="23">
        <v>3023</v>
      </c>
      <c r="G3180"/>
      <c r="I3180" s="14" t="str">
        <f>+IFERROR(VLOOKUP(C3180,'Mov 2023 hasta ahora '!$C$2:$D$314,2,FALSE),"NO")</f>
        <v>NO</v>
      </c>
      <c r="K3180">
        <v>6</v>
      </c>
      <c r="L3180" t="s">
        <v>836</v>
      </c>
      <c r="M3180">
        <v>24</v>
      </c>
      <c r="O3180" s="29" t="s">
        <v>8794</v>
      </c>
      <c r="P3180" s="25" t="s">
        <v>8982</v>
      </c>
      <c r="Q3180" s="25">
        <v>1441</v>
      </c>
      <c r="R3180" t="s">
        <v>436</v>
      </c>
    </row>
    <row r="3181" spans="1:18" s="13" customFormat="1" hidden="1">
      <c r="A3181" s="23" t="s">
        <v>6338</v>
      </c>
      <c r="B3181" s="23" t="s">
        <v>6339</v>
      </c>
      <c r="C3181" s="23">
        <v>3024</v>
      </c>
      <c r="G3181"/>
      <c r="I3181" s="14" t="str">
        <f>+IFERROR(VLOOKUP(C3181,'Mov 2023 hasta ahora '!$C$2:$D$314,2,FALSE),"NO")</f>
        <v>NO</v>
      </c>
      <c r="K3181">
        <v>6</v>
      </c>
      <c r="L3181" t="s">
        <v>836</v>
      </c>
      <c r="M3181">
        <v>24</v>
      </c>
      <c r="O3181" s="29" t="s">
        <v>8809</v>
      </c>
      <c r="P3181" s="25" t="s">
        <v>8983</v>
      </c>
      <c r="Q3181" s="25">
        <v>1448</v>
      </c>
      <c r="R3181" t="s">
        <v>436</v>
      </c>
    </row>
    <row r="3182" spans="1:18" s="13" customFormat="1" hidden="1">
      <c r="A3182" s="23" t="s">
        <v>6340</v>
      </c>
      <c r="B3182" s="23" t="s">
        <v>6341</v>
      </c>
      <c r="C3182" s="23">
        <v>3252</v>
      </c>
      <c r="G3182"/>
      <c r="I3182" s="14" t="str">
        <f>+IFERROR(VLOOKUP(C3182,'Mov 2023 hasta ahora '!$C$2:$D$314,2,FALSE),"NO")</f>
        <v>NO</v>
      </c>
      <c r="K3182">
        <v>6</v>
      </c>
      <c r="L3182" t="s">
        <v>836</v>
      </c>
      <c r="M3182">
        <v>24</v>
      </c>
      <c r="O3182" s="29" t="s">
        <v>8857</v>
      </c>
      <c r="P3182" s="25" t="s">
        <v>8980</v>
      </c>
      <c r="Q3182" s="25">
        <v>2178</v>
      </c>
      <c r="R3182" t="s">
        <v>436</v>
      </c>
    </row>
    <row r="3183" spans="1:18" s="13" customFormat="1" hidden="1">
      <c r="A3183" s="23" t="s">
        <v>6342</v>
      </c>
      <c r="B3183" s="23" t="s">
        <v>6343</v>
      </c>
      <c r="C3183" s="23">
        <v>3263</v>
      </c>
      <c r="G3183"/>
      <c r="I3183" s="14" t="str">
        <f>+IFERROR(VLOOKUP(C3183,'Mov 2023 hasta ahora '!$C$2:$D$314,2,FALSE),"NO")</f>
        <v>NO</v>
      </c>
      <c r="K3183">
        <v>6</v>
      </c>
      <c r="L3183" t="s">
        <v>836</v>
      </c>
      <c r="M3183">
        <v>24</v>
      </c>
      <c r="O3183" s="29" t="s">
        <v>8857</v>
      </c>
      <c r="P3183" s="25" t="s">
        <v>8980</v>
      </c>
      <c r="Q3183" s="25">
        <v>2178</v>
      </c>
      <c r="R3183" t="s">
        <v>436</v>
      </c>
    </row>
    <row r="3184" spans="1:18" s="13" customFormat="1" hidden="1">
      <c r="A3184" s="23" t="s">
        <v>6344</v>
      </c>
      <c r="B3184" s="23" t="s">
        <v>6345</v>
      </c>
      <c r="C3184" s="23">
        <v>3274</v>
      </c>
      <c r="G3184"/>
      <c r="I3184" s="14" t="str">
        <f>+IFERROR(VLOOKUP(C3184,'Mov 2023 hasta ahora '!$C$2:$D$314,2,FALSE),"NO")</f>
        <v>NO</v>
      </c>
      <c r="K3184">
        <v>6</v>
      </c>
      <c r="L3184" t="s">
        <v>836</v>
      </c>
      <c r="M3184">
        <v>24</v>
      </c>
      <c r="O3184" s="29" t="s">
        <v>8857</v>
      </c>
      <c r="P3184" s="25" t="s">
        <v>8980</v>
      </c>
      <c r="Q3184" s="25">
        <v>2178</v>
      </c>
      <c r="R3184" t="s">
        <v>436</v>
      </c>
    </row>
    <row r="3185" spans="1:18" s="13" customFormat="1" hidden="1">
      <c r="A3185" s="23" t="s">
        <v>6346</v>
      </c>
      <c r="B3185" s="23" t="s">
        <v>6347</v>
      </c>
      <c r="C3185" s="23">
        <v>3285</v>
      </c>
      <c r="G3185"/>
      <c r="I3185" s="14" t="str">
        <f>+IFERROR(VLOOKUP(C3185,'Mov 2023 hasta ahora '!$C$2:$D$314,2,FALSE),"NO")</f>
        <v>NO</v>
      </c>
      <c r="K3185">
        <v>6</v>
      </c>
      <c r="L3185" t="s">
        <v>836</v>
      </c>
      <c r="M3185">
        <v>24</v>
      </c>
      <c r="O3185" s="29" t="s">
        <v>8857</v>
      </c>
      <c r="P3185" s="25" t="s">
        <v>8980</v>
      </c>
      <c r="Q3185" s="25">
        <v>2178</v>
      </c>
      <c r="R3185" t="s">
        <v>436</v>
      </c>
    </row>
    <row r="3186" spans="1:18" hidden="1">
      <c r="A3186" t="s">
        <v>6348</v>
      </c>
      <c r="B3186" t="s">
        <v>6349</v>
      </c>
      <c r="I3186" s="3" t="str">
        <f>+IFERROR(VLOOKUP(C3186,'Mov 2023 hasta ahora '!$C$2:$D$314,2,FALSE),"NO")</f>
        <v>NO</v>
      </c>
      <c r="K3186">
        <v>4</v>
      </c>
      <c r="L3186" t="s">
        <v>836</v>
      </c>
      <c r="M3186">
        <v>14</v>
      </c>
    </row>
    <row r="3187" spans="1:18" hidden="1">
      <c r="A3187" t="s">
        <v>6350</v>
      </c>
      <c r="B3187" t="s">
        <v>6351</v>
      </c>
      <c r="I3187" s="3" t="str">
        <f>+IFERROR(VLOOKUP(C3187,'Mov 2023 hasta ahora '!$C$2:$D$314,2,FALSE),"NO")</f>
        <v>NO</v>
      </c>
      <c r="K3187">
        <v>5</v>
      </c>
      <c r="L3187" t="s">
        <v>836</v>
      </c>
      <c r="M3187">
        <v>18</v>
      </c>
    </row>
    <row r="3188" spans="1:18" s="13" customFormat="1" hidden="1">
      <c r="A3188" s="23" t="s">
        <v>6352</v>
      </c>
      <c r="B3188" s="23" t="s">
        <v>6353</v>
      </c>
      <c r="C3188" s="23">
        <v>3112</v>
      </c>
      <c r="G3188"/>
      <c r="I3188" s="14" t="str">
        <f>+IFERROR(VLOOKUP(C3188,'Mov 2023 hasta ahora '!$C$2:$D$314,2,FALSE),"NO")</f>
        <v>NO</v>
      </c>
      <c r="K3188">
        <v>6</v>
      </c>
      <c r="L3188" t="s">
        <v>836</v>
      </c>
      <c r="M3188">
        <v>24</v>
      </c>
      <c r="O3188" s="29" t="s">
        <v>8800</v>
      </c>
      <c r="P3188" s="25" t="s">
        <v>8988</v>
      </c>
      <c r="Q3188" s="25">
        <v>1457</v>
      </c>
      <c r="R3188" t="s">
        <v>436</v>
      </c>
    </row>
    <row r="3189" spans="1:18" s="13" customFormat="1" hidden="1">
      <c r="A3189" s="23" t="s">
        <v>6354</v>
      </c>
      <c r="B3189" s="23" t="s">
        <v>6355</v>
      </c>
      <c r="C3189" s="23">
        <v>3113</v>
      </c>
      <c r="G3189"/>
      <c r="I3189" s="14" t="str">
        <f>+IFERROR(VLOOKUP(C3189,'Mov 2023 hasta ahora '!$C$2:$D$314,2,FALSE),"NO")</f>
        <v>NO</v>
      </c>
      <c r="K3189">
        <v>6</v>
      </c>
      <c r="L3189" t="s">
        <v>836</v>
      </c>
      <c r="M3189">
        <v>24</v>
      </c>
      <c r="O3189" s="29" t="s">
        <v>8810</v>
      </c>
      <c r="P3189" s="25" t="s">
        <v>8989</v>
      </c>
      <c r="Q3189" s="25">
        <v>1465</v>
      </c>
      <c r="R3189" t="s">
        <v>436</v>
      </c>
    </row>
    <row r="3190" spans="1:18" hidden="1">
      <c r="A3190" t="s">
        <v>6356</v>
      </c>
      <c r="B3190" t="s">
        <v>6357</v>
      </c>
      <c r="I3190" s="3" t="str">
        <f>+IFERROR(VLOOKUP(C3190,'Mov 2023 hasta ahora '!$C$2:$D$314,2,FALSE),"NO")</f>
        <v>NO</v>
      </c>
      <c r="K3190">
        <v>4</v>
      </c>
      <c r="L3190" t="s">
        <v>836</v>
      </c>
      <c r="M3190">
        <v>14</v>
      </c>
    </row>
    <row r="3191" spans="1:18" hidden="1">
      <c r="A3191" t="s">
        <v>6358</v>
      </c>
      <c r="B3191" t="s">
        <v>6359</v>
      </c>
      <c r="I3191" s="3" t="str">
        <f>+IFERROR(VLOOKUP(C3191,'Mov 2023 hasta ahora '!$C$2:$D$314,2,FALSE),"NO")</f>
        <v>NO</v>
      </c>
      <c r="K3191">
        <v>5</v>
      </c>
      <c r="L3191" t="s">
        <v>836</v>
      </c>
      <c r="M3191">
        <v>18</v>
      </c>
    </row>
    <row r="3192" spans="1:18" s="13" customFormat="1" hidden="1">
      <c r="A3192" s="23" t="s">
        <v>6360</v>
      </c>
      <c r="B3192" s="23" t="s">
        <v>6361</v>
      </c>
      <c r="C3192" s="23">
        <v>3322</v>
      </c>
      <c r="G3192"/>
      <c r="I3192" s="14" t="str">
        <f>+IFERROR(VLOOKUP(C3192,'Mov 2023 hasta ahora '!$C$2:$D$314,2,FALSE),"NO")</f>
        <v>NO</v>
      </c>
      <c r="K3192">
        <v>6</v>
      </c>
      <c r="L3192" t="s">
        <v>836</v>
      </c>
      <c r="M3192">
        <v>24</v>
      </c>
      <c r="O3192" s="29" t="s">
        <v>8795</v>
      </c>
      <c r="P3192" s="25" t="s">
        <v>8798</v>
      </c>
      <c r="Q3192" s="25">
        <v>1489</v>
      </c>
      <c r="R3192" t="s">
        <v>436</v>
      </c>
    </row>
    <row r="3193" spans="1:18" s="13" customFormat="1" hidden="1">
      <c r="A3193" s="23" t="s">
        <v>6362</v>
      </c>
      <c r="B3193" s="23" t="s">
        <v>6363</v>
      </c>
      <c r="C3193" s="23">
        <v>3323</v>
      </c>
      <c r="G3193"/>
      <c r="I3193" s="14" t="str">
        <f>+IFERROR(VLOOKUP(C3193,'Mov 2023 hasta ahora '!$C$2:$D$314,2,FALSE),"NO")</f>
        <v>NO</v>
      </c>
      <c r="K3193">
        <v>6</v>
      </c>
      <c r="L3193" t="s">
        <v>836</v>
      </c>
      <c r="M3193">
        <v>24</v>
      </c>
      <c r="O3193" s="29" t="s">
        <v>8804</v>
      </c>
      <c r="P3193" s="25" t="s">
        <v>8808</v>
      </c>
      <c r="Q3193" s="25">
        <v>1497</v>
      </c>
      <c r="R3193" s="13" t="s">
        <v>436</v>
      </c>
    </row>
    <row r="3194" spans="1:18" hidden="1">
      <c r="A3194" t="s">
        <v>6364</v>
      </c>
      <c r="B3194" t="s">
        <v>6365</v>
      </c>
      <c r="I3194" s="3" t="str">
        <f>+IFERROR(VLOOKUP(C3194,'Mov 2023 hasta ahora '!$C$2:$D$314,2,FALSE),"NO")</f>
        <v>NO</v>
      </c>
      <c r="K3194">
        <v>4</v>
      </c>
      <c r="L3194" t="s">
        <v>836</v>
      </c>
      <c r="M3194">
        <v>14</v>
      </c>
    </row>
    <row r="3195" spans="1:18" hidden="1">
      <c r="A3195" t="s">
        <v>6366</v>
      </c>
      <c r="B3195" t="s">
        <v>6367</v>
      </c>
      <c r="I3195" s="3" t="str">
        <f>+IFERROR(VLOOKUP(C3195,'Mov 2023 hasta ahora '!$C$2:$D$314,2,FALSE),"NO")</f>
        <v>NO</v>
      </c>
      <c r="K3195">
        <v>5</v>
      </c>
      <c r="L3195" t="s">
        <v>836</v>
      </c>
      <c r="M3195">
        <v>18</v>
      </c>
    </row>
    <row r="3196" spans="1:18" hidden="1">
      <c r="A3196" s="23" t="s">
        <v>6368</v>
      </c>
      <c r="B3196" s="23" t="s">
        <v>6369</v>
      </c>
      <c r="C3196" s="23">
        <v>3025</v>
      </c>
      <c r="I3196" s="3" t="str">
        <f>+IFERROR(VLOOKUP(C3196,'Mov 2023 hasta ahora '!$C$2:$D$314,2,FALSE),"NO")</f>
        <v>NO</v>
      </c>
      <c r="K3196">
        <v>6</v>
      </c>
      <c r="L3196" t="s">
        <v>836</v>
      </c>
      <c r="M3196">
        <v>24</v>
      </c>
      <c r="O3196" s="29" t="s">
        <v>9049</v>
      </c>
      <c r="P3196" s="25" t="s">
        <v>9050</v>
      </c>
      <c r="Q3196" s="25">
        <v>1363</v>
      </c>
      <c r="R3196" t="s">
        <v>436</v>
      </c>
    </row>
    <row r="3197" spans="1:18" hidden="1">
      <c r="A3197" s="23" t="s">
        <v>6370</v>
      </c>
      <c r="B3197" s="23" t="s">
        <v>6371</v>
      </c>
      <c r="C3197" s="23">
        <v>3026</v>
      </c>
      <c r="I3197" s="3" t="str">
        <f>+IFERROR(VLOOKUP(C3197,'Mov 2023 hasta ahora '!$C$2:$D$314,2,FALSE),"NO")</f>
        <v>NO</v>
      </c>
      <c r="K3197">
        <v>6</v>
      </c>
      <c r="L3197" t="s">
        <v>836</v>
      </c>
      <c r="M3197">
        <v>24</v>
      </c>
      <c r="O3197" s="29" t="s">
        <v>9014</v>
      </c>
      <c r="P3197" s="25" t="s">
        <v>8890</v>
      </c>
      <c r="Q3197" s="25">
        <v>1244</v>
      </c>
      <c r="R3197" t="s">
        <v>436</v>
      </c>
    </row>
    <row r="3198" spans="1:18" hidden="1">
      <c r="A3198" s="23" t="s">
        <v>6372</v>
      </c>
      <c r="B3198" s="23" t="s">
        <v>6373</v>
      </c>
      <c r="C3198" s="23">
        <v>3027</v>
      </c>
      <c r="I3198" s="3" t="str">
        <f>+IFERROR(VLOOKUP(C3198,'Mov 2023 hasta ahora '!$C$2:$D$314,2,FALSE),"NO")</f>
        <v>NO</v>
      </c>
      <c r="K3198">
        <v>6</v>
      </c>
      <c r="L3198" t="s">
        <v>836</v>
      </c>
      <c r="M3198">
        <v>24</v>
      </c>
      <c r="O3198" s="29" t="s">
        <v>9059</v>
      </c>
      <c r="P3198" s="25" t="s">
        <v>9060</v>
      </c>
      <c r="Q3198" s="25">
        <v>1534</v>
      </c>
      <c r="R3198" t="s">
        <v>436</v>
      </c>
    </row>
    <row r="3199" spans="1:18" hidden="1">
      <c r="A3199" s="23" t="s">
        <v>6374</v>
      </c>
      <c r="B3199" s="23" t="s">
        <v>6375</v>
      </c>
      <c r="C3199" s="23">
        <v>3028</v>
      </c>
      <c r="I3199" s="3" t="str">
        <f>+IFERROR(VLOOKUP(C3199,'Mov 2023 hasta ahora '!$C$2:$D$314,2,FALSE),"NO")</f>
        <v>NO</v>
      </c>
      <c r="K3199">
        <v>6</v>
      </c>
      <c r="L3199" t="s">
        <v>836</v>
      </c>
      <c r="M3199">
        <v>24</v>
      </c>
      <c r="O3199" s="29" t="s">
        <v>9030</v>
      </c>
      <c r="P3199" s="25" t="s">
        <v>9029</v>
      </c>
      <c r="Q3199" s="25">
        <v>3817</v>
      </c>
      <c r="R3199" t="s">
        <v>436</v>
      </c>
    </row>
    <row r="3200" spans="1:18" hidden="1">
      <c r="A3200" s="23" t="s">
        <v>6376</v>
      </c>
      <c r="B3200" s="23" t="s">
        <v>6377</v>
      </c>
      <c r="C3200" s="23">
        <v>3029</v>
      </c>
      <c r="I3200" s="3" t="str">
        <f>+IFERROR(VLOOKUP(C3200,'Mov 2023 hasta ahora '!$C$2:$D$314,2,FALSE),"NO")</f>
        <v>NO</v>
      </c>
      <c r="K3200">
        <v>6</v>
      </c>
      <c r="L3200" t="s">
        <v>836</v>
      </c>
      <c r="M3200">
        <v>24</v>
      </c>
      <c r="O3200" s="29" t="s">
        <v>9019</v>
      </c>
      <c r="P3200" s="25" t="s">
        <v>8762</v>
      </c>
      <c r="Q3200" s="25">
        <v>1758</v>
      </c>
      <c r="R3200" t="s">
        <v>436</v>
      </c>
    </row>
    <row r="3201" spans="1:18" hidden="1">
      <c r="A3201" s="23" t="s">
        <v>6378</v>
      </c>
      <c r="B3201" s="23" t="s">
        <v>6379</v>
      </c>
      <c r="C3201" s="23">
        <v>3296</v>
      </c>
      <c r="I3201" s="3" t="str">
        <f>+IFERROR(VLOOKUP(C3201,'Mov 2023 hasta ahora '!$C$2:$D$314,2,FALSE),"NO")</f>
        <v>NO</v>
      </c>
      <c r="K3201">
        <v>6</v>
      </c>
      <c r="L3201" t="s">
        <v>836</v>
      </c>
      <c r="M3201">
        <v>24</v>
      </c>
      <c r="O3201" s="29" t="s">
        <v>9061</v>
      </c>
      <c r="P3201" s="25" t="s">
        <v>9062</v>
      </c>
      <c r="Q3201" s="25">
        <v>2671</v>
      </c>
      <c r="R3201" t="s">
        <v>436</v>
      </c>
    </row>
    <row r="3202" spans="1:18" s="13" customFormat="1" hidden="1">
      <c r="A3202" s="23" t="s">
        <v>6380</v>
      </c>
      <c r="B3202" s="23" t="s">
        <v>6381</v>
      </c>
      <c r="C3202" s="23">
        <v>3307</v>
      </c>
      <c r="G3202"/>
      <c r="I3202" s="14" t="str">
        <f>+IFERROR(VLOOKUP(C3202,'Mov 2023 hasta ahora '!$C$2:$D$314,2,FALSE),"NO")</f>
        <v>NO</v>
      </c>
      <c r="K3202">
        <v>6</v>
      </c>
      <c r="L3202" t="s">
        <v>836</v>
      </c>
      <c r="M3202">
        <v>24</v>
      </c>
      <c r="O3202" s="29" t="s">
        <v>8861</v>
      </c>
      <c r="P3202" s="25" t="s">
        <v>8868</v>
      </c>
      <c r="Q3202" s="25">
        <v>1419</v>
      </c>
      <c r="R3202" t="s">
        <v>436</v>
      </c>
    </row>
    <row r="3203" spans="1:18" hidden="1">
      <c r="A3203" t="s">
        <v>6382</v>
      </c>
      <c r="B3203" t="s">
        <v>6383</v>
      </c>
      <c r="I3203" s="3" t="str">
        <f>+IFERROR(VLOOKUP(C3203,'Mov 2023 hasta ahora '!$C$2:$D$314,2,FALSE),"NO")</f>
        <v>NO</v>
      </c>
      <c r="K3203">
        <v>5</v>
      </c>
      <c r="L3203" t="s">
        <v>836</v>
      </c>
      <c r="M3203">
        <v>18</v>
      </c>
    </row>
    <row r="3204" spans="1:18" s="13" customFormat="1" hidden="1">
      <c r="A3204" s="23" t="s">
        <v>6384</v>
      </c>
      <c r="B3204" s="23" t="s">
        <v>6385</v>
      </c>
      <c r="C3204" s="23">
        <v>3101</v>
      </c>
      <c r="G3204"/>
      <c r="I3204" s="14" t="str">
        <f>+IFERROR(VLOOKUP(C3204,'Mov 2023 hasta ahora '!$C$2:$D$314,2,FALSE),"NO")</f>
        <v>NO</v>
      </c>
      <c r="K3204">
        <v>6</v>
      </c>
      <c r="L3204" t="s">
        <v>836</v>
      </c>
      <c r="M3204">
        <v>24</v>
      </c>
      <c r="O3204" s="29" t="s">
        <v>8825</v>
      </c>
      <c r="P3204" s="25" t="s">
        <v>8832</v>
      </c>
      <c r="Q3204" s="25">
        <v>3601</v>
      </c>
      <c r="R3204" t="s">
        <v>436</v>
      </c>
    </row>
    <row r="3205" spans="1:18" s="13" customFormat="1" hidden="1">
      <c r="A3205" s="23" t="s">
        <v>6386</v>
      </c>
      <c r="B3205" s="23" t="s">
        <v>6387</v>
      </c>
      <c r="C3205" s="23">
        <v>3102</v>
      </c>
      <c r="G3205"/>
      <c r="I3205" s="14" t="str">
        <f>+IFERROR(VLOOKUP(C3205,'Mov 2023 hasta ahora '!$C$2:$D$314,2,FALSE),"NO")</f>
        <v>NO</v>
      </c>
      <c r="K3205">
        <v>6</v>
      </c>
      <c r="L3205" t="s">
        <v>836</v>
      </c>
      <c r="M3205">
        <v>24</v>
      </c>
      <c r="O3205" s="29" t="s">
        <v>8992</v>
      </c>
      <c r="P3205" s="25" t="s">
        <v>8836</v>
      </c>
      <c r="Q3205" s="25">
        <v>3603</v>
      </c>
      <c r="R3205" t="s">
        <v>436</v>
      </c>
    </row>
    <row r="3206" spans="1:18" hidden="1">
      <c r="A3206" t="s">
        <v>6388</v>
      </c>
      <c r="B3206" t="s">
        <v>1641</v>
      </c>
      <c r="I3206" s="3" t="str">
        <f>+IFERROR(VLOOKUP(C3206,'Mov 2023 hasta ahora '!$C$2:$D$314,2,FALSE),"NO")</f>
        <v>NO</v>
      </c>
      <c r="K3206">
        <v>3</v>
      </c>
      <c r="L3206" t="s">
        <v>836</v>
      </c>
      <c r="M3206">
        <v>10</v>
      </c>
    </row>
    <row r="3207" spans="1:18" hidden="1">
      <c r="A3207" t="s">
        <v>6389</v>
      </c>
      <c r="B3207" t="s">
        <v>6390</v>
      </c>
      <c r="I3207" s="3" t="str">
        <f>+IFERROR(VLOOKUP(C3207,'Mov 2023 hasta ahora '!$C$2:$D$314,2,FALSE),"NO")</f>
        <v>NO</v>
      </c>
      <c r="K3207">
        <v>4</v>
      </c>
      <c r="L3207" t="s">
        <v>836</v>
      </c>
      <c r="M3207">
        <v>14</v>
      </c>
    </row>
    <row r="3208" spans="1:18" hidden="1">
      <c r="A3208" t="s">
        <v>6391</v>
      </c>
      <c r="B3208" t="s">
        <v>6392</v>
      </c>
      <c r="I3208" s="3" t="str">
        <f>+IFERROR(VLOOKUP(C3208,'Mov 2023 hasta ahora '!$C$2:$D$314,2,FALSE),"NO")</f>
        <v>NO</v>
      </c>
      <c r="K3208">
        <v>5</v>
      </c>
      <c r="L3208" t="s">
        <v>836</v>
      </c>
      <c r="M3208">
        <v>18</v>
      </c>
    </row>
    <row r="3209" spans="1:18" hidden="1">
      <c r="A3209" s="23" t="s">
        <v>6393</v>
      </c>
      <c r="B3209" s="23" t="s">
        <v>6394</v>
      </c>
      <c r="C3209" s="23">
        <v>3030</v>
      </c>
      <c r="I3209" s="3" t="str">
        <f>+IFERROR(VLOOKUP(C3209,'Mov 2023 hasta ahora '!$C$2:$D$314,2,FALSE),"NO")</f>
        <v>NO</v>
      </c>
      <c r="K3209">
        <v>6</v>
      </c>
      <c r="L3209" t="s">
        <v>836</v>
      </c>
      <c r="M3209">
        <v>24</v>
      </c>
      <c r="O3209" s="29" t="s">
        <v>8742</v>
      </c>
      <c r="P3209" s="25" t="s">
        <v>9063</v>
      </c>
      <c r="Q3209" s="25">
        <v>176</v>
      </c>
      <c r="R3209" t="s">
        <v>436</v>
      </c>
    </row>
    <row r="3210" spans="1:18" hidden="1">
      <c r="A3210" s="23" t="s">
        <v>6395</v>
      </c>
      <c r="B3210" s="23" t="s">
        <v>6396</v>
      </c>
      <c r="C3210" s="23">
        <v>3207</v>
      </c>
      <c r="I3210" s="3" t="str">
        <f>+IFERROR(VLOOKUP(C3210,'Mov 2023 hasta ahora '!$C$2:$D$314,2,FALSE),"NO")</f>
        <v>NO</v>
      </c>
      <c r="K3210">
        <v>6</v>
      </c>
      <c r="L3210" t="s">
        <v>836</v>
      </c>
      <c r="M3210">
        <v>24</v>
      </c>
      <c r="O3210" s="29" t="s">
        <v>9057</v>
      </c>
      <c r="P3210" s="25" t="s">
        <v>9058</v>
      </c>
      <c r="Q3210" s="25">
        <v>3212</v>
      </c>
      <c r="R3210" t="s">
        <v>436</v>
      </c>
    </row>
    <row r="3211" spans="1:18" hidden="1">
      <c r="A3211" t="s">
        <v>6397</v>
      </c>
      <c r="B3211" t="s">
        <v>6398</v>
      </c>
      <c r="I3211" s="3" t="str">
        <f>+IFERROR(VLOOKUP(C3211,'Mov 2023 hasta ahora '!$C$2:$D$314,2,FALSE),"NO")</f>
        <v>NO</v>
      </c>
      <c r="K3211">
        <v>4</v>
      </c>
      <c r="L3211" t="s">
        <v>836</v>
      </c>
      <c r="M3211">
        <v>14</v>
      </c>
    </row>
    <row r="3212" spans="1:18" hidden="1">
      <c r="A3212" t="s">
        <v>6399</v>
      </c>
      <c r="B3212" t="s">
        <v>6400</v>
      </c>
      <c r="I3212" s="3" t="str">
        <f>+IFERROR(VLOOKUP(C3212,'Mov 2023 hasta ahora '!$C$2:$D$314,2,FALSE),"NO")</f>
        <v>NO</v>
      </c>
      <c r="K3212">
        <v>5</v>
      </c>
      <c r="L3212" t="s">
        <v>836</v>
      </c>
      <c r="M3212">
        <v>18</v>
      </c>
    </row>
    <row r="3213" spans="1:18" s="13" customFormat="1" hidden="1">
      <c r="A3213" s="23" t="s">
        <v>6401</v>
      </c>
      <c r="B3213" s="23" t="s">
        <v>6402</v>
      </c>
      <c r="C3213" s="23">
        <v>3031</v>
      </c>
      <c r="G3213"/>
      <c r="I3213" s="14" t="str">
        <f>+IFERROR(VLOOKUP(C3213,'Mov 2023 hasta ahora '!$C$2:$D$314,2,FALSE),"NO")</f>
        <v>NO</v>
      </c>
      <c r="K3213">
        <v>6</v>
      </c>
      <c r="L3213" t="s">
        <v>836</v>
      </c>
      <c r="M3213">
        <v>24</v>
      </c>
      <c r="O3213" s="29" t="s">
        <v>8746</v>
      </c>
      <c r="P3213" s="25" t="s">
        <v>9054</v>
      </c>
      <c r="Q3213" s="25">
        <v>185</v>
      </c>
      <c r="R3213" t="s">
        <v>436</v>
      </c>
    </row>
    <row r="3214" spans="1:18" s="13" customFormat="1" hidden="1">
      <c r="A3214" s="23" t="s">
        <v>6403</v>
      </c>
      <c r="B3214" s="23" t="s">
        <v>6404</v>
      </c>
      <c r="C3214" s="23">
        <v>3032</v>
      </c>
      <c r="G3214"/>
      <c r="I3214" s="14" t="str">
        <f>+IFERROR(VLOOKUP(C3214,'Mov 2023 hasta ahora '!$C$2:$D$314,2,FALSE),"NO")</f>
        <v>NO</v>
      </c>
      <c r="K3214">
        <v>6</v>
      </c>
      <c r="L3214" t="s">
        <v>836</v>
      </c>
      <c r="M3214">
        <v>24</v>
      </c>
      <c r="O3214" s="29" t="s">
        <v>8748</v>
      </c>
      <c r="P3214" s="25" t="s">
        <v>9055</v>
      </c>
      <c r="Q3214" s="25">
        <v>193</v>
      </c>
      <c r="R3214" t="s">
        <v>436</v>
      </c>
    </row>
    <row r="3215" spans="1:18" s="13" customFormat="1" hidden="1">
      <c r="A3215" s="23" t="s">
        <v>6405</v>
      </c>
      <c r="B3215" s="23" t="s">
        <v>6406</v>
      </c>
      <c r="C3215" s="23">
        <v>3033</v>
      </c>
      <c r="G3215"/>
      <c r="I3215" s="14" t="str">
        <f>+IFERROR(VLOOKUP(C3215,'Mov 2023 hasta ahora '!$C$2:$D$314,2,FALSE),"NO")</f>
        <v>NO</v>
      </c>
      <c r="K3215">
        <v>6</v>
      </c>
      <c r="L3215" t="s">
        <v>836</v>
      </c>
      <c r="M3215">
        <v>24</v>
      </c>
      <c r="O3215" s="29" t="s">
        <v>8749</v>
      </c>
      <c r="P3215" s="25" t="s">
        <v>9056</v>
      </c>
      <c r="Q3215" s="25">
        <v>202</v>
      </c>
      <c r="R3215" t="s">
        <v>436</v>
      </c>
    </row>
    <row r="3216" spans="1:18" hidden="1">
      <c r="A3216" s="23" t="s">
        <v>6407</v>
      </c>
      <c r="B3216" s="23" t="s">
        <v>6408</v>
      </c>
      <c r="C3216" s="23">
        <v>3034</v>
      </c>
      <c r="I3216" s="3" t="str">
        <f>+IFERROR(VLOOKUP(C3216,'Mov 2023 hasta ahora '!$C$2:$D$314,2,FALSE),"NO")</f>
        <v>NO</v>
      </c>
      <c r="K3216">
        <v>6</v>
      </c>
      <c r="L3216" t="s">
        <v>836</v>
      </c>
      <c r="M3216">
        <v>24</v>
      </c>
      <c r="O3216" s="29" t="s">
        <v>8750</v>
      </c>
      <c r="P3216" s="25" t="s">
        <v>8968</v>
      </c>
      <c r="Q3216" s="25">
        <v>1351</v>
      </c>
      <c r="R3216" t="s">
        <v>436</v>
      </c>
    </row>
    <row r="3217" spans="1:18" hidden="1">
      <c r="A3217" t="s">
        <v>6409</v>
      </c>
      <c r="B3217" t="s">
        <v>6410</v>
      </c>
      <c r="I3217" s="3" t="str">
        <f>+IFERROR(VLOOKUP(C3217,'Mov 2023 hasta ahora '!$C$2:$D$314,2,FALSE),"NO")</f>
        <v>NO</v>
      </c>
      <c r="K3217">
        <v>4</v>
      </c>
      <c r="L3217" t="s">
        <v>836</v>
      </c>
      <c r="M3217">
        <v>14</v>
      </c>
    </row>
    <row r="3218" spans="1:18" hidden="1">
      <c r="A3218" t="s">
        <v>6411</v>
      </c>
      <c r="B3218" t="s">
        <v>6412</v>
      </c>
      <c r="I3218" s="3" t="str">
        <f>+IFERROR(VLOOKUP(C3218,'Mov 2023 hasta ahora '!$C$2:$D$314,2,FALSE),"NO")</f>
        <v>NO</v>
      </c>
      <c r="K3218">
        <v>5</v>
      </c>
      <c r="L3218" t="s">
        <v>836</v>
      </c>
      <c r="M3218">
        <v>18</v>
      </c>
    </row>
    <row r="3219" spans="1:18" hidden="1">
      <c r="A3219" s="23" t="s">
        <v>6413</v>
      </c>
      <c r="B3219" s="23" t="s">
        <v>6414</v>
      </c>
      <c r="C3219" s="23">
        <v>3035</v>
      </c>
      <c r="I3219" s="3" t="str">
        <f>+IFERROR(VLOOKUP(C3219,'Mov 2023 hasta ahora '!$C$2:$D$314,2,FALSE),"NO")</f>
        <v>NO</v>
      </c>
      <c r="K3219">
        <v>6</v>
      </c>
      <c r="L3219" t="s">
        <v>836</v>
      </c>
      <c r="M3219">
        <v>24</v>
      </c>
      <c r="O3219" s="29" t="s">
        <v>9013</v>
      </c>
      <c r="P3219" s="25" t="s">
        <v>8756</v>
      </c>
      <c r="Q3219" s="25">
        <v>212</v>
      </c>
      <c r="R3219" t="s">
        <v>436</v>
      </c>
    </row>
    <row r="3220" spans="1:18" hidden="1">
      <c r="A3220" t="s">
        <v>6415</v>
      </c>
      <c r="B3220" t="s">
        <v>6416</v>
      </c>
      <c r="I3220" s="3" t="str">
        <f>+IFERROR(VLOOKUP(C3220,'Mov 2023 hasta ahora '!$C$2:$D$314,2,FALSE),"NO")</f>
        <v>NO</v>
      </c>
      <c r="K3220">
        <v>4</v>
      </c>
      <c r="L3220" t="s">
        <v>836</v>
      </c>
      <c r="M3220">
        <v>14</v>
      </c>
    </row>
    <row r="3221" spans="1:18" hidden="1">
      <c r="A3221" t="s">
        <v>6417</v>
      </c>
      <c r="B3221" t="s">
        <v>6418</v>
      </c>
      <c r="I3221" s="3" t="str">
        <f>+IFERROR(VLOOKUP(C3221,'Mov 2023 hasta ahora '!$C$2:$D$314,2,FALSE),"NO")</f>
        <v>NO</v>
      </c>
      <c r="K3221">
        <v>5</v>
      </c>
      <c r="L3221" t="s">
        <v>836</v>
      </c>
      <c r="M3221">
        <v>18</v>
      </c>
    </row>
    <row r="3222" spans="1:18" s="15" customFormat="1" hidden="1">
      <c r="A3222" s="23" t="s">
        <v>6419</v>
      </c>
      <c r="B3222" s="23" t="s">
        <v>6420</v>
      </c>
      <c r="C3222" s="23">
        <v>3036</v>
      </c>
      <c r="G3222"/>
      <c r="I3222" s="16" t="str">
        <f>+IFERROR(VLOOKUP(C3222,'Mov 2023 hasta ahora '!$C$2:$D$314,2,FALSE),"NO")</f>
        <v>NO</v>
      </c>
      <c r="K3222">
        <v>6</v>
      </c>
      <c r="L3222" t="s">
        <v>836</v>
      </c>
      <c r="M3222">
        <v>24</v>
      </c>
      <c r="O3222" s="29" t="s">
        <v>8793</v>
      </c>
      <c r="P3222" s="25" t="s">
        <v>8975</v>
      </c>
      <c r="Q3222" s="25">
        <v>1616</v>
      </c>
      <c r="R3222" t="s">
        <v>436</v>
      </c>
    </row>
    <row r="3223" spans="1:18" s="15" customFormat="1" hidden="1">
      <c r="A3223" s="23" t="s">
        <v>6421</v>
      </c>
      <c r="B3223" s="23" t="s">
        <v>6422</v>
      </c>
      <c r="C3223" s="23">
        <v>3037</v>
      </c>
      <c r="G3223"/>
      <c r="I3223" s="16" t="str">
        <f>+IFERROR(VLOOKUP(C3223,'Mov 2023 hasta ahora '!$C$2:$D$314,2,FALSE),"NO")</f>
        <v>NO</v>
      </c>
      <c r="K3223">
        <v>6</v>
      </c>
      <c r="L3223" t="s">
        <v>836</v>
      </c>
      <c r="M3223">
        <v>24</v>
      </c>
      <c r="O3223" s="29" t="s">
        <v>8793</v>
      </c>
      <c r="P3223" s="25" t="s">
        <v>8975</v>
      </c>
      <c r="Q3223" s="25">
        <v>1616</v>
      </c>
      <c r="R3223" t="s">
        <v>436</v>
      </c>
    </row>
    <row r="3224" spans="1:18" hidden="1">
      <c r="A3224" s="23" t="s">
        <v>6423</v>
      </c>
      <c r="B3224" s="23" t="s">
        <v>6424</v>
      </c>
      <c r="C3224" s="23">
        <v>3105</v>
      </c>
      <c r="I3224" s="3" t="str">
        <f>+IFERROR(VLOOKUP(C3224,'Mov 2023 hasta ahora '!$C$2:$D$314,2,FALSE),"NO")</f>
        <v>NO</v>
      </c>
      <c r="K3224">
        <v>6</v>
      </c>
      <c r="L3224" t="s">
        <v>836</v>
      </c>
      <c r="M3224">
        <v>24</v>
      </c>
      <c r="O3224" s="29" t="s">
        <v>8794</v>
      </c>
      <c r="P3224" s="25" t="s">
        <v>8982</v>
      </c>
      <c r="Q3224" s="25">
        <v>1441</v>
      </c>
      <c r="R3224" t="s">
        <v>436</v>
      </c>
    </row>
    <row r="3225" spans="1:18" hidden="1">
      <c r="A3225" s="23" t="s">
        <v>6425</v>
      </c>
      <c r="B3225" s="23" t="s">
        <v>6426</v>
      </c>
      <c r="C3225" s="23">
        <v>3106</v>
      </c>
      <c r="I3225" s="3" t="str">
        <f>+IFERROR(VLOOKUP(C3225,'Mov 2023 hasta ahora '!$C$2:$D$314,2,FALSE),"NO")</f>
        <v>NO</v>
      </c>
      <c r="K3225">
        <v>6</v>
      </c>
      <c r="L3225" t="s">
        <v>836</v>
      </c>
      <c r="M3225">
        <v>24</v>
      </c>
      <c r="O3225" s="29" t="s">
        <v>8809</v>
      </c>
      <c r="P3225" s="25" t="s">
        <v>8983</v>
      </c>
      <c r="Q3225" s="25">
        <v>1448</v>
      </c>
      <c r="R3225" t="s">
        <v>436</v>
      </c>
    </row>
    <row r="3226" spans="1:18" s="15" customFormat="1" hidden="1">
      <c r="A3226" s="23" t="s">
        <v>6427</v>
      </c>
      <c r="B3226" s="23" t="s">
        <v>6428</v>
      </c>
      <c r="C3226" s="23">
        <v>3218</v>
      </c>
      <c r="G3226"/>
      <c r="I3226" s="16" t="str">
        <f>+IFERROR(VLOOKUP(C3226,'Mov 2023 hasta ahora '!$C$2:$D$314,2,FALSE),"NO")</f>
        <v>NO</v>
      </c>
      <c r="K3226">
        <v>6</v>
      </c>
      <c r="L3226" t="s">
        <v>836</v>
      </c>
      <c r="M3226">
        <v>24</v>
      </c>
      <c r="O3226" s="29" t="s">
        <v>8802</v>
      </c>
      <c r="P3226" s="25" t="s">
        <v>8976</v>
      </c>
      <c r="Q3226" s="25">
        <v>3222</v>
      </c>
      <c r="R3226" t="s">
        <v>436</v>
      </c>
    </row>
    <row r="3227" spans="1:18" s="15" customFormat="1" hidden="1">
      <c r="A3227" s="23" t="s">
        <v>6429</v>
      </c>
      <c r="B3227" s="23" t="s">
        <v>6430</v>
      </c>
      <c r="C3227" s="23">
        <v>3229</v>
      </c>
      <c r="G3227"/>
      <c r="I3227" s="16" t="str">
        <f>+IFERROR(VLOOKUP(C3227,'Mov 2023 hasta ahora '!$C$2:$D$314,2,FALSE),"NO")</f>
        <v>NO</v>
      </c>
      <c r="K3227">
        <v>6</v>
      </c>
      <c r="L3227" t="s">
        <v>836</v>
      </c>
      <c r="M3227">
        <v>24</v>
      </c>
      <c r="O3227" s="29" t="s">
        <v>8833</v>
      </c>
      <c r="P3227" s="25" t="s">
        <v>8977</v>
      </c>
      <c r="Q3227" s="25">
        <v>3233</v>
      </c>
      <c r="R3227" t="s">
        <v>436</v>
      </c>
    </row>
    <row r="3228" spans="1:18" s="15" customFormat="1" hidden="1">
      <c r="A3228" s="23" t="s">
        <v>6431</v>
      </c>
      <c r="B3228" s="23" t="s">
        <v>6432</v>
      </c>
      <c r="C3228" s="23">
        <v>3240</v>
      </c>
      <c r="G3228"/>
      <c r="I3228" s="16" t="str">
        <f>+IFERROR(VLOOKUP(C3228,'Mov 2023 hasta ahora '!$C$2:$D$314,2,FALSE),"NO")</f>
        <v>NO</v>
      </c>
      <c r="K3228">
        <v>6</v>
      </c>
      <c r="L3228" t="s">
        <v>836</v>
      </c>
      <c r="M3228">
        <v>24</v>
      </c>
      <c r="O3228" s="29" t="s">
        <v>8755</v>
      </c>
      <c r="P3228" s="25" t="s">
        <v>8978</v>
      </c>
      <c r="Q3228" s="25">
        <v>3244</v>
      </c>
      <c r="R3228" t="s">
        <v>436</v>
      </c>
    </row>
    <row r="3229" spans="1:18" hidden="1">
      <c r="A3229" t="s">
        <v>6433</v>
      </c>
      <c r="B3229" t="s">
        <v>6434</v>
      </c>
      <c r="I3229" s="3" t="str">
        <f>+IFERROR(VLOOKUP(C3229,'Mov 2023 hasta ahora '!$C$2:$D$314,2,FALSE),"NO")</f>
        <v>NO</v>
      </c>
      <c r="K3229">
        <v>4</v>
      </c>
      <c r="L3229" t="s">
        <v>836</v>
      </c>
      <c r="M3229">
        <v>14</v>
      </c>
    </row>
    <row r="3230" spans="1:18" hidden="1">
      <c r="A3230" t="s">
        <v>6435</v>
      </c>
      <c r="B3230" t="s">
        <v>6436</v>
      </c>
      <c r="I3230" s="3" t="str">
        <f>+IFERROR(VLOOKUP(C3230,'Mov 2023 hasta ahora '!$C$2:$D$314,2,FALSE),"NO")</f>
        <v>NO</v>
      </c>
      <c r="K3230">
        <v>5</v>
      </c>
      <c r="L3230" t="s">
        <v>836</v>
      </c>
      <c r="M3230">
        <v>18</v>
      </c>
    </row>
    <row r="3231" spans="1:18" s="13" customFormat="1" hidden="1">
      <c r="A3231" s="23" t="s">
        <v>6437</v>
      </c>
      <c r="B3231" s="23" t="s">
        <v>6438</v>
      </c>
      <c r="C3231" s="23">
        <v>3038</v>
      </c>
      <c r="G3231"/>
      <c r="I3231" s="14" t="str">
        <f>+IFERROR(VLOOKUP(C3231,'Mov 2023 hasta ahora '!$C$2:$D$314,2,FALSE),"NO")</f>
        <v>NO</v>
      </c>
      <c r="K3231">
        <v>6</v>
      </c>
      <c r="L3231" t="s">
        <v>836</v>
      </c>
      <c r="M3231">
        <v>24</v>
      </c>
      <c r="O3231" s="29" t="s">
        <v>8857</v>
      </c>
      <c r="P3231" s="25" t="s">
        <v>8980</v>
      </c>
      <c r="Q3231" s="25">
        <v>2178</v>
      </c>
      <c r="R3231" t="s">
        <v>436</v>
      </c>
    </row>
    <row r="3232" spans="1:18" s="13" customFormat="1" hidden="1">
      <c r="A3232" s="23" t="s">
        <v>6439</v>
      </c>
      <c r="B3232" s="23" t="s">
        <v>6440</v>
      </c>
      <c r="C3232" s="23">
        <v>3039</v>
      </c>
      <c r="G3232"/>
      <c r="I3232" s="14" t="str">
        <f>+IFERROR(VLOOKUP(C3232,'Mov 2023 hasta ahora '!$C$2:$D$314,2,FALSE),"NO")</f>
        <v>NO</v>
      </c>
      <c r="K3232">
        <v>6</v>
      </c>
      <c r="L3232" t="s">
        <v>836</v>
      </c>
      <c r="M3232">
        <v>24</v>
      </c>
      <c r="O3232" s="29" t="s">
        <v>8846</v>
      </c>
      <c r="P3232" s="25" t="s">
        <v>8981</v>
      </c>
      <c r="Q3232" s="25">
        <v>2179</v>
      </c>
      <c r="R3232" t="s">
        <v>436</v>
      </c>
    </row>
    <row r="3233" spans="1:18" s="13" customFormat="1" hidden="1">
      <c r="A3233" s="23" t="s">
        <v>6441</v>
      </c>
      <c r="B3233" s="23" t="s">
        <v>6442</v>
      </c>
      <c r="C3233" s="23">
        <v>3040</v>
      </c>
      <c r="G3233"/>
      <c r="I3233" s="14" t="str">
        <f>+IFERROR(VLOOKUP(C3233,'Mov 2023 hasta ahora '!$C$2:$D$314,2,FALSE),"NO")</f>
        <v>NO</v>
      </c>
      <c r="K3233">
        <v>6</v>
      </c>
      <c r="L3233" t="s">
        <v>836</v>
      </c>
      <c r="M3233">
        <v>24</v>
      </c>
      <c r="O3233" s="29" t="s">
        <v>8846</v>
      </c>
      <c r="P3233" s="25" t="s">
        <v>8981</v>
      </c>
      <c r="Q3233" s="25">
        <v>2179</v>
      </c>
      <c r="R3233" t="s">
        <v>436</v>
      </c>
    </row>
    <row r="3234" spans="1:18" s="13" customFormat="1" hidden="1">
      <c r="A3234" s="23" t="s">
        <v>6443</v>
      </c>
      <c r="B3234" s="23" t="s">
        <v>6444</v>
      </c>
      <c r="C3234" s="23">
        <v>3041</v>
      </c>
      <c r="G3234"/>
      <c r="I3234" s="14" t="str">
        <f>+IFERROR(VLOOKUP(C3234,'Mov 2023 hasta ahora '!$C$2:$D$314,2,FALSE),"NO")</f>
        <v>NO</v>
      </c>
      <c r="K3234">
        <v>6</v>
      </c>
      <c r="L3234" t="s">
        <v>836</v>
      </c>
      <c r="M3234">
        <v>24</v>
      </c>
      <c r="O3234" s="29" t="s">
        <v>8794</v>
      </c>
      <c r="P3234" s="25" t="s">
        <v>8982</v>
      </c>
      <c r="Q3234" s="25">
        <v>1441</v>
      </c>
      <c r="R3234" t="s">
        <v>436</v>
      </c>
    </row>
    <row r="3235" spans="1:18" s="13" customFormat="1" hidden="1">
      <c r="A3235" s="23" t="s">
        <v>6445</v>
      </c>
      <c r="B3235" s="23" t="s">
        <v>6446</v>
      </c>
      <c r="C3235" s="23">
        <v>3042</v>
      </c>
      <c r="G3235"/>
      <c r="I3235" s="14" t="str">
        <f>+IFERROR(VLOOKUP(C3235,'Mov 2023 hasta ahora '!$C$2:$D$314,2,FALSE),"NO")</f>
        <v>NO</v>
      </c>
      <c r="K3235">
        <v>6</v>
      </c>
      <c r="L3235" t="s">
        <v>836</v>
      </c>
      <c r="M3235">
        <v>24</v>
      </c>
      <c r="O3235" s="29" t="s">
        <v>8809</v>
      </c>
      <c r="P3235" s="25" t="s">
        <v>8983</v>
      </c>
      <c r="Q3235" s="25">
        <v>1448</v>
      </c>
      <c r="R3235" t="s">
        <v>436</v>
      </c>
    </row>
    <row r="3236" spans="1:18" s="13" customFormat="1" hidden="1">
      <c r="A3236" s="23" t="s">
        <v>6447</v>
      </c>
      <c r="B3236" s="23" t="s">
        <v>6448</v>
      </c>
      <c r="C3236" s="23">
        <v>3251</v>
      </c>
      <c r="G3236"/>
      <c r="I3236" s="14" t="str">
        <f>+IFERROR(VLOOKUP(C3236,'Mov 2023 hasta ahora '!$C$2:$D$314,2,FALSE),"NO")</f>
        <v>NO</v>
      </c>
      <c r="K3236">
        <v>6</v>
      </c>
      <c r="L3236" t="s">
        <v>836</v>
      </c>
      <c r="M3236">
        <v>24</v>
      </c>
      <c r="O3236" s="29" t="s">
        <v>8857</v>
      </c>
      <c r="P3236" s="25" t="s">
        <v>8980</v>
      </c>
      <c r="Q3236" s="25">
        <v>2178</v>
      </c>
      <c r="R3236" t="s">
        <v>436</v>
      </c>
    </row>
    <row r="3237" spans="1:18" s="13" customFormat="1" hidden="1">
      <c r="A3237" s="23" t="s">
        <v>6449</v>
      </c>
      <c r="B3237" s="23" t="s">
        <v>6450</v>
      </c>
      <c r="C3237" s="23">
        <v>3262</v>
      </c>
      <c r="G3237"/>
      <c r="I3237" s="14" t="str">
        <f>+IFERROR(VLOOKUP(C3237,'Mov 2023 hasta ahora '!$C$2:$D$314,2,FALSE),"NO")</f>
        <v>NO</v>
      </c>
      <c r="K3237">
        <v>6</v>
      </c>
      <c r="L3237" t="s">
        <v>836</v>
      </c>
      <c r="M3237">
        <v>24</v>
      </c>
      <c r="O3237" s="29" t="s">
        <v>8857</v>
      </c>
      <c r="P3237" s="25" t="s">
        <v>8980</v>
      </c>
      <c r="Q3237" s="25">
        <v>2178</v>
      </c>
      <c r="R3237" t="s">
        <v>436</v>
      </c>
    </row>
    <row r="3238" spans="1:18" s="13" customFormat="1" hidden="1">
      <c r="A3238" s="23" t="s">
        <v>6451</v>
      </c>
      <c r="B3238" s="23" t="s">
        <v>6452</v>
      </c>
      <c r="C3238" s="23">
        <v>3273</v>
      </c>
      <c r="G3238"/>
      <c r="I3238" s="14" t="str">
        <f>+IFERROR(VLOOKUP(C3238,'Mov 2023 hasta ahora '!$C$2:$D$314,2,FALSE),"NO")</f>
        <v>NO</v>
      </c>
      <c r="K3238">
        <v>6</v>
      </c>
      <c r="L3238" t="s">
        <v>836</v>
      </c>
      <c r="M3238">
        <v>24</v>
      </c>
      <c r="O3238" s="29" t="s">
        <v>8857</v>
      </c>
      <c r="P3238" s="25" t="s">
        <v>8980</v>
      </c>
      <c r="Q3238" s="25">
        <v>2178</v>
      </c>
      <c r="R3238" t="s">
        <v>436</v>
      </c>
    </row>
    <row r="3239" spans="1:18" s="13" customFormat="1" hidden="1">
      <c r="A3239" s="23" t="s">
        <v>6453</v>
      </c>
      <c r="B3239" s="23" t="s">
        <v>6454</v>
      </c>
      <c r="C3239" s="23">
        <v>3284</v>
      </c>
      <c r="G3239"/>
      <c r="I3239" s="14" t="str">
        <f>+IFERROR(VLOOKUP(C3239,'Mov 2023 hasta ahora '!$C$2:$D$314,2,FALSE),"NO")</f>
        <v>NO</v>
      </c>
      <c r="K3239">
        <v>6</v>
      </c>
      <c r="L3239" t="s">
        <v>836</v>
      </c>
      <c r="M3239">
        <v>24</v>
      </c>
      <c r="O3239" s="29" t="s">
        <v>8857</v>
      </c>
      <c r="P3239" s="25" t="s">
        <v>8980</v>
      </c>
      <c r="Q3239" s="25">
        <v>2178</v>
      </c>
      <c r="R3239" t="s">
        <v>436</v>
      </c>
    </row>
    <row r="3240" spans="1:18" hidden="1">
      <c r="A3240" t="s">
        <v>6455</v>
      </c>
      <c r="B3240" t="s">
        <v>6456</v>
      </c>
      <c r="I3240" s="3" t="str">
        <f>+IFERROR(VLOOKUP(C3240,'Mov 2023 hasta ahora '!$C$2:$D$314,2,FALSE),"NO")</f>
        <v>NO</v>
      </c>
      <c r="K3240">
        <v>4</v>
      </c>
      <c r="L3240" t="s">
        <v>836</v>
      </c>
      <c r="M3240">
        <v>14</v>
      </c>
    </row>
    <row r="3241" spans="1:18" hidden="1">
      <c r="A3241" t="s">
        <v>6457</v>
      </c>
      <c r="B3241" t="s">
        <v>6458</v>
      </c>
      <c r="I3241" s="3" t="str">
        <f>+IFERROR(VLOOKUP(C3241,'Mov 2023 hasta ahora '!$C$2:$D$314,2,FALSE),"NO")</f>
        <v>NO</v>
      </c>
      <c r="K3241">
        <v>5</v>
      </c>
      <c r="L3241" t="s">
        <v>836</v>
      </c>
      <c r="M3241">
        <v>18</v>
      </c>
    </row>
    <row r="3242" spans="1:18" hidden="1">
      <c r="A3242" s="23" t="s">
        <v>6459</v>
      </c>
      <c r="B3242" s="23" t="s">
        <v>6460</v>
      </c>
      <c r="C3242" s="23">
        <v>3043</v>
      </c>
      <c r="I3242" s="3" t="str">
        <f>+IFERROR(VLOOKUP(C3242,'Mov 2023 hasta ahora '!$C$2:$D$314,2,FALSE),"NO")</f>
        <v>NO</v>
      </c>
      <c r="K3242">
        <v>6</v>
      </c>
      <c r="L3242" t="s">
        <v>836</v>
      </c>
      <c r="M3242">
        <v>24</v>
      </c>
      <c r="O3242" s="29" t="s">
        <v>9049</v>
      </c>
      <c r="P3242" s="25" t="s">
        <v>9050</v>
      </c>
      <c r="Q3242" s="25">
        <v>1363</v>
      </c>
      <c r="R3242" t="s">
        <v>436</v>
      </c>
    </row>
    <row r="3243" spans="1:18" hidden="1">
      <c r="A3243" s="23" t="s">
        <v>6461</v>
      </c>
      <c r="B3243" s="23" t="s">
        <v>6462</v>
      </c>
      <c r="C3243" s="23">
        <v>3044</v>
      </c>
      <c r="I3243" s="3" t="str">
        <f>+IFERROR(VLOOKUP(C3243,'Mov 2023 hasta ahora '!$C$2:$D$314,2,FALSE),"NO")</f>
        <v>NO</v>
      </c>
      <c r="K3243">
        <v>6</v>
      </c>
      <c r="L3243" t="s">
        <v>836</v>
      </c>
      <c r="M3243">
        <v>24</v>
      </c>
      <c r="O3243" s="29" t="s">
        <v>9014</v>
      </c>
      <c r="P3243" s="25" t="s">
        <v>8890</v>
      </c>
      <c r="Q3243" s="25">
        <v>1244</v>
      </c>
      <c r="R3243" t="s">
        <v>436</v>
      </c>
    </row>
    <row r="3244" spans="1:18" hidden="1">
      <c r="A3244" s="23" t="s">
        <v>6463</v>
      </c>
      <c r="B3244" s="23" t="s">
        <v>6464</v>
      </c>
      <c r="C3244" s="23">
        <v>3045</v>
      </c>
      <c r="I3244" s="3" t="str">
        <f>+IFERROR(VLOOKUP(C3244,'Mov 2023 hasta ahora '!$C$2:$D$314,2,FALSE),"NO")</f>
        <v>NO</v>
      </c>
      <c r="K3244">
        <v>6</v>
      </c>
      <c r="L3244" t="s">
        <v>836</v>
      </c>
      <c r="M3244">
        <v>24</v>
      </c>
      <c r="O3244" s="29" t="s">
        <v>8750</v>
      </c>
      <c r="P3244" s="25" t="s">
        <v>8968</v>
      </c>
      <c r="Q3244" s="25">
        <v>1351</v>
      </c>
      <c r="R3244" t="s">
        <v>436</v>
      </c>
    </row>
    <row r="3245" spans="1:18" hidden="1">
      <c r="A3245" s="23" t="s">
        <v>6465</v>
      </c>
      <c r="B3245" s="23" t="s">
        <v>6466</v>
      </c>
      <c r="C3245" s="23">
        <v>3046</v>
      </c>
      <c r="I3245" s="3" t="str">
        <f>+IFERROR(VLOOKUP(C3245,'Mov 2023 hasta ahora '!$C$2:$D$314,2,FALSE),"NO")</f>
        <v>NO</v>
      </c>
      <c r="K3245">
        <v>6</v>
      </c>
      <c r="L3245" t="s">
        <v>836</v>
      </c>
      <c r="M3245">
        <v>24</v>
      </c>
      <c r="O3245" s="29" t="s">
        <v>9030</v>
      </c>
      <c r="P3245" s="25" t="s">
        <v>9029</v>
      </c>
      <c r="Q3245" s="25">
        <v>3817</v>
      </c>
      <c r="R3245" t="s">
        <v>436</v>
      </c>
    </row>
    <row r="3246" spans="1:18" hidden="1">
      <c r="A3246" s="23" t="s">
        <v>6467</v>
      </c>
      <c r="B3246" s="23" t="s">
        <v>6468</v>
      </c>
      <c r="C3246" s="23">
        <v>3047</v>
      </c>
      <c r="I3246" s="3" t="str">
        <f>+IFERROR(VLOOKUP(C3246,'Mov 2023 hasta ahora '!$C$2:$D$314,2,FALSE),"NO")</f>
        <v>NO</v>
      </c>
      <c r="K3246">
        <v>6</v>
      </c>
      <c r="L3246" t="s">
        <v>836</v>
      </c>
      <c r="M3246">
        <v>24</v>
      </c>
      <c r="O3246" s="29" t="s">
        <v>9019</v>
      </c>
      <c r="P3246" s="25" t="s">
        <v>8762</v>
      </c>
      <c r="Q3246" s="25">
        <v>1758</v>
      </c>
      <c r="R3246" t="s">
        <v>436</v>
      </c>
    </row>
    <row r="3247" spans="1:18" hidden="1">
      <c r="A3247" s="23" t="s">
        <v>6469</v>
      </c>
      <c r="B3247" s="23" t="s">
        <v>6470</v>
      </c>
      <c r="C3247" s="23">
        <v>3295</v>
      </c>
      <c r="I3247" s="3" t="str">
        <f>+IFERROR(VLOOKUP(C3247,'Mov 2023 hasta ahora '!$C$2:$D$314,2,FALSE),"NO")</f>
        <v>NO</v>
      </c>
      <c r="K3247">
        <v>6</v>
      </c>
      <c r="L3247" t="s">
        <v>836</v>
      </c>
      <c r="M3247">
        <v>24</v>
      </c>
      <c r="O3247" s="29" t="s">
        <v>9061</v>
      </c>
      <c r="P3247" s="25" t="s">
        <v>9062</v>
      </c>
      <c r="Q3247" s="25">
        <v>2671</v>
      </c>
      <c r="R3247" t="s">
        <v>436</v>
      </c>
    </row>
    <row r="3248" spans="1:18" s="13" customFormat="1" hidden="1">
      <c r="A3248" s="23" t="s">
        <v>6471</v>
      </c>
      <c r="B3248" s="23" t="s">
        <v>6472</v>
      </c>
      <c r="C3248" s="23">
        <v>3306</v>
      </c>
      <c r="G3248"/>
      <c r="I3248" s="14" t="str">
        <f>+IFERROR(VLOOKUP(C3248,'Mov 2023 hasta ahora '!$C$2:$D$314,2,FALSE),"NO")</f>
        <v>NO</v>
      </c>
      <c r="K3248">
        <v>6</v>
      </c>
      <c r="L3248" t="s">
        <v>836</v>
      </c>
      <c r="M3248">
        <v>24</v>
      </c>
      <c r="O3248" s="29" t="s">
        <v>8861</v>
      </c>
      <c r="P3248" s="25" t="s">
        <v>8868</v>
      </c>
      <c r="Q3248" s="25">
        <v>1419</v>
      </c>
      <c r="R3248" t="s">
        <v>436</v>
      </c>
    </row>
    <row r="3249" spans="1:18" hidden="1">
      <c r="A3249" t="s">
        <v>6473</v>
      </c>
      <c r="B3249" t="s">
        <v>6474</v>
      </c>
      <c r="I3249" s="3" t="str">
        <f>+IFERROR(VLOOKUP(C3249,'Mov 2023 hasta ahora '!$C$2:$D$314,2,FALSE),"NO")</f>
        <v>NO</v>
      </c>
      <c r="K3249">
        <v>5</v>
      </c>
      <c r="L3249" t="s">
        <v>836</v>
      </c>
      <c r="M3249">
        <v>18</v>
      </c>
    </row>
    <row r="3250" spans="1:18" s="13" customFormat="1" hidden="1">
      <c r="A3250" s="23" t="s">
        <v>6475</v>
      </c>
      <c r="B3250" s="23" t="s">
        <v>6476</v>
      </c>
      <c r="C3250" s="23">
        <v>3099</v>
      </c>
      <c r="G3250"/>
      <c r="I3250" s="14" t="str">
        <f>+IFERROR(VLOOKUP(C3250,'Mov 2023 hasta ahora '!$C$2:$D$314,2,FALSE),"NO")</f>
        <v>NO</v>
      </c>
      <c r="K3250">
        <v>6</v>
      </c>
      <c r="L3250" t="s">
        <v>836</v>
      </c>
      <c r="M3250">
        <v>24</v>
      </c>
      <c r="O3250" s="29" t="s">
        <v>8825</v>
      </c>
      <c r="P3250" s="25" t="s">
        <v>8832</v>
      </c>
      <c r="Q3250" s="25">
        <v>3601</v>
      </c>
      <c r="R3250" t="s">
        <v>436</v>
      </c>
    </row>
    <row r="3251" spans="1:18" s="13" customFormat="1" hidden="1">
      <c r="A3251" s="23" t="s">
        <v>6477</v>
      </c>
      <c r="B3251" s="23" t="s">
        <v>6478</v>
      </c>
      <c r="C3251" s="23">
        <v>3100</v>
      </c>
      <c r="G3251"/>
      <c r="I3251" s="14" t="str">
        <f>+IFERROR(VLOOKUP(C3251,'Mov 2023 hasta ahora '!$C$2:$D$314,2,FALSE),"NO")</f>
        <v>NO</v>
      </c>
      <c r="K3251">
        <v>6</v>
      </c>
      <c r="L3251" t="s">
        <v>836</v>
      </c>
      <c r="M3251">
        <v>24</v>
      </c>
      <c r="O3251" s="29" t="s">
        <v>8992</v>
      </c>
      <c r="P3251" s="25" t="s">
        <v>8836</v>
      </c>
      <c r="Q3251" s="25">
        <v>3603</v>
      </c>
      <c r="R3251" t="s">
        <v>436</v>
      </c>
    </row>
    <row r="3252" spans="1:18" hidden="1">
      <c r="A3252" t="s">
        <v>6479</v>
      </c>
      <c r="B3252" t="s">
        <v>1649</v>
      </c>
      <c r="I3252" s="3" t="str">
        <f>+IFERROR(VLOOKUP(C3252,'Mov 2023 hasta ahora '!$C$2:$D$314,2,FALSE),"NO")</f>
        <v>NO</v>
      </c>
      <c r="K3252">
        <v>3</v>
      </c>
      <c r="L3252" t="s">
        <v>836</v>
      </c>
      <c r="M3252">
        <v>10</v>
      </c>
    </row>
    <row r="3253" spans="1:18" hidden="1">
      <c r="A3253" t="s">
        <v>6480</v>
      </c>
      <c r="B3253" t="s">
        <v>6481</v>
      </c>
      <c r="I3253" s="3" t="str">
        <f>+IFERROR(VLOOKUP(C3253,'Mov 2023 hasta ahora '!$C$2:$D$314,2,FALSE),"NO")</f>
        <v>NO</v>
      </c>
      <c r="K3253">
        <v>4</v>
      </c>
      <c r="L3253" t="s">
        <v>836</v>
      </c>
      <c r="M3253">
        <v>14</v>
      </c>
    </row>
    <row r="3254" spans="1:18" hidden="1">
      <c r="A3254" t="s">
        <v>6482</v>
      </c>
      <c r="B3254" t="s">
        <v>6483</v>
      </c>
      <c r="I3254" s="3" t="str">
        <f>+IFERROR(VLOOKUP(C3254,'Mov 2023 hasta ahora '!$C$2:$D$314,2,FALSE),"NO")</f>
        <v>NO</v>
      </c>
      <c r="K3254">
        <v>5</v>
      </c>
      <c r="L3254" t="s">
        <v>836</v>
      </c>
      <c r="M3254">
        <v>18</v>
      </c>
    </row>
    <row r="3255" spans="1:18" hidden="1">
      <c r="A3255" s="23" t="s">
        <v>6484</v>
      </c>
      <c r="B3255" s="23" t="s">
        <v>6485</v>
      </c>
      <c r="C3255" s="23">
        <v>3048</v>
      </c>
      <c r="I3255" s="3" t="str">
        <f>+IFERROR(VLOOKUP(C3255,'Mov 2023 hasta ahora '!$C$2:$D$314,2,FALSE),"NO")</f>
        <v>NO</v>
      </c>
      <c r="K3255">
        <v>6</v>
      </c>
      <c r="L3255" t="s">
        <v>836</v>
      </c>
      <c r="M3255">
        <v>24</v>
      </c>
      <c r="O3255" s="29" t="s">
        <v>8742</v>
      </c>
      <c r="P3255" s="25" t="s">
        <v>9063</v>
      </c>
      <c r="Q3255" s="25">
        <v>176</v>
      </c>
      <c r="R3255" t="s">
        <v>436</v>
      </c>
    </row>
    <row r="3256" spans="1:18" hidden="1">
      <c r="A3256" s="23" t="s">
        <v>6486</v>
      </c>
      <c r="B3256" s="23" t="s">
        <v>6487</v>
      </c>
      <c r="C3256" s="23">
        <v>3206</v>
      </c>
      <c r="I3256" s="3" t="str">
        <f>+IFERROR(VLOOKUP(C3256,'Mov 2023 hasta ahora '!$C$2:$D$314,2,FALSE),"NO")</f>
        <v>NO</v>
      </c>
      <c r="K3256">
        <v>6</v>
      </c>
      <c r="L3256" t="s">
        <v>836</v>
      </c>
      <c r="M3256">
        <v>24</v>
      </c>
      <c r="O3256" s="29" t="s">
        <v>9057</v>
      </c>
      <c r="P3256" s="25" t="s">
        <v>9058</v>
      </c>
      <c r="Q3256" s="25">
        <v>3212</v>
      </c>
      <c r="R3256" t="s">
        <v>436</v>
      </c>
    </row>
    <row r="3257" spans="1:18" hidden="1">
      <c r="A3257" t="s">
        <v>6488</v>
      </c>
      <c r="B3257" t="s">
        <v>6489</v>
      </c>
      <c r="I3257" s="3" t="str">
        <f>+IFERROR(VLOOKUP(C3257,'Mov 2023 hasta ahora '!$C$2:$D$314,2,FALSE),"NO")</f>
        <v>NO</v>
      </c>
      <c r="K3257">
        <v>4</v>
      </c>
      <c r="L3257" t="s">
        <v>836</v>
      </c>
      <c r="M3257">
        <v>14</v>
      </c>
    </row>
    <row r="3258" spans="1:18" hidden="1">
      <c r="A3258" t="s">
        <v>6490</v>
      </c>
      <c r="B3258" t="s">
        <v>6491</v>
      </c>
      <c r="I3258" s="3" t="str">
        <f>+IFERROR(VLOOKUP(C3258,'Mov 2023 hasta ahora '!$C$2:$D$314,2,FALSE),"NO")</f>
        <v>NO</v>
      </c>
      <c r="K3258">
        <v>5</v>
      </c>
      <c r="L3258" t="s">
        <v>836</v>
      </c>
      <c r="M3258">
        <v>18</v>
      </c>
    </row>
    <row r="3259" spans="1:18" s="13" customFormat="1" hidden="1">
      <c r="A3259" s="23" t="s">
        <v>6492</v>
      </c>
      <c r="B3259" s="23" t="s">
        <v>6493</v>
      </c>
      <c r="C3259" s="23">
        <v>3049</v>
      </c>
      <c r="G3259"/>
      <c r="I3259" s="14" t="str">
        <f>+IFERROR(VLOOKUP(C3259,'Mov 2023 hasta ahora '!$C$2:$D$314,2,FALSE),"NO")</f>
        <v>NO</v>
      </c>
      <c r="K3259">
        <v>6</v>
      </c>
      <c r="L3259" t="s">
        <v>836</v>
      </c>
      <c r="M3259">
        <v>24</v>
      </c>
      <c r="O3259" s="29" t="s">
        <v>8746</v>
      </c>
      <c r="P3259" s="25" t="s">
        <v>9054</v>
      </c>
      <c r="Q3259" s="25">
        <v>185</v>
      </c>
      <c r="R3259" t="s">
        <v>436</v>
      </c>
    </row>
    <row r="3260" spans="1:18" s="13" customFormat="1" hidden="1">
      <c r="A3260" s="23" t="s">
        <v>6494</v>
      </c>
      <c r="B3260" s="23" t="s">
        <v>6495</v>
      </c>
      <c r="C3260" s="23">
        <v>3050</v>
      </c>
      <c r="G3260"/>
      <c r="I3260" s="14" t="str">
        <f>+IFERROR(VLOOKUP(C3260,'Mov 2023 hasta ahora '!$C$2:$D$314,2,FALSE),"NO")</f>
        <v>NO</v>
      </c>
      <c r="K3260">
        <v>6</v>
      </c>
      <c r="L3260" t="s">
        <v>836</v>
      </c>
      <c r="M3260">
        <v>24</v>
      </c>
      <c r="O3260" s="29" t="s">
        <v>8748</v>
      </c>
      <c r="P3260" s="25" t="s">
        <v>9055</v>
      </c>
      <c r="Q3260" s="25">
        <v>193</v>
      </c>
      <c r="R3260" t="s">
        <v>436</v>
      </c>
    </row>
    <row r="3261" spans="1:18" s="13" customFormat="1" hidden="1">
      <c r="A3261" s="23" t="s">
        <v>6496</v>
      </c>
      <c r="B3261" s="23" t="s">
        <v>6497</v>
      </c>
      <c r="C3261" s="23">
        <v>3051</v>
      </c>
      <c r="G3261"/>
      <c r="I3261" s="14" t="str">
        <f>+IFERROR(VLOOKUP(C3261,'Mov 2023 hasta ahora '!$C$2:$D$314,2,FALSE),"NO")</f>
        <v>NO</v>
      </c>
      <c r="K3261">
        <v>6</v>
      </c>
      <c r="L3261" t="s">
        <v>836</v>
      </c>
      <c r="M3261">
        <v>24</v>
      </c>
      <c r="O3261" s="29" t="s">
        <v>8749</v>
      </c>
      <c r="P3261" s="25" t="s">
        <v>9056</v>
      </c>
      <c r="Q3261" s="25">
        <v>202</v>
      </c>
      <c r="R3261" t="s">
        <v>436</v>
      </c>
    </row>
    <row r="3262" spans="1:18" hidden="1">
      <c r="A3262" s="23" t="s">
        <v>6498</v>
      </c>
      <c r="B3262" s="23" t="s">
        <v>6499</v>
      </c>
      <c r="C3262" s="23">
        <v>3052</v>
      </c>
      <c r="I3262" s="3" t="str">
        <f>+IFERROR(VLOOKUP(C3262,'Mov 2023 hasta ahora '!$C$2:$D$314,2,FALSE),"NO")</f>
        <v>NO</v>
      </c>
      <c r="K3262">
        <v>6</v>
      </c>
      <c r="L3262" t="s">
        <v>836</v>
      </c>
      <c r="M3262">
        <v>24</v>
      </c>
      <c r="O3262" s="29" t="s">
        <v>8750</v>
      </c>
      <c r="P3262" s="25" t="s">
        <v>8968</v>
      </c>
      <c r="Q3262" s="25">
        <v>1351</v>
      </c>
      <c r="R3262" t="s">
        <v>436</v>
      </c>
    </row>
    <row r="3263" spans="1:18" hidden="1">
      <c r="A3263" t="s">
        <v>6500</v>
      </c>
      <c r="B3263" t="s">
        <v>6501</v>
      </c>
      <c r="I3263" s="3" t="str">
        <f>+IFERROR(VLOOKUP(C3263,'Mov 2023 hasta ahora '!$C$2:$D$314,2,FALSE),"NO")</f>
        <v>NO</v>
      </c>
      <c r="K3263">
        <v>4</v>
      </c>
      <c r="L3263" t="s">
        <v>836</v>
      </c>
      <c r="M3263">
        <v>14</v>
      </c>
    </row>
    <row r="3264" spans="1:18" hidden="1">
      <c r="A3264" t="s">
        <v>6502</v>
      </c>
      <c r="B3264" t="s">
        <v>6503</v>
      </c>
      <c r="I3264" s="3" t="str">
        <f>+IFERROR(VLOOKUP(C3264,'Mov 2023 hasta ahora '!$C$2:$D$314,2,FALSE),"NO")</f>
        <v>NO</v>
      </c>
      <c r="K3264">
        <v>5</v>
      </c>
      <c r="L3264" t="s">
        <v>836</v>
      </c>
      <c r="M3264">
        <v>18</v>
      </c>
    </row>
    <row r="3265" spans="1:18" hidden="1">
      <c r="A3265" s="23" t="s">
        <v>6504</v>
      </c>
      <c r="B3265" s="23" t="s">
        <v>6505</v>
      </c>
      <c r="C3265" s="23">
        <v>3053</v>
      </c>
      <c r="I3265" s="3" t="str">
        <f>+IFERROR(VLOOKUP(C3265,'Mov 2023 hasta ahora '!$C$2:$D$314,2,FALSE),"NO")</f>
        <v>NO</v>
      </c>
      <c r="K3265">
        <v>6</v>
      </c>
      <c r="L3265" t="s">
        <v>836</v>
      </c>
      <c r="M3265">
        <v>24</v>
      </c>
      <c r="O3265" s="29" t="s">
        <v>9013</v>
      </c>
      <c r="P3265" s="25" t="s">
        <v>8756</v>
      </c>
      <c r="Q3265" s="25">
        <v>212</v>
      </c>
      <c r="R3265" t="s">
        <v>436</v>
      </c>
    </row>
    <row r="3266" spans="1:18" hidden="1">
      <c r="A3266" t="s">
        <v>6506</v>
      </c>
      <c r="B3266" t="s">
        <v>6507</v>
      </c>
      <c r="I3266" s="3" t="str">
        <f>+IFERROR(VLOOKUP(C3266,'Mov 2023 hasta ahora '!$C$2:$D$314,2,FALSE),"NO")</f>
        <v>NO</v>
      </c>
      <c r="K3266">
        <v>4</v>
      </c>
      <c r="L3266" t="s">
        <v>836</v>
      </c>
      <c r="M3266">
        <v>14</v>
      </c>
    </row>
    <row r="3267" spans="1:18" hidden="1">
      <c r="A3267" t="s">
        <v>6508</v>
      </c>
      <c r="B3267" t="s">
        <v>6509</v>
      </c>
      <c r="I3267" s="3" t="str">
        <f>+IFERROR(VLOOKUP(C3267,'Mov 2023 hasta ahora '!$C$2:$D$314,2,FALSE),"NO")</f>
        <v>NO</v>
      </c>
      <c r="K3267">
        <v>5</v>
      </c>
      <c r="L3267" t="s">
        <v>836</v>
      </c>
      <c r="M3267">
        <v>18</v>
      </c>
    </row>
    <row r="3268" spans="1:18" s="15" customFormat="1" hidden="1">
      <c r="A3268" s="23" t="s">
        <v>6510</v>
      </c>
      <c r="B3268" s="23" t="s">
        <v>6511</v>
      </c>
      <c r="C3268" s="23">
        <v>3054</v>
      </c>
      <c r="G3268"/>
      <c r="I3268" s="16" t="str">
        <f>+IFERROR(VLOOKUP(C3268,'Mov 2023 hasta ahora '!$C$2:$D$314,2,FALSE),"NO")</f>
        <v>NO</v>
      </c>
      <c r="K3268">
        <v>6</v>
      </c>
      <c r="L3268" t="s">
        <v>836</v>
      </c>
      <c r="M3268">
        <v>24</v>
      </c>
      <c r="O3268" s="29" t="s">
        <v>8793</v>
      </c>
      <c r="P3268" s="25" t="s">
        <v>8975</v>
      </c>
      <c r="Q3268" s="25">
        <v>1616</v>
      </c>
      <c r="R3268" t="s">
        <v>436</v>
      </c>
    </row>
    <row r="3269" spans="1:18" s="15" customFormat="1" hidden="1">
      <c r="A3269" s="23" t="s">
        <v>6512</v>
      </c>
      <c r="B3269" s="23" t="s">
        <v>6513</v>
      </c>
      <c r="C3269" s="23">
        <v>3055</v>
      </c>
      <c r="G3269"/>
      <c r="I3269" s="16" t="str">
        <f>+IFERROR(VLOOKUP(C3269,'Mov 2023 hasta ahora '!$C$2:$D$314,2,FALSE),"NO")</f>
        <v>NO</v>
      </c>
      <c r="K3269">
        <v>6</v>
      </c>
      <c r="L3269" t="s">
        <v>836</v>
      </c>
      <c r="M3269">
        <v>24</v>
      </c>
      <c r="O3269" s="29" t="s">
        <v>8793</v>
      </c>
      <c r="P3269" s="25" t="s">
        <v>8975</v>
      </c>
      <c r="Q3269" s="25">
        <v>1616</v>
      </c>
      <c r="R3269" t="s">
        <v>436</v>
      </c>
    </row>
    <row r="3270" spans="1:18" hidden="1">
      <c r="A3270" s="23" t="s">
        <v>6514</v>
      </c>
      <c r="B3270" s="23" t="s">
        <v>6515</v>
      </c>
      <c r="C3270" s="23">
        <v>3103</v>
      </c>
      <c r="I3270" s="3" t="str">
        <f>+IFERROR(VLOOKUP(C3270,'Mov 2023 hasta ahora '!$C$2:$D$314,2,FALSE),"NO")</f>
        <v>NO</v>
      </c>
      <c r="K3270">
        <v>6</v>
      </c>
      <c r="L3270" t="s">
        <v>836</v>
      </c>
      <c r="M3270">
        <v>24</v>
      </c>
      <c r="O3270" s="29" t="s">
        <v>8794</v>
      </c>
      <c r="P3270" s="25" t="s">
        <v>8982</v>
      </c>
      <c r="Q3270" s="25">
        <v>1441</v>
      </c>
      <c r="R3270" t="s">
        <v>436</v>
      </c>
    </row>
    <row r="3271" spans="1:18" hidden="1">
      <c r="A3271" s="23" t="s">
        <v>6516</v>
      </c>
      <c r="B3271" s="23" t="s">
        <v>6517</v>
      </c>
      <c r="C3271" s="23">
        <v>3104</v>
      </c>
      <c r="I3271" s="3" t="str">
        <f>+IFERROR(VLOOKUP(C3271,'Mov 2023 hasta ahora '!$C$2:$D$314,2,FALSE),"NO")</f>
        <v>NO</v>
      </c>
      <c r="K3271">
        <v>6</v>
      </c>
      <c r="L3271" t="s">
        <v>836</v>
      </c>
      <c r="M3271">
        <v>24</v>
      </c>
      <c r="O3271" s="29" t="s">
        <v>8809</v>
      </c>
      <c r="P3271" s="25" t="s">
        <v>8983</v>
      </c>
      <c r="Q3271" s="25">
        <v>1448</v>
      </c>
      <c r="R3271" t="s">
        <v>436</v>
      </c>
    </row>
    <row r="3272" spans="1:18" s="15" customFormat="1" hidden="1">
      <c r="A3272" s="23" t="s">
        <v>6518</v>
      </c>
      <c r="B3272" s="23" t="s">
        <v>6519</v>
      </c>
      <c r="C3272" s="23">
        <v>3217</v>
      </c>
      <c r="G3272"/>
      <c r="I3272" s="16" t="str">
        <f>+IFERROR(VLOOKUP(C3272,'Mov 2023 hasta ahora '!$C$2:$D$314,2,FALSE),"NO")</f>
        <v>NO</v>
      </c>
      <c r="K3272">
        <v>6</v>
      </c>
      <c r="L3272" t="s">
        <v>836</v>
      </c>
      <c r="M3272">
        <v>24</v>
      </c>
      <c r="O3272" s="29" t="s">
        <v>8802</v>
      </c>
      <c r="P3272" s="25" t="s">
        <v>8976</v>
      </c>
      <c r="Q3272" s="25">
        <v>3222</v>
      </c>
      <c r="R3272" t="s">
        <v>436</v>
      </c>
    </row>
    <row r="3273" spans="1:18" s="15" customFormat="1" hidden="1">
      <c r="A3273" s="23" t="s">
        <v>6520</v>
      </c>
      <c r="B3273" s="23" t="s">
        <v>6521</v>
      </c>
      <c r="C3273" s="23">
        <v>3228</v>
      </c>
      <c r="G3273"/>
      <c r="I3273" s="16" t="str">
        <f>+IFERROR(VLOOKUP(C3273,'Mov 2023 hasta ahora '!$C$2:$D$314,2,FALSE),"NO")</f>
        <v>NO</v>
      </c>
      <c r="K3273">
        <v>6</v>
      </c>
      <c r="L3273" t="s">
        <v>836</v>
      </c>
      <c r="M3273">
        <v>24</v>
      </c>
      <c r="O3273" s="29" t="s">
        <v>8833</v>
      </c>
      <c r="P3273" s="25" t="s">
        <v>8977</v>
      </c>
      <c r="Q3273" s="25">
        <v>3233</v>
      </c>
      <c r="R3273" t="s">
        <v>436</v>
      </c>
    </row>
    <row r="3274" spans="1:18" s="15" customFormat="1" hidden="1">
      <c r="A3274" s="23" t="s">
        <v>6522</v>
      </c>
      <c r="B3274" s="23" t="s">
        <v>6523</v>
      </c>
      <c r="C3274" s="23">
        <v>3239</v>
      </c>
      <c r="G3274"/>
      <c r="I3274" s="16" t="str">
        <f>+IFERROR(VLOOKUP(C3274,'Mov 2023 hasta ahora '!$C$2:$D$314,2,FALSE),"NO")</f>
        <v>NO</v>
      </c>
      <c r="K3274">
        <v>6</v>
      </c>
      <c r="L3274" t="s">
        <v>836</v>
      </c>
      <c r="M3274">
        <v>24</v>
      </c>
      <c r="O3274" s="29" t="s">
        <v>8755</v>
      </c>
      <c r="P3274" s="25" t="s">
        <v>8978</v>
      </c>
      <c r="Q3274" s="25">
        <v>3244</v>
      </c>
      <c r="R3274" t="s">
        <v>436</v>
      </c>
    </row>
    <row r="3275" spans="1:18" hidden="1">
      <c r="A3275" t="s">
        <v>6524</v>
      </c>
      <c r="B3275" t="s">
        <v>6525</v>
      </c>
      <c r="I3275" s="3" t="str">
        <f>+IFERROR(VLOOKUP(C3275,'Mov 2023 hasta ahora '!$C$2:$D$314,2,FALSE),"NO")</f>
        <v>NO</v>
      </c>
      <c r="K3275">
        <v>4</v>
      </c>
      <c r="L3275" t="s">
        <v>836</v>
      </c>
      <c r="M3275">
        <v>14</v>
      </c>
    </row>
    <row r="3276" spans="1:18" hidden="1">
      <c r="A3276" t="s">
        <v>6526</v>
      </c>
      <c r="B3276" t="s">
        <v>6527</v>
      </c>
      <c r="I3276" s="3" t="str">
        <f>+IFERROR(VLOOKUP(C3276,'Mov 2023 hasta ahora '!$C$2:$D$314,2,FALSE),"NO")</f>
        <v>NO</v>
      </c>
      <c r="K3276">
        <v>5</v>
      </c>
      <c r="L3276" t="s">
        <v>836</v>
      </c>
      <c r="M3276">
        <v>18</v>
      </c>
    </row>
    <row r="3277" spans="1:18" s="13" customFormat="1" hidden="1">
      <c r="A3277" s="23" t="s">
        <v>6528</v>
      </c>
      <c r="B3277" s="23" t="s">
        <v>6529</v>
      </c>
      <c r="C3277" s="23">
        <v>3056</v>
      </c>
      <c r="G3277"/>
      <c r="I3277" s="14" t="str">
        <f>+IFERROR(VLOOKUP(C3277,'Mov 2023 hasta ahora '!$C$2:$D$314,2,FALSE),"NO")</f>
        <v>NO</v>
      </c>
      <c r="K3277">
        <v>6</v>
      </c>
      <c r="L3277" t="s">
        <v>836</v>
      </c>
      <c r="M3277">
        <v>24</v>
      </c>
      <c r="O3277" s="29" t="s">
        <v>8857</v>
      </c>
      <c r="P3277" s="25" t="s">
        <v>8980</v>
      </c>
      <c r="Q3277" s="25">
        <v>2178</v>
      </c>
      <c r="R3277" t="s">
        <v>436</v>
      </c>
    </row>
    <row r="3278" spans="1:18" s="13" customFormat="1" hidden="1">
      <c r="A3278" s="23" t="s">
        <v>6530</v>
      </c>
      <c r="B3278" s="23" t="s">
        <v>6531</v>
      </c>
      <c r="C3278" s="23">
        <v>3057</v>
      </c>
      <c r="G3278"/>
      <c r="I3278" s="14" t="str">
        <f>+IFERROR(VLOOKUP(C3278,'Mov 2023 hasta ahora '!$C$2:$D$314,2,FALSE),"NO")</f>
        <v>NO</v>
      </c>
      <c r="K3278">
        <v>6</v>
      </c>
      <c r="L3278" t="s">
        <v>836</v>
      </c>
      <c r="M3278">
        <v>24</v>
      </c>
      <c r="O3278" s="29" t="s">
        <v>8846</v>
      </c>
      <c r="P3278" s="25" t="s">
        <v>8981</v>
      </c>
      <c r="Q3278" s="25">
        <v>2179</v>
      </c>
      <c r="R3278" t="s">
        <v>436</v>
      </c>
    </row>
    <row r="3279" spans="1:18" s="13" customFormat="1" hidden="1">
      <c r="A3279" s="23" t="s">
        <v>6532</v>
      </c>
      <c r="B3279" s="23" t="s">
        <v>6533</v>
      </c>
      <c r="C3279" s="23">
        <v>3058</v>
      </c>
      <c r="G3279"/>
      <c r="I3279" s="14" t="str">
        <f>+IFERROR(VLOOKUP(C3279,'Mov 2023 hasta ahora '!$C$2:$D$314,2,FALSE),"NO")</f>
        <v>NO</v>
      </c>
      <c r="K3279">
        <v>6</v>
      </c>
      <c r="L3279" t="s">
        <v>836</v>
      </c>
      <c r="M3279">
        <v>24</v>
      </c>
      <c r="O3279" s="29" t="s">
        <v>8846</v>
      </c>
      <c r="P3279" s="25" t="s">
        <v>8981</v>
      </c>
      <c r="Q3279" s="25">
        <v>2179</v>
      </c>
      <c r="R3279" t="s">
        <v>436</v>
      </c>
    </row>
    <row r="3280" spans="1:18" s="13" customFormat="1" hidden="1">
      <c r="A3280" s="23" t="s">
        <v>6534</v>
      </c>
      <c r="B3280" s="23" t="s">
        <v>6535</v>
      </c>
      <c r="C3280" s="23">
        <v>3059</v>
      </c>
      <c r="G3280"/>
      <c r="I3280" s="14" t="str">
        <f>+IFERROR(VLOOKUP(C3280,'Mov 2023 hasta ahora '!$C$2:$D$314,2,FALSE),"NO")</f>
        <v>NO</v>
      </c>
      <c r="K3280">
        <v>6</v>
      </c>
      <c r="L3280" t="s">
        <v>836</v>
      </c>
      <c r="M3280">
        <v>24</v>
      </c>
      <c r="O3280" s="29" t="s">
        <v>8794</v>
      </c>
      <c r="P3280" s="25" t="s">
        <v>8982</v>
      </c>
      <c r="Q3280" s="25">
        <v>1441</v>
      </c>
      <c r="R3280" t="s">
        <v>436</v>
      </c>
    </row>
    <row r="3281" spans="1:18" s="13" customFormat="1" hidden="1">
      <c r="A3281" s="23" t="s">
        <v>6536</v>
      </c>
      <c r="B3281" s="23" t="s">
        <v>6537</v>
      </c>
      <c r="C3281" s="23">
        <v>3060</v>
      </c>
      <c r="G3281"/>
      <c r="I3281" s="14" t="str">
        <f>+IFERROR(VLOOKUP(C3281,'Mov 2023 hasta ahora '!$C$2:$D$314,2,FALSE),"NO")</f>
        <v>NO</v>
      </c>
      <c r="K3281">
        <v>6</v>
      </c>
      <c r="L3281" t="s">
        <v>836</v>
      </c>
      <c r="M3281">
        <v>24</v>
      </c>
      <c r="O3281" s="29" t="s">
        <v>8809</v>
      </c>
      <c r="P3281" s="25" t="s">
        <v>8983</v>
      </c>
      <c r="Q3281" s="25">
        <v>1448</v>
      </c>
      <c r="R3281" t="s">
        <v>436</v>
      </c>
    </row>
    <row r="3282" spans="1:18" s="13" customFormat="1" hidden="1">
      <c r="A3282" s="23" t="s">
        <v>6538</v>
      </c>
      <c r="B3282" s="23" t="s">
        <v>6539</v>
      </c>
      <c r="C3282" s="23">
        <v>3250</v>
      </c>
      <c r="G3282"/>
      <c r="I3282" s="14" t="str">
        <f>+IFERROR(VLOOKUP(C3282,'Mov 2023 hasta ahora '!$C$2:$D$314,2,FALSE),"NO")</f>
        <v>NO</v>
      </c>
      <c r="K3282">
        <v>6</v>
      </c>
      <c r="L3282" t="s">
        <v>836</v>
      </c>
      <c r="M3282">
        <v>24</v>
      </c>
      <c r="O3282" s="29" t="s">
        <v>8857</v>
      </c>
      <c r="P3282" s="25" t="s">
        <v>8980</v>
      </c>
      <c r="Q3282" s="25">
        <v>2178</v>
      </c>
      <c r="R3282" t="s">
        <v>436</v>
      </c>
    </row>
    <row r="3283" spans="1:18" s="13" customFormat="1" hidden="1">
      <c r="A3283" s="23" t="s">
        <v>6540</v>
      </c>
      <c r="B3283" s="23" t="s">
        <v>6541</v>
      </c>
      <c r="C3283" s="23">
        <v>3261</v>
      </c>
      <c r="G3283"/>
      <c r="I3283" s="14" t="str">
        <f>+IFERROR(VLOOKUP(C3283,'Mov 2023 hasta ahora '!$C$2:$D$314,2,FALSE),"NO")</f>
        <v>NO</v>
      </c>
      <c r="K3283">
        <v>6</v>
      </c>
      <c r="L3283" t="s">
        <v>836</v>
      </c>
      <c r="M3283">
        <v>24</v>
      </c>
      <c r="O3283" s="29" t="s">
        <v>8857</v>
      </c>
      <c r="P3283" s="25" t="s">
        <v>8980</v>
      </c>
      <c r="Q3283" s="25">
        <v>2178</v>
      </c>
      <c r="R3283" t="s">
        <v>436</v>
      </c>
    </row>
    <row r="3284" spans="1:18" s="13" customFormat="1" hidden="1">
      <c r="A3284" s="23" t="s">
        <v>6542</v>
      </c>
      <c r="B3284" s="23" t="s">
        <v>6543</v>
      </c>
      <c r="C3284" s="23">
        <v>3272</v>
      </c>
      <c r="G3284"/>
      <c r="I3284" s="14" t="str">
        <f>+IFERROR(VLOOKUP(C3284,'Mov 2023 hasta ahora '!$C$2:$D$314,2,FALSE),"NO")</f>
        <v>NO</v>
      </c>
      <c r="K3284">
        <v>6</v>
      </c>
      <c r="L3284" t="s">
        <v>836</v>
      </c>
      <c r="M3284">
        <v>24</v>
      </c>
      <c r="O3284" s="29" t="s">
        <v>8857</v>
      </c>
      <c r="P3284" s="25" t="s">
        <v>8980</v>
      </c>
      <c r="Q3284" s="25">
        <v>2178</v>
      </c>
      <c r="R3284" t="s">
        <v>436</v>
      </c>
    </row>
    <row r="3285" spans="1:18" s="13" customFormat="1" hidden="1">
      <c r="A3285" s="23" t="s">
        <v>6544</v>
      </c>
      <c r="B3285" s="23" t="s">
        <v>6545</v>
      </c>
      <c r="C3285" s="23">
        <v>3283</v>
      </c>
      <c r="G3285"/>
      <c r="I3285" s="14" t="str">
        <f>+IFERROR(VLOOKUP(C3285,'Mov 2023 hasta ahora '!$C$2:$D$314,2,FALSE),"NO")</f>
        <v>NO</v>
      </c>
      <c r="K3285">
        <v>6</v>
      </c>
      <c r="L3285" t="s">
        <v>836</v>
      </c>
      <c r="M3285">
        <v>24</v>
      </c>
      <c r="O3285" s="29" t="s">
        <v>8857</v>
      </c>
      <c r="P3285" s="25" t="s">
        <v>8980</v>
      </c>
      <c r="Q3285" s="25">
        <v>2178</v>
      </c>
      <c r="R3285" t="s">
        <v>436</v>
      </c>
    </row>
    <row r="3286" spans="1:18" hidden="1">
      <c r="A3286" t="s">
        <v>6546</v>
      </c>
      <c r="B3286" t="s">
        <v>6547</v>
      </c>
      <c r="I3286" s="3" t="str">
        <f>+IFERROR(VLOOKUP(C3286,'Mov 2023 hasta ahora '!$C$2:$D$314,2,FALSE),"NO")</f>
        <v>NO</v>
      </c>
      <c r="K3286">
        <v>4</v>
      </c>
      <c r="L3286" t="s">
        <v>836</v>
      </c>
      <c r="M3286">
        <v>14</v>
      </c>
    </row>
    <row r="3287" spans="1:18" hidden="1">
      <c r="A3287" t="s">
        <v>6548</v>
      </c>
      <c r="B3287" t="s">
        <v>6549</v>
      </c>
      <c r="I3287" s="3" t="str">
        <f>+IFERROR(VLOOKUP(C3287,'Mov 2023 hasta ahora '!$C$2:$D$314,2,FALSE),"NO")</f>
        <v>NO</v>
      </c>
      <c r="K3287">
        <v>5</v>
      </c>
      <c r="L3287" t="s">
        <v>836</v>
      </c>
      <c r="M3287">
        <v>18</v>
      </c>
    </row>
    <row r="3288" spans="1:18" s="13" customFormat="1" hidden="1">
      <c r="A3288" s="23" t="s">
        <v>6550</v>
      </c>
      <c r="B3288" s="23" t="s">
        <v>6551</v>
      </c>
      <c r="C3288" s="23">
        <v>3318</v>
      </c>
      <c r="G3288"/>
      <c r="I3288" s="14" t="str">
        <f>+IFERROR(VLOOKUP(C3288,'Mov 2023 hasta ahora '!$C$2:$D$314,2,FALSE),"NO")</f>
        <v>NO</v>
      </c>
      <c r="K3288">
        <v>6</v>
      </c>
      <c r="L3288" t="s">
        <v>836</v>
      </c>
      <c r="M3288">
        <v>24</v>
      </c>
      <c r="O3288" s="29" t="s">
        <v>8795</v>
      </c>
      <c r="P3288" s="25" t="s">
        <v>8798</v>
      </c>
      <c r="Q3288" s="25">
        <v>1489</v>
      </c>
      <c r="R3288" t="s">
        <v>436</v>
      </c>
    </row>
    <row r="3289" spans="1:18" s="13" customFormat="1" hidden="1">
      <c r="A3289" s="23" t="s">
        <v>6552</v>
      </c>
      <c r="B3289" s="23" t="s">
        <v>6553</v>
      </c>
      <c r="C3289" s="23">
        <v>3319</v>
      </c>
      <c r="G3289"/>
      <c r="I3289" s="14" t="str">
        <f>+IFERROR(VLOOKUP(C3289,'Mov 2023 hasta ahora '!$C$2:$D$314,2,FALSE),"NO")</f>
        <v>NO</v>
      </c>
      <c r="K3289">
        <v>6</v>
      </c>
      <c r="L3289" t="s">
        <v>836</v>
      </c>
      <c r="M3289">
        <v>24</v>
      </c>
      <c r="O3289" s="29" t="s">
        <v>8804</v>
      </c>
      <c r="P3289" s="25" t="s">
        <v>8808</v>
      </c>
      <c r="Q3289" s="25">
        <v>1497</v>
      </c>
      <c r="R3289" s="13" t="s">
        <v>436</v>
      </c>
    </row>
    <row r="3290" spans="1:18" hidden="1">
      <c r="A3290" t="s">
        <v>6554</v>
      </c>
      <c r="B3290" t="s">
        <v>6555</v>
      </c>
      <c r="I3290" s="3" t="str">
        <f>+IFERROR(VLOOKUP(C3290,'Mov 2023 hasta ahora '!$C$2:$D$314,2,FALSE),"NO")</f>
        <v>NO</v>
      </c>
      <c r="K3290">
        <v>4</v>
      </c>
      <c r="L3290" t="s">
        <v>836</v>
      </c>
      <c r="M3290">
        <v>14</v>
      </c>
    </row>
    <row r="3291" spans="1:18" hidden="1">
      <c r="A3291" t="s">
        <v>6556</v>
      </c>
      <c r="B3291" t="s">
        <v>6557</v>
      </c>
      <c r="I3291" s="3" t="str">
        <f>+IFERROR(VLOOKUP(C3291,'Mov 2023 hasta ahora '!$C$2:$D$314,2,FALSE),"NO")</f>
        <v>NO</v>
      </c>
      <c r="K3291">
        <v>5</v>
      </c>
      <c r="L3291" t="s">
        <v>836</v>
      </c>
      <c r="M3291">
        <v>18</v>
      </c>
    </row>
    <row r="3292" spans="1:18" hidden="1">
      <c r="A3292" s="23" t="s">
        <v>6558</v>
      </c>
      <c r="B3292" s="23" t="s">
        <v>6559</v>
      </c>
      <c r="C3292" s="23">
        <v>3061</v>
      </c>
      <c r="I3292" s="3" t="str">
        <f>+IFERROR(VLOOKUP(C3292,'Mov 2023 hasta ahora '!$C$2:$D$314,2,FALSE),"NO")</f>
        <v>NO</v>
      </c>
      <c r="K3292">
        <v>6</v>
      </c>
      <c r="L3292" t="s">
        <v>836</v>
      </c>
      <c r="M3292">
        <v>24</v>
      </c>
      <c r="O3292" s="29" t="s">
        <v>9049</v>
      </c>
      <c r="P3292" s="25" t="s">
        <v>9050</v>
      </c>
      <c r="Q3292" s="25">
        <v>1363</v>
      </c>
      <c r="R3292" t="s">
        <v>436</v>
      </c>
    </row>
    <row r="3293" spans="1:18" hidden="1">
      <c r="A3293" s="23" t="s">
        <v>6560</v>
      </c>
      <c r="B3293" s="23" t="s">
        <v>6561</v>
      </c>
      <c r="C3293" s="23">
        <v>3062</v>
      </c>
      <c r="I3293" s="3" t="str">
        <f>+IFERROR(VLOOKUP(C3293,'Mov 2023 hasta ahora '!$C$2:$D$314,2,FALSE),"NO")</f>
        <v>NO</v>
      </c>
      <c r="K3293">
        <v>6</v>
      </c>
      <c r="L3293" t="s">
        <v>836</v>
      </c>
      <c r="M3293">
        <v>24</v>
      </c>
      <c r="O3293" s="29" t="s">
        <v>9014</v>
      </c>
      <c r="P3293" s="25" t="s">
        <v>8890</v>
      </c>
      <c r="Q3293" s="25">
        <v>1244</v>
      </c>
      <c r="R3293" t="s">
        <v>436</v>
      </c>
    </row>
    <row r="3294" spans="1:18" hidden="1">
      <c r="A3294" s="23" t="s">
        <v>6562</v>
      </c>
      <c r="B3294" s="23" t="s">
        <v>6563</v>
      </c>
      <c r="C3294" s="23">
        <v>3063</v>
      </c>
      <c r="I3294" s="3" t="str">
        <f>+IFERROR(VLOOKUP(C3294,'Mov 2023 hasta ahora '!$C$2:$D$314,2,FALSE),"NO")</f>
        <v>NO</v>
      </c>
      <c r="K3294">
        <v>6</v>
      </c>
      <c r="L3294" t="s">
        <v>836</v>
      </c>
      <c r="M3294">
        <v>24</v>
      </c>
      <c r="O3294" s="29" t="s">
        <v>9059</v>
      </c>
      <c r="P3294" s="25" t="s">
        <v>9060</v>
      </c>
      <c r="Q3294" s="25">
        <v>1534</v>
      </c>
      <c r="R3294" t="s">
        <v>436</v>
      </c>
    </row>
    <row r="3295" spans="1:18" hidden="1">
      <c r="A3295" s="23" t="s">
        <v>6564</v>
      </c>
      <c r="B3295" s="23" t="s">
        <v>6565</v>
      </c>
      <c r="C3295" s="23">
        <v>3064</v>
      </c>
      <c r="I3295" s="3" t="str">
        <f>+IFERROR(VLOOKUP(C3295,'Mov 2023 hasta ahora '!$C$2:$D$314,2,FALSE),"NO")</f>
        <v>NO</v>
      </c>
      <c r="K3295">
        <v>6</v>
      </c>
      <c r="L3295" t="s">
        <v>836</v>
      </c>
      <c r="M3295">
        <v>24</v>
      </c>
      <c r="O3295" s="29" t="s">
        <v>9030</v>
      </c>
      <c r="P3295" s="25" t="s">
        <v>9029</v>
      </c>
      <c r="Q3295" s="25">
        <v>3817</v>
      </c>
      <c r="R3295" t="s">
        <v>436</v>
      </c>
    </row>
    <row r="3296" spans="1:18" hidden="1">
      <c r="A3296" s="23" t="s">
        <v>6566</v>
      </c>
      <c r="B3296" s="23" t="s">
        <v>6567</v>
      </c>
      <c r="C3296" s="23">
        <v>3065</v>
      </c>
      <c r="I3296" s="3" t="str">
        <f>+IFERROR(VLOOKUP(C3296,'Mov 2023 hasta ahora '!$C$2:$D$314,2,FALSE),"NO")</f>
        <v>NO</v>
      </c>
      <c r="K3296">
        <v>6</v>
      </c>
      <c r="L3296" t="s">
        <v>836</v>
      </c>
      <c r="M3296">
        <v>24</v>
      </c>
      <c r="O3296" s="29" t="s">
        <v>9019</v>
      </c>
      <c r="P3296" s="25" t="s">
        <v>8762</v>
      </c>
      <c r="Q3296" s="25">
        <v>1758</v>
      </c>
      <c r="R3296" t="s">
        <v>436</v>
      </c>
    </row>
    <row r="3297" spans="1:18" hidden="1">
      <c r="A3297" s="23" t="s">
        <v>6568</v>
      </c>
      <c r="B3297" s="23" t="s">
        <v>6569</v>
      </c>
      <c r="C3297" s="23">
        <v>3294</v>
      </c>
      <c r="I3297" s="3" t="str">
        <f>+IFERROR(VLOOKUP(C3297,'Mov 2023 hasta ahora '!$C$2:$D$314,2,FALSE),"NO")</f>
        <v>NO</v>
      </c>
      <c r="K3297">
        <v>6</v>
      </c>
      <c r="L3297" t="s">
        <v>836</v>
      </c>
      <c r="M3297">
        <v>24</v>
      </c>
      <c r="O3297" s="29" t="s">
        <v>9061</v>
      </c>
      <c r="P3297" s="25" t="s">
        <v>9062</v>
      </c>
      <c r="Q3297" s="25">
        <v>2671</v>
      </c>
      <c r="R3297" t="s">
        <v>436</v>
      </c>
    </row>
    <row r="3298" spans="1:18" s="13" customFormat="1" hidden="1">
      <c r="A3298" s="23" t="s">
        <v>6570</v>
      </c>
      <c r="B3298" s="23" t="s">
        <v>6571</v>
      </c>
      <c r="C3298" s="23">
        <v>3305</v>
      </c>
      <c r="G3298"/>
      <c r="I3298" s="14" t="str">
        <f>+IFERROR(VLOOKUP(C3298,'Mov 2023 hasta ahora '!$C$2:$D$314,2,FALSE),"NO")</f>
        <v>NO</v>
      </c>
      <c r="K3298">
        <v>6</v>
      </c>
      <c r="L3298" t="s">
        <v>836</v>
      </c>
      <c r="M3298">
        <v>24</v>
      </c>
      <c r="O3298" s="29" t="s">
        <v>8861</v>
      </c>
      <c r="P3298" s="25" t="s">
        <v>8868</v>
      </c>
      <c r="Q3298" s="25">
        <v>1419</v>
      </c>
      <c r="R3298" t="s">
        <v>436</v>
      </c>
    </row>
    <row r="3299" spans="1:18" hidden="1">
      <c r="A3299" t="s">
        <v>6572</v>
      </c>
      <c r="B3299" t="s">
        <v>6573</v>
      </c>
      <c r="I3299" s="3" t="str">
        <f>+IFERROR(VLOOKUP(C3299,'Mov 2023 hasta ahora '!$C$2:$D$314,2,FALSE),"NO")</f>
        <v>NO</v>
      </c>
      <c r="K3299">
        <v>5</v>
      </c>
      <c r="L3299" t="s">
        <v>836</v>
      </c>
      <c r="M3299">
        <v>18</v>
      </c>
    </row>
    <row r="3300" spans="1:18" s="13" customFormat="1" hidden="1">
      <c r="A3300" s="23" t="s">
        <v>6574</v>
      </c>
      <c r="B3300" s="23" t="s">
        <v>6575</v>
      </c>
      <c r="C3300" s="23">
        <v>3097</v>
      </c>
      <c r="G3300"/>
      <c r="I3300" s="14" t="str">
        <f>+IFERROR(VLOOKUP(C3300,'Mov 2023 hasta ahora '!$C$2:$D$314,2,FALSE),"NO")</f>
        <v>NO</v>
      </c>
      <c r="K3300">
        <v>6</v>
      </c>
      <c r="L3300" t="s">
        <v>836</v>
      </c>
      <c r="M3300">
        <v>24</v>
      </c>
      <c r="O3300" s="29" t="s">
        <v>8825</v>
      </c>
      <c r="P3300" s="25" t="s">
        <v>8832</v>
      </c>
      <c r="Q3300" s="25">
        <v>3601</v>
      </c>
      <c r="R3300" t="s">
        <v>436</v>
      </c>
    </row>
    <row r="3301" spans="1:18" s="13" customFormat="1" hidden="1">
      <c r="A3301" s="23" t="s">
        <v>6576</v>
      </c>
      <c r="B3301" s="23" t="s">
        <v>6577</v>
      </c>
      <c r="C3301" s="23">
        <v>3098</v>
      </c>
      <c r="G3301"/>
      <c r="I3301" s="14" t="str">
        <f>+IFERROR(VLOOKUP(C3301,'Mov 2023 hasta ahora '!$C$2:$D$314,2,FALSE),"NO")</f>
        <v>NO</v>
      </c>
      <c r="K3301">
        <v>6</v>
      </c>
      <c r="L3301" t="s">
        <v>836</v>
      </c>
      <c r="M3301">
        <v>24</v>
      </c>
      <c r="O3301" s="29" t="s">
        <v>8992</v>
      </c>
      <c r="P3301" s="25" t="s">
        <v>8836</v>
      </c>
      <c r="Q3301" s="25">
        <v>3603</v>
      </c>
      <c r="R3301" t="s">
        <v>436</v>
      </c>
    </row>
    <row r="3302" spans="1:18" hidden="1">
      <c r="A3302" t="s">
        <v>6578</v>
      </c>
      <c r="B3302" t="s">
        <v>1657</v>
      </c>
      <c r="I3302" s="3" t="str">
        <f>+IFERROR(VLOOKUP(C3302,'Mov 2023 hasta ahora '!$C$2:$D$314,2,FALSE),"NO")</f>
        <v>NO</v>
      </c>
      <c r="K3302">
        <v>3</v>
      </c>
      <c r="L3302" t="s">
        <v>836</v>
      </c>
      <c r="M3302">
        <v>10</v>
      </c>
    </row>
    <row r="3303" spans="1:18" hidden="1">
      <c r="A3303" t="s">
        <v>6579</v>
      </c>
      <c r="B3303" t="s">
        <v>6580</v>
      </c>
      <c r="I3303" s="3" t="str">
        <f>+IFERROR(VLOOKUP(C3303,'Mov 2023 hasta ahora '!$C$2:$D$314,2,FALSE),"NO")</f>
        <v>NO</v>
      </c>
      <c r="K3303">
        <v>4</v>
      </c>
      <c r="L3303" t="s">
        <v>836</v>
      </c>
      <c r="M3303">
        <v>14</v>
      </c>
    </row>
    <row r="3304" spans="1:18" hidden="1">
      <c r="A3304" t="s">
        <v>6581</v>
      </c>
      <c r="B3304" t="s">
        <v>6582</v>
      </c>
      <c r="I3304" s="3" t="str">
        <f>+IFERROR(VLOOKUP(C3304,'Mov 2023 hasta ahora '!$C$2:$D$314,2,FALSE),"NO")</f>
        <v>NO</v>
      </c>
      <c r="K3304">
        <v>5</v>
      </c>
      <c r="L3304" t="s">
        <v>836</v>
      </c>
      <c r="M3304">
        <v>18</v>
      </c>
    </row>
    <row r="3305" spans="1:18" hidden="1">
      <c r="A3305" s="23" t="s">
        <v>6583</v>
      </c>
      <c r="B3305" s="23" t="s">
        <v>6584</v>
      </c>
      <c r="C3305" s="23">
        <v>3066</v>
      </c>
      <c r="I3305" s="3" t="str">
        <f>+IFERROR(VLOOKUP(C3305,'Mov 2023 hasta ahora '!$C$2:$D$314,2,FALSE),"NO")</f>
        <v>NO</v>
      </c>
      <c r="K3305">
        <v>6</v>
      </c>
      <c r="L3305" t="s">
        <v>836</v>
      </c>
      <c r="M3305">
        <v>24</v>
      </c>
      <c r="O3305" s="29" t="s">
        <v>8742</v>
      </c>
      <c r="P3305" s="25" t="s">
        <v>9063</v>
      </c>
      <c r="Q3305" s="25">
        <v>176</v>
      </c>
      <c r="R3305" t="s">
        <v>436</v>
      </c>
    </row>
    <row r="3306" spans="1:18" hidden="1">
      <c r="A3306" s="23" t="s">
        <v>6585</v>
      </c>
      <c r="B3306" s="23" t="s">
        <v>6586</v>
      </c>
      <c r="C3306" s="23">
        <v>3205</v>
      </c>
      <c r="I3306" s="3" t="str">
        <f>+IFERROR(VLOOKUP(C3306,'Mov 2023 hasta ahora '!$C$2:$D$314,2,FALSE),"NO")</f>
        <v>NO</v>
      </c>
      <c r="K3306">
        <v>6</v>
      </c>
      <c r="L3306" t="s">
        <v>836</v>
      </c>
      <c r="M3306">
        <v>24</v>
      </c>
      <c r="O3306" s="29" t="s">
        <v>9057</v>
      </c>
      <c r="P3306" s="25" t="s">
        <v>9058</v>
      </c>
      <c r="Q3306" s="25">
        <v>3212</v>
      </c>
      <c r="R3306" t="s">
        <v>436</v>
      </c>
    </row>
    <row r="3307" spans="1:18" hidden="1">
      <c r="A3307" t="s">
        <v>6587</v>
      </c>
      <c r="B3307" t="s">
        <v>6588</v>
      </c>
      <c r="I3307" s="3" t="str">
        <f>+IFERROR(VLOOKUP(C3307,'Mov 2023 hasta ahora '!$C$2:$D$314,2,FALSE),"NO")</f>
        <v>NO</v>
      </c>
      <c r="K3307">
        <v>4</v>
      </c>
      <c r="L3307" t="s">
        <v>836</v>
      </c>
      <c r="M3307">
        <v>14</v>
      </c>
    </row>
    <row r="3308" spans="1:18" hidden="1">
      <c r="A3308" t="s">
        <v>6589</v>
      </c>
      <c r="B3308" t="s">
        <v>6590</v>
      </c>
      <c r="I3308" s="3" t="str">
        <f>+IFERROR(VLOOKUP(C3308,'Mov 2023 hasta ahora '!$C$2:$D$314,2,FALSE),"NO")</f>
        <v>NO</v>
      </c>
      <c r="K3308">
        <v>5</v>
      </c>
      <c r="L3308" t="s">
        <v>836</v>
      </c>
      <c r="M3308">
        <v>18</v>
      </c>
    </row>
    <row r="3309" spans="1:18" s="13" customFormat="1" hidden="1">
      <c r="A3309" s="23" t="s">
        <v>6591</v>
      </c>
      <c r="B3309" s="23" t="s">
        <v>6592</v>
      </c>
      <c r="C3309" s="23">
        <v>3067</v>
      </c>
      <c r="G3309"/>
      <c r="I3309" s="14" t="str">
        <f>+IFERROR(VLOOKUP(C3309,'Mov 2023 hasta ahora '!$C$2:$D$314,2,FALSE),"NO")</f>
        <v>NO</v>
      </c>
      <c r="K3309">
        <v>6</v>
      </c>
      <c r="L3309" t="s">
        <v>836</v>
      </c>
      <c r="M3309">
        <v>24</v>
      </c>
      <c r="O3309" s="29" t="s">
        <v>8746</v>
      </c>
      <c r="P3309" s="25" t="s">
        <v>9054</v>
      </c>
      <c r="Q3309" s="25">
        <v>185</v>
      </c>
      <c r="R3309" t="s">
        <v>436</v>
      </c>
    </row>
    <row r="3310" spans="1:18" s="13" customFormat="1" hidden="1">
      <c r="A3310" s="23" t="s">
        <v>6593</v>
      </c>
      <c r="B3310" s="23" t="s">
        <v>6594</v>
      </c>
      <c r="C3310" s="23">
        <v>3068</v>
      </c>
      <c r="G3310"/>
      <c r="I3310" s="14" t="str">
        <f>+IFERROR(VLOOKUP(C3310,'Mov 2023 hasta ahora '!$C$2:$D$314,2,FALSE),"NO")</f>
        <v>NO</v>
      </c>
      <c r="K3310">
        <v>6</v>
      </c>
      <c r="L3310" t="s">
        <v>836</v>
      </c>
      <c r="M3310">
        <v>24</v>
      </c>
      <c r="O3310" s="29" t="s">
        <v>8748</v>
      </c>
      <c r="P3310" s="25" t="s">
        <v>9055</v>
      </c>
      <c r="Q3310" s="25">
        <v>193</v>
      </c>
      <c r="R3310" t="s">
        <v>436</v>
      </c>
    </row>
    <row r="3311" spans="1:18" s="13" customFormat="1" hidden="1">
      <c r="A3311" s="23" t="s">
        <v>6595</v>
      </c>
      <c r="B3311" s="23" t="s">
        <v>6596</v>
      </c>
      <c r="C3311" s="23">
        <v>3069</v>
      </c>
      <c r="G3311"/>
      <c r="I3311" s="14" t="str">
        <f>+IFERROR(VLOOKUP(C3311,'Mov 2023 hasta ahora '!$C$2:$D$314,2,FALSE),"NO")</f>
        <v>NO</v>
      </c>
      <c r="K3311">
        <v>6</v>
      </c>
      <c r="L3311" t="s">
        <v>836</v>
      </c>
      <c r="M3311">
        <v>24</v>
      </c>
      <c r="O3311" s="29" t="s">
        <v>8749</v>
      </c>
      <c r="P3311" s="25" t="s">
        <v>9056</v>
      </c>
      <c r="Q3311" s="25">
        <v>202</v>
      </c>
      <c r="R3311" t="s">
        <v>436</v>
      </c>
    </row>
    <row r="3312" spans="1:18" hidden="1">
      <c r="A3312" s="23" t="s">
        <v>6597</v>
      </c>
      <c r="B3312" s="23" t="s">
        <v>6598</v>
      </c>
      <c r="C3312" s="23">
        <v>3070</v>
      </c>
      <c r="I3312" s="3" t="str">
        <f>+IFERROR(VLOOKUP(C3312,'Mov 2023 hasta ahora '!$C$2:$D$314,2,FALSE),"NO")</f>
        <v>NO</v>
      </c>
      <c r="K3312">
        <v>6</v>
      </c>
      <c r="L3312" t="s">
        <v>836</v>
      </c>
      <c r="M3312">
        <v>24</v>
      </c>
      <c r="O3312" s="29" t="s">
        <v>8750</v>
      </c>
      <c r="P3312" s="25" t="s">
        <v>8968</v>
      </c>
      <c r="Q3312" s="25">
        <v>1351</v>
      </c>
      <c r="R3312" t="s">
        <v>436</v>
      </c>
    </row>
    <row r="3313" spans="1:18" hidden="1">
      <c r="A3313" t="s">
        <v>6599</v>
      </c>
      <c r="B3313" t="s">
        <v>6600</v>
      </c>
      <c r="I3313" s="3" t="str">
        <f>+IFERROR(VLOOKUP(C3313,'Mov 2023 hasta ahora '!$C$2:$D$314,2,FALSE),"NO")</f>
        <v>NO</v>
      </c>
      <c r="K3313">
        <v>4</v>
      </c>
      <c r="L3313" t="s">
        <v>836</v>
      </c>
      <c r="M3313">
        <v>14</v>
      </c>
    </row>
    <row r="3314" spans="1:18" hidden="1">
      <c r="A3314" t="s">
        <v>6601</v>
      </c>
      <c r="B3314" t="s">
        <v>6602</v>
      </c>
      <c r="I3314" s="3" t="str">
        <f>+IFERROR(VLOOKUP(C3314,'Mov 2023 hasta ahora '!$C$2:$D$314,2,FALSE),"NO")</f>
        <v>NO</v>
      </c>
      <c r="K3314">
        <v>5</v>
      </c>
      <c r="L3314" t="s">
        <v>836</v>
      </c>
      <c r="M3314">
        <v>18</v>
      </c>
    </row>
    <row r="3315" spans="1:18" hidden="1">
      <c r="A3315" s="23" t="s">
        <v>6603</v>
      </c>
      <c r="B3315" s="23" t="s">
        <v>6604</v>
      </c>
      <c r="C3315" s="23">
        <v>3071</v>
      </c>
      <c r="I3315" s="3" t="str">
        <f>+IFERROR(VLOOKUP(C3315,'Mov 2023 hasta ahora '!$C$2:$D$314,2,FALSE),"NO")</f>
        <v>NO</v>
      </c>
      <c r="K3315">
        <v>6</v>
      </c>
      <c r="L3315" t="s">
        <v>836</v>
      </c>
      <c r="M3315">
        <v>24</v>
      </c>
      <c r="O3315" s="29" t="s">
        <v>9013</v>
      </c>
      <c r="P3315" s="25" t="s">
        <v>8756</v>
      </c>
      <c r="Q3315" s="25">
        <v>212</v>
      </c>
      <c r="R3315" t="s">
        <v>436</v>
      </c>
    </row>
    <row r="3316" spans="1:18" hidden="1">
      <c r="A3316" t="s">
        <v>6605</v>
      </c>
      <c r="B3316" t="s">
        <v>6606</v>
      </c>
      <c r="I3316" s="3" t="str">
        <f>+IFERROR(VLOOKUP(C3316,'Mov 2023 hasta ahora '!$C$2:$D$314,2,FALSE),"NO")</f>
        <v>NO</v>
      </c>
      <c r="K3316">
        <v>4</v>
      </c>
      <c r="L3316" t="s">
        <v>836</v>
      </c>
      <c r="M3316">
        <v>14</v>
      </c>
    </row>
    <row r="3317" spans="1:18" hidden="1">
      <c r="A3317" t="s">
        <v>6607</v>
      </c>
      <c r="B3317" t="s">
        <v>6608</v>
      </c>
      <c r="I3317" s="3" t="str">
        <f>+IFERROR(VLOOKUP(C3317,'Mov 2023 hasta ahora '!$C$2:$D$314,2,FALSE),"NO")</f>
        <v>NO</v>
      </c>
      <c r="K3317">
        <v>5</v>
      </c>
      <c r="L3317" t="s">
        <v>836</v>
      </c>
      <c r="M3317">
        <v>18</v>
      </c>
    </row>
    <row r="3318" spans="1:18" s="15" customFormat="1" hidden="1">
      <c r="A3318" s="23" t="s">
        <v>6609</v>
      </c>
      <c r="B3318" s="23" t="s">
        <v>6610</v>
      </c>
      <c r="C3318" s="23">
        <v>3072</v>
      </c>
      <c r="G3318"/>
      <c r="I3318" s="16" t="str">
        <f>+IFERROR(VLOOKUP(C3318,'Mov 2023 hasta ahora '!$C$2:$D$314,2,FALSE),"NO")</f>
        <v>NO</v>
      </c>
      <c r="K3318">
        <v>6</v>
      </c>
      <c r="L3318" t="s">
        <v>836</v>
      </c>
      <c r="M3318">
        <v>24</v>
      </c>
      <c r="O3318" s="29" t="s">
        <v>8793</v>
      </c>
      <c r="P3318" s="25" t="s">
        <v>8975</v>
      </c>
      <c r="Q3318" s="25">
        <v>1616</v>
      </c>
      <c r="R3318" t="s">
        <v>436</v>
      </c>
    </row>
    <row r="3319" spans="1:18" s="15" customFormat="1" hidden="1">
      <c r="A3319" s="23" t="s">
        <v>6611</v>
      </c>
      <c r="B3319" s="23" t="s">
        <v>6612</v>
      </c>
      <c r="C3319" s="23">
        <v>3073</v>
      </c>
      <c r="G3319"/>
      <c r="I3319" s="16" t="str">
        <f>+IFERROR(VLOOKUP(C3319,'Mov 2023 hasta ahora '!$C$2:$D$314,2,FALSE),"NO")</f>
        <v>NO</v>
      </c>
      <c r="K3319">
        <v>6</v>
      </c>
      <c r="L3319" t="s">
        <v>836</v>
      </c>
      <c r="M3319">
        <v>24</v>
      </c>
      <c r="O3319" s="29" t="s">
        <v>8793</v>
      </c>
      <c r="P3319" s="25" t="s">
        <v>8975</v>
      </c>
      <c r="Q3319" s="25">
        <v>1616</v>
      </c>
      <c r="R3319" t="s">
        <v>436</v>
      </c>
    </row>
    <row r="3320" spans="1:18" s="15" customFormat="1" hidden="1">
      <c r="A3320" s="23" t="s">
        <v>6613</v>
      </c>
      <c r="B3320" s="23" t="s">
        <v>6614</v>
      </c>
      <c r="C3320" s="23">
        <v>3216</v>
      </c>
      <c r="G3320"/>
      <c r="I3320" s="16" t="str">
        <f>+IFERROR(VLOOKUP(C3320,'Mov 2023 hasta ahora '!$C$2:$D$314,2,FALSE),"NO")</f>
        <v>NO</v>
      </c>
      <c r="K3320">
        <v>6</v>
      </c>
      <c r="L3320" t="s">
        <v>836</v>
      </c>
      <c r="M3320">
        <v>24</v>
      </c>
      <c r="O3320" s="29" t="s">
        <v>8802</v>
      </c>
      <c r="P3320" s="25" t="s">
        <v>8976</v>
      </c>
      <c r="Q3320" s="25">
        <v>3222</v>
      </c>
      <c r="R3320" t="s">
        <v>436</v>
      </c>
    </row>
    <row r="3321" spans="1:18" s="15" customFormat="1" hidden="1">
      <c r="A3321" s="23" t="s">
        <v>6615</v>
      </c>
      <c r="B3321" s="23" t="s">
        <v>6616</v>
      </c>
      <c r="C3321" s="23">
        <v>3227</v>
      </c>
      <c r="G3321"/>
      <c r="I3321" s="16" t="str">
        <f>+IFERROR(VLOOKUP(C3321,'Mov 2023 hasta ahora '!$C$2:$D$314,2,FALSE),"NO")</f>
        <v>NO</v>
      </c>
      <c r="K3321">
        <v>6</v>
      </c>
      <c r="L3321" t="s">
        <v>836</v>
      </c>
      <c r="M3321">
        <v>24</v>
      </c>
      <c r="O3321" s="29" t="s">
        <v>8833</v>
      </c>
      <c r="P3321" s="25" t="s">
        <v>8977</v>
      </c>
      <c r="Q3321" s="25">
        <v>3233</v>
      </c>
      <c r="R3321" t="s">
        <v>436</v>
      </c>
    </row>
    <row r="3322" spans="1:18" s="15" customFormat="1" hidden="1">
      <c r="A3322" s="23" t="s">
        <v>6617</v>
      </c>
      <c r="B3322" s="23" t="s">
        <v>6618</v>
      </c>
      <c r="C3322" s="23">
        <v>3238</v>
      </c>
      <c r="G3322"/>
      <c r="I3322" s="16" t="str">
        <f>+IFERROR(VLOOKUP(C3322,'Mov 2023 hasta ahora '!$C$2:$D$314,2,FALSE),"NO")</f>
        <v>NO</v>
      </c>
      <c r="K3322">
        <v>6</v>
      </c>
      <c r="L3322" t="s">
        <v>836</v>
      </c>
      <c r="M3322">
        <v>24</v>
      </c>
      <c r="O3322" s="29" t="s">
        <v>8755</v>
      </c>
      <c r="P3322" s="25" t="s">
        <v>8978</v>
      </c>
      <c r="Q3322" s="25">
        <v>3244</v>
      </c>
      <c r="R3322" t="s">
        <v>436</v>
      </c>
    </row>
    <row r="3323" spans="1:18" hidden="1">
      <c r="A3323" t="s">
        <v>6619</v>
      </c>
      <c r="B3323" t="s">
        <v>6620</v>
      </c>
      <c r="I3323" s="3" t="str">
        <f>+IFERROR(VLOOKUP(C3323,'Mov 2023 hasta ahora '!$C$2:$D$314,2,FALSE),"NO")</f>
        <v>NO</v>
      </c>
      <c r="K3323">
        <v>5</v>
      </c>
      <c r="L3323" t="s">
        <v>836</v>
      </c>
      <c r="M3323">
        <v>18</v>
      </c>
    </row>
    <row r="3324" spans="1:18" hidden="1">
      <c r="A3324" s="23" t="s">
        <v>6621</v>
      </c>
      <c r="B3324" s="23" t="s">
        <v>6622</v>
      </c>
      <c r="C3324" s="23">
        <v>3091</v>
      </c>
      <c r="I3324" s="3" t="str">
        <f>+IFERROR(VLOOKUP(C3324,'Mov 2023 hasta ahora '!$C$2:$D$314,2,FALSE),"NO")</f>
        <v>NO</v>
      </c>
      <c r="K3324">
        <v>6</v>
      </c>
      <c r="L3324" t="s">
        <v>836</v>
      </c>
      <c r="M3324">
        <v>24</v>
      </c>
      <c r="O3324" s="29" t="s">
        <v>8794</v>
      </c>
      <c r="P3324" s="25" t="s">
        <v>8982</v>
      </c>
      <c r="Q3324" s="25">
        <v>1441</v>
      </c>
      <c r="R3324" t="s">
        <v>436</v>
      </c>
    </row>
    <row r="3325" spans="1:18" hidden="1">
      <c r="A3325" s="23" t="s">
        <v>6623</v>
      </c>
      <c r="B3325" s="23" t="s">
        <v>6624</v>
      </c>
      <c r="C3325" s="23">
        <v>3092</v>
      </c>
      <c r="I3325" s="3" t="str">
        <f>+IFERROR(VLOOKUP(C3325,'Mov 2023 hasta ahora '!$C$2:$D$314,2,FALSE),"NO")</f>
        <v>NO</v>
      </c>
      <c r="K3325">
        <v>6</v>
      </c>
      <c r="L3325" t="s">
        <v>836</v>
      </c>
      <c r="M3325">
        <v>24</v>
      </c>
      <c r="O3325" s="29" t="s">
        <v>8809</v>
      </c>
      <c r="P3325" s="25" t="s">
        <v>8983</v>
      </c>
      <c r="Q3325" s="25">
        <v>1448</v>
      </c>
      <c r="R3325" t="s">
        <v>436</v>
      </c>
    </row>
    <row r="3326" spans="1:18" hidden="1">
      <c r="A3326" t="s">
        <v>6625</v>
      </c>
      <c r="B3326" t="s">
        <v>6626</v>
      </c>
      <c r="I3326" s="3" t="str">
        <f>+IFERROR(VLOOKUP(C3326,'Mov 2023 hasta ahora '!$C$2:$D$314,2,FALSE),"NO")</f>
        <v>NO</v>
      </c>
      <c r="K3326">
        <v>4</v>
      </c>
      <c r="L3326" t="s">
        <v>836</v>
      </c>
      <c r="M3326">
        <v>14</v>
      </c>
    </row>
    <row r="3327" spans="1:18" hidden="1">
      <c r="A3327" t="s">
        <v>6627</v>
      </c>
      <c r="B3327" t="s">
        <v>6628</v>
      </c>
      <c r="I3327" s="3" t="str">
        <f>+IFERROR(VLOOKUP(C3327,'Mov 2023 hasta ahora '!$C$2:$D$314,2,FALSE),"NO")</f>
        <v>NO</v>
      </c>
      <c r="K3327">
        <v>5</v>
      </c>
      <c r="L3327" t="s">
        <v>836</v>
      </c>
      <c r="M3327">
        <v>18</v>
      </c>
    </row>
    <row r="3328" spans="1:18" s="13" customFormat="1" hidden="1">
      <c r="A3328" s="23" t="s">
        <v>6629</v>
      </c>
      <c r="B3328" s="23" t="s">
        <v>6630</v>
      </c>
      <c r="C3328" s="23">
        <v>3074</v>
      </c>
      <c r="G3328"/>
      <c r="I3328" s="14" t="str">
        <f>+IFERROR(VLOOKUP(C3328,'Mov 2023 hasta ahora '!$C$2:$D$314,2,FALSE),"NO")</f>
        <v>NO</v>
      </c>
      <c r="K3328">
        <v>6</v>
      </c>
      <c r="L3328" t="s">
        <v>836</v>
      </c>
      <c r="M3328">
        <v>24</v>
      </c>
      <c r="O3328" s="29" t="s">
        <v>8857</v>
      </c>
      <c r="P3328" s="25" t="s">
        <v>8980</v>
      </c>
      <c r="Q3328" s="25">
        <v>2178</v>
      </c>
      <c r="R3328" t="s">
        <v>436</v>
      </c>
    </row>
    <row r="3329" spans="1:18" s="13" customFormat="1" hidden="1">
      <c r="A3329" s="23" t="s">
        <v>6631</v>
      </c>
      <c r="B3329" s="23" t="s">
        <v>6632</v>
      </c>
      <c r="C3329" s="23">
        <v>3075</v>
      </c>
      <c r="G3329"/>
      <c r="I3329" s="14" t="str">
        <f>+IFERROR(VLOOKUP(C3329,'Mov 2023 hasta ahora '!$C$2:$D$314,2,FALSE),"NO")</f>
        <v>NO</v>
      </c>
      <c r="K3329">
        <v>6</v>
      </c>
      <c r="L3329" t="s">
        <v>836</v>
      </c>
      <c r="M3329">
        <v>24</v>
      </c>
      <c r="O3329" s="29" t="s">
        <v>8846</v>
      </c>
      <c r="P3329" s="25" t="s">
        <v>8981</v>
      </c>
      <c r="Q3329" s="25">
        <v>2179</v>
      </c>
      <c r="R3329" t="s">
        <v>436</v>
      </c>
    </row>
    <row r="3330" spans="1:18" s="13" customFormat="1" hidden="1">
      <c r="A3330" s="23" t="s">
        <v>6633</v>
      </c>
      <c r="B3330" s="23" t="s">
        <v>6634</v>
      </c>
      <c r="C3330" s="23">
        <v>3076</v>
      </c>
      <c r="G3330"/>
      <c r="I3330" s="14" t="str">
        <f>+IFERROR(VLOOKUP(C3330,'Mov 2023 hasta ahora '!$C$2:$D$314,2,FALSE),"NO")</f>
        <v>NO</v>
      </c>
      <c r="K3330">
        <v>6</v>
      </c>
      <c r="L3330" t="s">
        <v>836</v>
      </c>
      <c r="M3330">
        <v>24</v>
      </c>
      <c r="O3330" s="29" t="s">
        <v>8846</v>
      </c>
      <c r="P3330" s="25" t="s">
        <v>8981</v>
      </c>
      <c r="Q3330" s="25">
        <v>2179</v>
      </c>
      <c r="R3330" t="s">
        <v>436</v>
      </c>
    </row>
    <row r="3331" spans="1:18" s="13" customFormat="1" hidden="1">
      <c r="A3331" s="23" t="s">
        <v>6635</v>
      </c>
      <c r="B3331" s="23" t="s">
        <v>6636</v>
      </c>
      <c r="C3331" s="23">
        <v>3077</v>
      </c>
      <c r="G3331"/>
      <c r="I3331" s="14" t="str">
        <f>+IFERROR(VLOOKUP(C3331,'Mov 2023 hasta ahora '!$C$2:$D$314,2,FALSE),"NO")</f>
        <v>NO</v>
      </c>
      <c r="K3331">
        <v>6</v>
      </c>
      <c r="L3331" t="s">
        <v>836</v>
      </c>
      <c r="M3331">
        <v>24</v>
      </c>
      <c r="O3331" s="29" t="s">
        <v>8794</v>
      </c>
      <c r="P3331" s="25" t="s">
        <v>8982</v>
      </c>
      <c r="Q3331" s="25">
        <v>1441</v>
      </c>
      <c r="R3331" t="s">
        <v>436</v>
      </c>
    </row>
    <row r="3332" spans="1:18" s="13" customFormat="1" hidden="1">
      <c r="A3332" s="23" t="s">
        <v>6637</v>
      </c>
      <c r="B3332" s="23" t="s">
        <v>6638</v>
      </c>
      <c r="C3332" s="23">
        <v>3078</v>
      </c>
      <c r="G3332"/>
      <c r="I3332" s="14" t="str">
        <f>+IFERROR(VLOOKUP(C3332,'Mov 2023 hasta ahora '!$C$2:$D$314,2,FALSE),"NO")</f>
        <v>NO</v>
      </c>
      <c r="K3332">
        <v>6</v>
      </c>
      <c r="L3332" t="s">
        <v>836</v>
      </c>
      <c r="M3332">
        <v>24</v>
      </c>
      <c r="O3332" s="29" t="s">
        <v>8809</v>
      </c>
      <c r="P3332" s="25" t="s">
        <v>8983</v>
      </c>
      <c r="Q3332" s="25">
        <v>1448</v>
      </c>
      <c r="R3332" t="s">
        <v>436</v>
      </c>
    </row>
    <row r="3333" spans="1:18" s="13" customFormat="1" hidden="1">
      <c r="A3333" s="23" t="s">
        <v>6639</v>
      </c>
      <c r="B3333" s="23" t="s">
        <v>6640</v>
      </c>
      <c r="C3333" s="23">
        <v>3249</v>
      </c>
      <c r="G3333"/>
      <c r="I3333" s="14" t="str">
        <f>+IFERROR(VLOOKUP(C3333,'Mov 2023 hasta ahora '!$C$2:$D$314,2,FALSE),"NO")</f>
        <v>NO</v>
      </c>
      <c r="K3333">
        <v>6</v>
      </c>
      <c r="L3333" t="s">
        <v>836</v>
      </c>
      <c r="M3333">
        <v>24</v>
      </c>
      <c r="O3333" s="29" t="s">
        <v>8857</v>
      </c>
      <c r="P3333" s="25" t="s">
        <v>8980</v>
      </c>
      <c r="Q3333" s="25">
        <v>2178</v>
      </c>
      <c r="R3333" t="s">
        <v>436</v>
      </c>
    </row>
    <row r="3334" spans="1:18" s="13" customFormat="1" hidden="1">
      <c r="A3334" s="23" t="s">
        <v>6641</v>
      </c>
      <c r="B3334" s="23" t="s">
        <v>6642</v>
      </c>
      <c r="C3334" s="23">
        <v>3260</v>
      </c>
      <c r="G3334"/>
      <c r="I3334" s="14" t="str">
        <f>+IFERROR(VLOOKUP(C3334,'Mov 2023 hasta ahora '!$C$2:$D$314,2,FALSE),"NO")</f>
        <v>NO</v>
      </c>
      <c r="K3334">
        <v>6</v>
      </c>
      <c r="L3334" t="s">
        <v>836</v>
      </c>
      <c r="M3334">
        <v>24</v>
      </c>
      <c r="O3334" s="29" t="s">
        <v>8857</v>
      </c>
      <c r="P3334" s="25" t="s">
        <v>8980</v>
      </c>
      <c r="Q3334" s="25">
        <v>2178</v>
      </c>
      <c r="R3334" t="s">
        <v>436</v>
      </c>
    </row>
    <row r="3335" spans="1:18" s="13" customFormat="1" hidden="1">
      <c r="A3335" s="23" t="s">
        <v>6643</v>
      </c>
      <c r="B3335" s="23" t="s">
        <v>6644</v>
      </c>
      <c r="C3335" s="23">
        <v>3271</v>
      </c>
      <c r="G3335"/>
      <c r="I3335" s="14" t="str">
        <f>+IFERROR(VLOOKUP(C3335,'Mov 2023 hasta ahora '!$C$2:$D$314,2,FALSE),"NO")</f>
        <v>NO</v>
      </c>
      <c r="K3335">
        <v>6</v>
      </c>
      <c r="L3335" t="s">
        <v>836</v>
      </c>
      <c r="M3335">
        <v>24</v>
      </c>
      <c r="O3335" s="29" t="s">
        <v>8857</v>
      </c>
      <c r="P3335" s="25" t="s">
        <v>8980</v>
      </c>
      <c r="Q3335" s="25">
        <v>2178</v>
      </c>
      <c r="R3335" t="s">
        <v>436</v>
      </c>
    </row>
    <row r="3336" spans="1:18" s="13" customFormat="1" hidden="1">
      <c r="A3336" s="23" t="s">
        <v>6645</v>
      </c>
      <c r="B3336" s="23" t="s">
        <v>6646</v>
      </c>
      <c r="C3336" s="23">
        <v>3282</v>
      </c>
      <c r="G3336"/>
      <c r="I3336" s="14" t="str">
        <f>+IFERROR(VLOOKUP(C3336,'Mov 2023 hasta ahora '!$C$2:$D$314,2,FALSE),"NO")</f>
        <v>NO</v>
      </c>
      <c r="K3336">
        <v>6</v>
      </c>
      <c r="L3336" t="s">
        <v>836</v>
      </c>
      <c r="M3336">
        <v>24</v>
      </c>
      <c r="O3336" s="29" t="s">
        <v>8857</v>
      </c>
      <c r="P3336" s="25" t="s">
        <v>8980</v>
      </c>
      <c r="Q3336" s="25">
        <v>2178</v>
      </c>
      <c r="R3336" t="s">
        <v>436</v>
      </c>
    </row>
    <row r="3337" spans="1:18" hidden="1">
      <c r="A3337" t="s">
        <v>6647</v>
      </c>
      <c r="B3337" t="s">
        <v>6648</v>
      </c>
      <c r="I3337" s="3" t="str">
        <f>+IFERROR(VLOOKUP(C3337,'Mov 2023 hasta ahora '!$C$2:$D$314,2,FALSE),"NO")</f>
        <v>NO</v>
      </c>
      <c r="K3337">
        <v>4</v>
      </c>
      <c r="L3337" t="s">
        <v>836</v>
      </c>
      <c r="M3337">
        <v>14</v>
      </c>
    </row>
    <row r="3338" spans="1:18" hidden="1">
      <c r="A3338" t="s">
        <v>6649</v>
      </c>
      <c r="B3338" t="s">
        <v>6650</v>
      </c>
      <c r="I3338" s="3" t="str">
        <f>+IFERROR(VLOOKUP(C3338,'Mov 2023 hasta ahora '!$C$2:$D$314,2,FALSE),"NO")</f>
        <v>NO</v>
      </c>
      <c r="K3338">
        <v>5</v>
      </c>
      <c r="L3338" t="s">
        <v>836</v>
      </c>
      <c r="M3338">
        <v>18</v>
      </c>
    </row>
    <row r="3339" spans="1:18" s="13" customFormat="1" hidden="1">
      <c r="A3339" s="23" t="s">
        <v>6651</v>
      </c>
      <c r="B3339" s="23" t="s">
        <v>6652</v>
      </c>
      <c r="C3339" s="23">
        <v>3316</v>
      </c>
      <c r="G3339"/>
      <c r="I3339" s="14" t="str">
        <f>+IFERROR(VLOOKUP(C3339,'Mov 2023 hasta ahora '!$C$2:$D$314,2,FALSE),"NO")</f>
        <v>NO</v>
      </c>
      <c r="K3339">
        <v>6</v>
      </c>
      <c r="L3339" t="s">
        <v>836</v>
      </c>
      <c r="M3339">
        <v>24</v>
      </c>
      <c r="O3339" s="29" t="s">
        <v>8795</v>
      </c>
      <c r="P3339" s="25" t="s">
        <v>8798</v>
      </c>
      <c r="Q3339" s="25">
        <v>1489</v>
      </c>
      <c r="R3339" t="s">
        <v>436</v>
      </c>
    </row>
    <row r="3340" spans="1:18" s="13" customFormat="1" hidden="1">
      <c r="A3340" s="23" t="s">
        <v>6653</v>
      </c>
      <c r="B3340" s="23" t="s">
        <v>6654</v>
      </c>
      <c r="C3340" s="23">
        <v>3317</v>
      </c>
      <c r="G3340"/>
      <c r="I3340" s="14" t="str">
        <f>+IFERROR(VLOOKUP(C3340,'Mov 2023 hasta ahora '!$C$2:$D$314,2,FALSE),"NO")</f>
        <v>NO</v>
      </c>
      <c r="K3340">
        <v>6</v>
      </c>
      <c r="L3340" t="s">
        <v>836</v>
      </c>
      <c r="M3340">
        <v>24</v>
      </c>
      <c r="O3340" s="29" t="s">
        <v>8804</v>
      </c>
      <c r="P3340" s="25" t="s">
        <v>8808</v>
      </c>
      <c r="Q3340" s="25">
        <v>1497</v>
      </c>
      <c r="R3340" s="13" t="s">
        <v>436</v>
      </c>
    </row>
    <row r="3341" spans="1:18" hidden="1">
      <c r="A3341" t="s">
        <v>6655</v>
      </c>
      <c r="B3341" t="s">
        <v>6656</v>
      </c>
      <c r="I3341" s="3" t="str">
        <f>+IFERROR(VLOOKUP(C3341,'Mov 2023 hasta ahora '!$C$2:$D$314,2,FALSE),"NO")</f>
        <v>NO</v>
      </c>
      <c r="K3341">
        <v>4</v>
      </c>
      <c r="L3341" t="s">
        <v>836</v>
      </c>
      <c r="M3341">
        <v>14</v>
      </c>
    </row>
    <row r="3342" spans="1:18" hidden="1">
      <c r="A3342" t="s">
        <v>6657</v>
      </c>
      <c r="B3342" t="s">
        <v>6658</v>
      </c>
      <c r="I3342" s="3" t="str">
        <f>+IFERROR(VLOOKUP(C3342,'Mov 2023 hasta ahora '!$C$2:$D$314,2,FALSE),"NO")</f>
        <v>NO</v>
      </c>
      <c r="K3342">
        <v>5</v>
      </c>
      <c r="L3342" t="s">
        <v>836</v>
      </c>
      <c r="M3342">
        <v>18</v>
      </c>
    </row>
    <row r="3343" spans="1:18" s="13" customFormat="1" hidden="1">
      <c r="A3343" s="23" t="s">
        <v>6659</v>
      </c>
      <c r="B3343" s="23" t="s">
        <v>6660</v>
      </c>
      <c r="C3343" s="23">
        <v>3332</v>
      </c>
      <c r="G3343"/>
      <c r="I3343" s="14" t="str">
        <f>+IFERROR(VLOOKUP(C3343,'Mov 2023 hasta ahora '!$C$2:$D$314,2,FALSE),"NO")</f>
        <v>NO</v>
      </c>
      <c r="K3343">
        <v>6</v>
      </c>
      <c r="L3343" t="s">
        <v>836</v>
      </c>
      <c r="M3343">
        <v>24</v>
      </c>
      <c r="O3343" s="29" t="s">
        <v>9002</v>
      </c>
      <c r="P3343" s="25" t="s">
        <v>8799</v>
      </c>
      <c r="Q3343" s="25">
        <v>1513</v>
      </c>
      <c r="R3343" t="s">
        <v>436</v>
      </c>
    </row>
    <row r="3344" spans="1:18" s="13" customFormat="1" hidden="1">
      <c r="A3344" s="23" t="s">
        <v>6661</v>
      </c>
      <c r="B3344" s="23" t="s">
        <v>6662</v>
      </c>
      <c r="C3344" s="23">
        <v>3333</v>
      </c>
      <c r="G3344"/>
      <c r="I3344" s="14" t="str">
        <f>+IFERROR(VLOOKUP(C3344,'Mov 2023 hasta ahora '!$C$2:$D$314,2,FALSE),"NO")</f>
        <v>NO</v>
      </c>
      <c r="K3344">
        <v>6</v>
      </c>
      <c r="L3344" t="s">
        <v>836</v>
      </c>
      <c r="M3344">
        <v>24</v>
      </c>
      <c r="O3344" s="29" t="s">
        <v>9003</v>
      </c>
      <c r="P3344" s="25" t="s">
        <v>8803</v>
      </c>
      <c r="Q3344" s="25">
        <v>1505</v>
      </c>
      <c r="R3344" t="s">
        <v>436</v>
      </c>
    </row>
    <row r="3345" spans="1:18" hidden="1">
      <c r="A3345" t="s">
        <v>6663</v>
      </c>
      <c r="B3345" t="s">
        <v>6664</v>
      </c>
      <c r="I3345" s="3" t="str">
        <f>+IFERROR(VLOOKUP(C3345,'Mov 2023 hasta ahora '!$C$2:$D$314,2,FALSE),"NO")</f>
        <v>NO</v>
      </c>
      <c r="K3345">
        <v>4</v>
      </c>
      <c r="L3345" t="s">
        <v>836</v>
      </c>
      <c r="M3345">
        <v>14</v>
      </c>
    </row>
    <row r="3346" spans="1:18" hidden="1">
      <c r="A3346" t="s">
        <v>6665</v>
      </c>
      <c r="B3346" t="s">
        <v>6666</v>
      </c>
      <c r="I3346" s="3" t="str">
        <f>+IFERROR(VLOOKUP(C3346,'Mov 2023 hasta ahora '!$C$2:$D$314,2,FALSE),"NO")</f>
        <v>NO</v>
      </c>
      <c r="K3346">
        <v>5</v>
      </c>
      <c r="L3346" t="s">
        <v>836</v>
      </c>
      <c r="M3346">
        <v>18</v>
      </c>
    </row>
    <row r="3347" spans="1:18" hidden="1">
      <c r="A3347" s="23" t="s">
        <v>6667</v>
      </c>
      <c r="B3347" s="23" t="s">
        <v>6668</v>
      </c>
      <c r="C3347" s="23">
        <v>3079</v>
      </c>
      <c r="I3347" s="3" t="str">
        <f>+IFERROR(VLOOKUP(C3347,'Mov 2023 hasta ahora '!$C$2:$D$314,2,FALSE),"NO")</f>
        <v>NO</v>
      </c>
      <c r="K3347">
        <v>6</v>
      </c>
      <c r="L3347" t="s">
        <v>836</v>
      </c>
      <c r="M3347">
        <v>24</v>
      </c>
      <c r="O3347" s="29" t="s">
        <v>9049</v>
      </c>
      <c r="P3347" s="25" t="s">
        <v>9050</v>
      </c>
      <c r="Q3347" s="25">
        <v>1363</v>
      </c>
      <c r="R3347" t="s">
        <v>436</v>
      </c>
    </row>
    <row r="3348" spans="1:18" hidden="1">
      <c r="A3348" s="23" t="s">
        <v>6669</v>
      </c>
      <c r="B3348" s="23" t="s">
        <v>6670</v>
      </c>
      <c r="C3348" s="23">
        <v>3080</v>
      </c>
      <c r="I3348" s="3" t="str">
        <f>+IFERROR(VLOOKUP(C3348,'Mov 2023 hasta ahora '!$C$2:$D$314,2,FALSE),"NO")</f>
        <v>NO</v>
      </c>
      <c r="K3348">
        <v>6</v>
      </c>
      <c r="L3348" t="s">
        <v>836</v>
      </c>
      <c r="M3348">
        <v>24</v>
      </c>
      <c r="O3348" s="29" t="s">
        <v>9014</v>
      </c>
      <c r="P3348" s="25" t="s">
        <v>8890</v>
      </c>
      <c r="Q3348" s="25">
        <v>1244</v>
      </c>
      <c r="R3348" t="s">
        <v>436</v>
      </c>
    </row>
    <row r="3349" spans="1:18" hidden="1">
      <c r="A3349" s="23" t="s">
        <v>6671</v>
      </c>
      <c r="B3349" s="23" t="s">
        <v>6672</v>
      </c>
      <c r="C3349" s="23">
        <v>3081</v>
      </c>
      <c r="I3349" s="3" t="str">
        <f>+IFERROR(VLOOKUP(C3349,'Mov 2023 hasta ahora '!$C$2:$D$314,2,FALSE),"NO")</f>
        <v>NO</v>
      </c>
      <c r="K3349">
        <v>6</v>
      </c>
      <c r="L3349" t="s">
        <v>836</v>
      </c>
      <c r="M3349">
        <v>24</v>
      </c>
      <c r="O3349" s="29" t="s">
        <v>9059</v>
      </c>
      <c r="P3349" s="25" t="s">
        <v>9060</v>
      </c>
      <c r="Q3349" s="25">
        <v>1534</v>
      </c>
      <c r="R3349" t="s">
        <v>436</v>
      </c>
    </row>
    <row r="3350" spans="1:18" hidden="1">
      <c r="A3350" s="23" t="s">
        <v>6673</v>
      </c>
      <c r="B3350" s="23" t="s">
        <v>6674</v>
      </c>
      <c r="C3350" s="23">
        <v>3082</v>
      </c>
      <c r="I3350" s="3" t="str">
        <f>+IFERROR(VLOOKUP(C3350,'Mov 2023 hasta ahora '!$C$2:$D$314,2,FALSE),"NO")</f>
        <v>NO</v>
      </c>
      <c r="K3350">
        <v>6</v>
      </c>
      <c r="L3350" t="s">
        <v>836</v>
      </c>
      <c r="M3350">
        <v>24</v>
      </c>
      <c r="O3350" s="29" t="s">
        <v>9030</v>
      </c>
      <c r="P3350" s="25" t="s">
        <v>9029</v>
      </c>
      <c r="Q3350" s="25">
        <v>3817</v>
      </c>
      <c r="R3350" t="s">
        <v>436</v>
      </c>
    </row>
    <row r="3351" spans="1:18" hidden="1">
      <c r="A3351" s="23" t="s">
        <v>6675</v>
      </c>
      <c r="B3351" s="23" t="s">
        <v>6676</v>
      </c>
      <c r="C3351" s="23">
        <v>3083</v>
      </c>
      <c r="I3351" s="3" t="str">
        <f>+IFERROR(VLOOKUP(C3351,'Mov 2023 hasta ahora '!$C$2:$D$314,2,FALSE),"NO")</f>
        <v>NO</v>
      </c>
      <c r="K3351">
        <v>6</v>
      </c>
      <c r="L3351" t="s">
        <v>836</v>
      </c>
      <c r="M3351">
        <v>24</v>
      </c>
      <c r="O3351" s="29" t="s">
        <v>9019</v>
      </c>
      <c r="P3351" s="25" t="s">
        <v>8762</v>
      </c>
      <c r="Q3351" s="25">
        <v>1758</v>
      </c>
      <c r="R3351" t="s">
        <v>436</v>
      </c>
    </row>
    <row r="3352" spans="1:18" hidden="1">
      <c r="A3352" s="23" t="s">
        <v>6677</v>
      </c>
      <c r="B3352" s="23" t="s">
        <v>6678</v>
      </c>
      <c r="C3352" s="23">
        <v>3293</v>
      </c>
      <c r="I3352" s="3" t="str">
        <f>+IFERROR(VLOOKUP(C3352,'Mov 2023 hasta ahora '!$C$2:$D$314,2,FALSE),"NO")</f>
        <v>NO</v>
      </c>
      <c r="K3352">
        <v>6</v>
      </c>
      <c r="L3352" t="s">
        <v>836</v>
      </c>
      <c r="M3352">
        <v>24</v>
      </c>
      <c r="O3352" s="29" t="s">
        <v>9061</v>
      </c>
      <c r="P3352" s="25" t="s">
        <v>9062</v>
      </c>
      <c r="Q3352" s="25">
        <v>2671</v>
      </c>
      <c r="R3352" t="s">
        <v>436</v>
      </c>
    </row>
    <row r="3353" spans="1:18" s="13" customFormat="1" hidden="1">
      <c r="A3353" s="23" t="s">
        <v>6679</v>
      </c>
      <c r="B3353" s="23" t="s">
        <v>6680</v>
      </c>
      <c r="C3353" s="23">
        <v>3304</v>
      </c>
      <c r="G3353"/>
      <c r="I3353" s="14" t="str">
        <f>+IFERROR(VLOOKUP(C3353,'Mov 2023 hasta ahora '!$C$2:$D$314,2,FALSE),"NO")</f>
        <v>NO</v>
      </c>
      <c r="K3353">
        <v>6</v>
      </c>
      <c r="L3353" t="s">
        <v>836</v>
      </c>
      <c r="M3353">
        <v>24</v>
      </c>
      <c r="O3353" s="29" t="s">
        <v>8861</v>
      </c>
      <c r="P3353" s="25" t="s">
        <v>8868</v>
      </c>
      <c r="Q3353" s="25">
        <v>1419</v>
      </c>
      <c r="R3353" t="s">
        <v>436</v>
      </c>
    </row>
    <row r="3354" spans="1:18" hidden="1">
      <c r="A3354" t="s">
        <v>6681</v>
      </c>
      <c r="B3354" t="s">
        <v>6682</v>
      </c>
      <c r="I3354" s="3" t="str">
        <f>+IFERROR(VLOOKUP(C3354,'Mov 2023 hasta ahora '!$C$2:$D$314,2,FALSE),"NO")</f>
        <v>NO</v>
      </c>
      <c r="K3354">
        <v>5</v>
      </c>
      <c r="L3354" t="s">
        <v>836</v>
      </c>
      <c r="M3354">
        <v>18</v>
      </c>
    </row>
    <row r="3355" spans="1:18" s="13" customFormat="1" hidden="1">
      <c r="A3355" s="23" t="s">
        <v>6683</v>
      </c>
      <c r="B3355" s="23" t="s">
        <v>6684</v>
      </c>
      <c r="C3355" s="23">
        <v>3095</v>
      </c>
      <c r="G3355"/>
      <c r="I3355" s="14" t="str">
        <f>+IFERROR(VLOOKUP(C3355,'Mov 2023 hasta ahora '!$C$2:$D$314,2,FALSE),"NO")</f>
        <v>NO</v>
      </c>
      <c r="K3355">
        <v>6</v>
      </c>
      <c r="L3355" t="s">
        <v>836</v>
      </c>
      <c r="M3355">
        <v>24</v>
      </c>
      <c r="O3355" s="29" t="s">
        <v>8825</v>
      </c>
      <c r="P3355" s="25" t="s">
        <v>8832</v>
      </c>
      <c r="Q3355" s="25">
        <v>3601</v>
      </c>
      <c r="R3355" t="s">
        <v>436</v>
      </c>
    </row>
    <row r="3356" spans="1:18" s="13" customFormat="1" hidden="1">
      <c r="A3356" s="23" t="s">
        <v>6685</v>
      </c>
      <c r="B3356" s="23" t="s">
        <v>6686</v>
      </c>
      <c r="C3356" s="23">
        <v>3096</v>
      </c>
      <c r="G3356"/>
      <c r="I3356" s="14" t="str">
        <f>+IFERROR(VLOOKUP(C3356,'Mov 2023 hasta ahora '!$C$2:$D$314,2,FALSE),"NO")</f>
        <v>NO</v>
      </c>
      <c r="K3356">
        <v>6</v>
      </c>
      <c r="L3356" t="s">
        <v>836</v>
      </c>
      <c r="M3356">
        <v>24</v>
      </c>
      <c r="O3356" s="29" t="s">
        <v>8992</v>
      </c>
      <c r="P3356" s="25" t="s">
        <v>8836</v>
      </c>
      <c r="Q3356" s="25">
        <v>3603</v>
      </c>
      <c r="R3356" t="s">
        <v>436</v>
      </c>
    </row>
    <row r="3357" spans="1:18" hidden="1">
      <c r="A3357" t="s">
        <v>6687</v>
      </c>
      <c r="B3357" t="s">
        <v>1665</v>
      </c>
      <c r="I3357" s="3" t="str">
        <f>+IFERROR(VLOOKUP(C3357,'Mov 2023 hasta ahora '!$C$2:$D$314,2,FALSE),"NO")</f>
        <v>NO</v>
      </c>
      <c r="K3357">
        <v>3</v>
      </c>
      <c r="L3357" t="s">
        <v>836</v>
      </c>
      <c r="M3357">
        <v>10</v>
      </c>
    </row>
    <row r="3358" spans="1:18" hidden="1">
      <c r="A3358" t="s">
        <v>6688</v>
      </c>
      <c r="B3358" t="s">
        <v>6689</v>
      </c>
      <c r="I3358" s="3" t="str">
        <f>+IFERROR(VLOOKUP(C3358,'Mov 2023 hasta ahora '!$C$2:$D$314,2,FALSE),"NO")</f>
        <v>NO</v>
      </c>
      <c r="K3358">
        <v>4</v>
      </c>
      <c r="L3358" t="s">
        <v>836</v>
      </c>
      <c r="M3358">
        <v>14</v>
      </c>
    </row>
    <row r="3359" spans="1:18" hidden="1">
      <c r="A3359" t="s">
        <v>6690</v>
      </c>
      <c r="B3359" t="s">
        <v>6691</v>
      </c>
      <c r="I3359" s="3" t="str">
        <f>+IFERROR(VLOOKUP(C3359,'Mov 2023 hasta ahora '!$C$2:$D$314,2,FALSE),"NO")</f>
        <v>NO</v>
      </c>
      <c r="K3359">
        <v>5</v>
      </c>
      <c r="L3359" t="s">
        <v>836</v>
      </c>
      <c r="M3359">
        <v>18</v>
      </c>
    </row>
    <row r="3360" spans="1:18" hidden="1">
      <c r="A3360" s="23" t="s">
        <v>6692</v>
      </c>
      <c r="B3360" s="23" t="s">
        <v>6693</v>
      </c>
      <c r="C3360" s="23">
        <v>3173</v>
      </c>
      <c r="I3360" s="3" t="str">
        <f>+IFERROR(VLOOKUP(C3360,'Mov 2023 hasta ahora '!$C$2:$D$314,2,FALSE),"NO")</f>
        <v>NO</v>
      </c>
      <c r="K3360">
        <v>6</v>
      </c>
      <c r="L3360" t="s">
        <v>836</v>
      </c>
      <c r="M3360">
        <v>24</v>
      </c>
      <c r="O3360" s="29" t="s">
        <v>8742</v>
      </c>
      <c r="P3360" s="25" t="s">
        <v>9063</v>
      </c>
      <c r="Q3360" s="25">
        <v>176</v>
      </c>
      <c r="R3360" t="s">
        <v>436</v>
      </c>
    </row>
    <row r="3361" spans="1:18" hidden="1">
      <c r="A3361" s="23" t="s">
        <v>6694</v>
      </c>
      <c r="B3361" s="23" t="s">
        <v>6695</v>
      </c>
      <c r="C3361" s="23">
        <v>3202</v>
      </c>
      <c r="I3361" s="3" t="str">
        <f>+IFERROR(VLOOKUP(C3361,'Mov 2023 hasta ahora '!$C$2:$D$314,2,FALSE),"NO")</f>
        <v>NO</v>
      </c>
      <c r="K3361">
        <v>6</v>
      </c>
      <c r="L3361" t="s">
        <v>836</v>
      </c>
      <c r="M3361">
        <v>24</v>
      </c>
      <c r="O3361" s="29" t="s">
        <v>9057</v>
      </c>
      <c r="P3361" s="25" t="s">
        <v>9058</v>
      </c>
      <c r="Q3361" s="25">
        <v>3212</v>
      </c>
      <c r="R3361" t="s">
        <v>436</v>
      </c>
    </row>
    <row r="3362" spans="1:18" hidden="1">
      <c r="A3362" t="s">
        <v>6696</v>
      </c>
      <c r="B3362" t="s">
        <v>6697</v>
      </c>
      <c r="I3362" s="3" t="str">
        <f>+IFERROR(VLOOKUP(C3362,'Mov 2023 hasta ahora '!$C$2:$D$314,2,FALSE),"NO")</f>
        <v>NO</v>
      </c>
      <c r="K3362">
        <v>4</v>
      </c>
      <c r="L3362" t="s">
        <v>836</v>
      </c>
      <c r="M3362">
        <v>14</v>
      </c>
    </row>
    <row r="3363" spans="1:18" hidden="1">
      <c r="A3363" t="s">
        <v>6698</v>
      </c>
      <c r="B3363" t="s">
        <v>6699</v>
      </c>
      <c r="I3363" s="3" t="str">
        <f>+IFERROR(VLOOKUP(C3363,'Mov 2023 hasta ahora '!$C$2:$D$314,2,FALSE),"NO")</f>
        <v>NO</v>
      </c>
      <c r="K3363">
        <v>5</v>
      </c>
      <c r="L3363" t="s">
        <v>836</v>
      </c>
      <c r="M3363">
        <v>18</v>
      </c>
    </row>
    <row r="3364" spans="1:18" s="13" customFormat="1" hidden="1">
      <c r="A3364" s="23" t="s">
        <v>6700</v>
      </c>
      <c r="B3364" s="23" t="s">
        <v>6701</v>
      </c>
      <c r="C3364" s="23">
        <v>3174</v>
      </c>
      <c r="G3364"/>
      <c r="I3364" s="14" t="str">
        <f>+IFERROR(VLOOKUP(C3364,'Mov 2023 hasta ahora '!$C$2:$D$314,2,FALSE),"NO")</f>
        <v>NO</v>
      </c>
      <c r="K3364">
        <v>6</v>
      </c>
      <c r="L3364" t="s">
        <v>836</v>
      </c>
      <c r="M3364">
        <v>24</v>
      </c>
      <c r="O3364" s="29" t="s">
        <v>8746</v>
      </c>
      <c r="P3364" s="25" t="s">
        <v>9054</v>
      </c>
      <c r="Q3364" s="25">
        <v>185</v>
      </c>
      <c r="R3364" t="s">
        <v>436</v>
      </c>
    </row>
    <row r="3365" spans="1:18" s="13" customFormat="1" hidden="1">
      <c r="A3365" s="23" t="s">
        <v>6702</v>
      </c>
      <c r="B3365" s="23" t="s">
        <v>6703</v>
      </c>
      <c r="C3365" s="23">
        <v>3175</v>
      </c>
      <c r="G3365"/>
      <c r="I3365" s="14" t="str">
        <f>+IFERROR(VLOOKUP(C3365,'Mov 2023 hasta ahora '!$C$2:$D$314,2,FALSE),"NO")</f>
        <v>NO</v>
      </c>
      <c r="K3365">
        <v>6</v>
      </c>
      <c r="L3365" t="s">
        <v>836</v>
      </c>
      <c r="M3365">
        <v>24</v>
      </c>
      <c r="O3365" s="29" t="s">
        <v>8748</v>
      </c>
      <c r="P3365" s="25" t="s">
        <v>9055</v>
      </c>
      <c r="Q3365" s="25">
        <v>193</v>
      </c>
      <c r="R3365" t="s">
        <v>436</v>
      </c>
    </row>
    <row r="3366" spans="1:18" s="13" customFormat="1" hidden="1">
      <c r="A3366" s="23" t="s">
        <v>6704</v>
      </c>
      <c r="B3366" s="23" t="s">
        <v>6705</v>
      </c>
      <c r="C3366" s="23">
        <v>3176</v>
      </c>
      <c r="G3366"/>
      <c r="I3366" s="14" t="str">
        <f>+IFERROR(VLOOKUP(C3366,'Mov 2023 hasta ahora '!$C$2:$D$314,2,FALSE),"NO")</f>
        <v>NO</v>
      </c>
      <c r="K3366">
        <v>6</v>
      </c>
      <c r="L3366" t="s">
        <v>836</v>
      </c>
      <c r="M3366">
        <v>24</v>
      </c>
      <c r="O3366" s="29" t="s">
        <v>8749</v>
      </c>
      <c r="P3366" s="25" t="s">
        <v>9056</v>
      </c>
      <c r="Q3366" s="25">
        <v>202</v>
      </c>
      <c r="R3366" t="s">
        <v>436</v>
      </c>
    </row>
    <row r="3367" spans="1:18" hidden="1">
      <c r="A3367" s="23" t="s">
        <v>6706</v>
      </c>
      <c r="B3367" s="23" t="s">
        <v>6707</v>
      </c>
      <c r="C3367" s="23">
        <v>3177</v>
      </c>
      <c r="I3367" s="3" t="str">
        <f>+IFERROR(VLOOKUP(C3367,'Mov 2023 hasta ahora '!$C$2:$D$314,2,FALSE),"NO")</f>
        <v>NO</v>
      </c>
      <c r="K3367">
        <v>6</v>
      </c>
      <c r="L3367" t="s">
        <v>836</v>
      </c>
      <c r="M3367">
        <v>24</v>
      </c>
      <c r="O3367" s="29" t="s">
        <v>8750</v>
      </c>
      <c r="P3367" s="25" t="s">
        <v>8968</v>
      </c>
      <c r="Q3367" s="25">
        <v>1351</v>
      </c>
      <c r="R3367" t="s">
        <v>436</v>
      </c>
    </row>
    <row r="3368" spans="1:18" hidden="1">
      <c r="A3368" t="s">
        <v>6708</v>
      </c>
      <c r="B3368" t="s">
        <v>6709</v>
      </c>
      <c r="I3368" s="3" t="str">
        <f>+IFERROR(VLOOKUP(C3368,'Mov 2023 hasta ahora '!$C$2:$D$314,2,FALSE),"NO")</f>
        <v>NO</v>
      </c>
      <c r="K3368">
        <v>4</v>
      </c>
      <c r="L3368" t="s">
        <v>836</v>
      </c>
      <c r="M3368">
        <v>14</v>
      </c>
    </row>
    <row r="3369" spans="1:18" hidden="1">
      <c r="A3369" t="s">
        <v>6710</v>
      </c>
      <c r="B3369" t="s">
        <v>6711</v>
      </c>
      <c r="I3369" s="3" t="str">
        <f>+IFERROR(VLOOKUP(C3369,'Mov 2023 hasta ahora '!$C$2:$D$314,2,FALSE),"NO")</f>
        <v>NO</v>
      </c>
      <c r="K3369">
        <v>5</v>
      </c>
      <c r="L3369" t="s">
        <v>836</v>
      </c>
      <c r="M3369">
        <v>18</v>
      </c>
    </row>
    <row r="3370" spans="1:18" hidden="1">
      <c r="A3370" s="23" t="s">
        <v>6712</v>
      </c>
      <c r="B3370" s="23" t="s">
        <v>6713</v>
      </c>
      <c r="C3370" s="23">
        <v>3178</v>
      </c>
      <c r="I3370" s="3" t="str">
        <f>+IFERROR(VLOOKUP(C3370,'Mov 2023 hasta ahora '!$C$2:$D$314,2,FALSE),"NO")</f>
        <v>NO</v>
      </c>
      <c r="K3370">
        <v>6</v>
      </c>
      <c r="L3370" t="s">
        <v>836</v>
      </c>
      <c r="M3370">
        <v>24</v>
      </c>
      <c r="O3370" s="29" t="s">
        <v>9013</v>
      </c>
      <c r="P3370" s="25" t="s">
        <v>8756</v>
      </c>
      <c r="Q3370" s="25">
        <v>212</v>
      </c>
      <c r="R3370" t="s">
        <v>436</v>
      </c>
    </row>
    <row r="3371" spans="1:18" hidden="1">
      <c r="A3371" t="s">
        <v>6714</v>
      </c>
      <c r="B3371" t="s">
        <v>6715</v>
      </c>
      <c r="I3371" s="3" t="str">
        <f>+IFERROR(VLOOKUP(C3371,'Mov 2023 hasta ahora '!$C$2:$D$314,2,FALSE),"NO")</f>
        <v>NO</v>
      </c>
      <c r="K3371">
        <v>4</v>
      </c>
      <c r="L3371" t="s">
        <v>836</v>
      </c>
      <c r="M3371">
        <v>14</v>
      </c>
    </row>
    <row r="3372" spans="1:18" hidden="1">
      <c r="A3372" t="s">
        <v>6716</v>
      </c>
      <c r="B3372" t="s">
        <v>6717</v>
      </c>
      <c r="I3372" s="3" t="str">
        <f>+IFERROR(VLOOKUP(C3372,'Mov 2023 hasta ahora '!$C$2:$D$314,2,FALSE),"NO")</f>
        <v>NO</v>
      </c>
      <c r="K3372">
        <v>5</v>
      </c>
      <c r="L3372" t="s">
        <v>836</v>
      </c>
      <c r="M3372">
        <v>18</v>
      </c>
    </row>
    <row r="3373" spans="1:18" s="15" customFormat="1" hidden="1">
      <c r="A3373" s="23" t="s">
        <v>6718</v>
      </c>
      <c r="B3373" s="23" t="s">
        <v>6719</v>
      </c>
      <c r="C3373" s="23">
        <v>3181</v>
      </c>
      <c r="G3373"/>
      <c r="I3373" s="16" t="str">
        <f>+IFERROR(VLOOKUP(C3373,'Mov 2023 hasta ahora '!$C$2:$D$314,2,FALSE),"NO")</f>
        <v>NO</v>
      </c>
      <c r="K3373">
        <v>6</v>
      </c>
      <c r="L3373" t="s">
        <v>836</v>
      </c>
      <c r="M3373">
        <v>24</v>
      </c>
      <c r="O3373" s="29" t="s">
        <v>8864</v>
      </c>
      <c r="P3373" s="25" t="s">
        <v>8979</v>
      </c>
      <c r="Q3373" s="25">
        <v>2177</v>
      </c>
      <c r="R3373" t="s">
        <v>436</v>
      </c>
    </row>
    <row r="3374" spans="1:18" s="15" customFormat="1" hidden="1">
      <c r="A3374" s="23" t="s">
        <v>6720</v>
      </c>
      <c r="B3374" s="23" t="s">
        <v>6721</v>
      </c>
      <c r="C3374" s="23">
        <v>3179</v>
      </c>
      <c r="G3374"/>
      <c r="I3374" s="16" t="str">
        <f>+IFERROR(VLOOKUP(C3374,'Mov 2023 hasta ahora '!$C$2:$D$314,2,FALSE),"NO")</f>
        <v>NO</v>
      </c>
      <c r="K3374">
        <v>6</v>
      </c>
      <c r="L3374" t="s">
        <v>836</v>
      </c>
      <c r="M3374">
        <v>24</v>
      </c>
      <c r="O3374" s="29" t="s">
        <v>8793</v>
      </c>
      <c r="P3374" s="25" t="s">
        <v>8975</v>
      </c>
      <c r="Q3374" s="25">
        <v>1616</v>
      </c>
      <c r="R3374" t="s">
        <v>436</v>
      </c>
    </row>
    <row r="3375" spans="1:18" s="15" customFormat="1" hidden="1">
      <c r="A3375" s="23" t="s">
        <v>6722</v>
      </c>
      <c r="B3375" s="23" t="s">
        <v>6723</v>
      </c>
      <c r="C3375" s="23">
        <v>3180</v>
      </c>
      <c r="G3375"/>
      <c r="I3375" s="16" t="str">
        <f>+IFERROR(VLOOKUP(C3375,'Mov 2023 hasta ahora '!$C$2:$D$314,2,FALSE),"NO")</f>
        <v>NO</v>
      </c>
      <c r="K3375">
        <v>6</v>
      </c>
      <c r="L3375" t="s">
        <v>836</v>
      </c>
      <c r="M3375">
        <v>24</v>
      </c>
      <c r="O3375" s="29" t="s">
        <v>8793</v>
      </c>
      <c r="P3375" s="25" t="s">
        <v>8975</v>
      </c>
      <c r="Q3375" s="25">
        <v>1616</v>
      </c>
      <c r="R3375" t="s">
        <v>436</v>
      </c>
    </row>
    <row r="3376" spans="1:18" s="15" customFormat="1" hidden="1">
      <c r="A3376" s="23" t="s">
        <v>6724</v>
      </c>
      <c r="B3376" s="23" t="s">
        <v>6725</v>
      </c>
      <c r="C3376" s="23">
        <v>3213</v>
      </c>
      <c r="G3376"/>
      <c r="I3376" s="16" t="str">
        <f>+IFERROR(VLOOKUP(C3376,'Mov 2023 hasta ahora '!$C$2:$D$314,2,FALSE),"NO")</f>
        <v>NO</v>
      </c>
      <c r="K3376">
        <v>6</v>
      </c>
      <c r="L3376" t="s">
        <v>836</v>
      </c>
      <c r="M3376">
        <v>24</v>
      </c>
      <c r="O3376" s="29" t="s">
        <v>8802</v>
      </c>
      <c r="P3376" s="25" t="s">
        <v>8976</v>
      </c>
      <c r="Q3376" s="25">
        <v>3222</v>
      </c>
      <c r="R3376" t="s">
        <v>436</v>
      </c>
    </row>
    <row r="3377" spans="1:18" s="15" customFormat="1" hidden="1">
      <c r="A3377" s="23" t="s">
        <v>6726</v>
      </c>
      <c r="B3377" s="23" t="s">
        <v>6727</v>
      </c>
      <c r="C3377" s="23">
        <v>3224</v>
      </c>
      <c r="G3377"/>
      <c r="I3377" s="16" t="str">
        <f>+IFERROR(VLOOKUP(C3377,'Mov 2023 hasta ahora '!$C$2:$D$314,2,FALSE),"NO")</f>
        <v>NO</v>
      </c>
      <c r="K3377">
        <v>6</v>
      </c>
      <c r="L3377" t="s">
        <v>836</v>
      </c>
      <c r="M3377">
        <v>24</v>
      </c>
      <c r="O3377" s="29" t="s">
        <v>8833</v>
      </c>
      <c r="P3377" s="25" t="s">
        <v>8977</v>
      </c>
      <c r="Q3377" s="25">
        <v>3233</v>
      </c>
      <c r="R3377" t="s">
        <v>436</v>
      </c>
    </row>
    <row r="3378" spans="1:18" s="15" customFormat="1" hidden="1">
      <c r="A3378" s="23" t="s">
        <v>6728</v>
      </c>
      <c r="B3378" s="23" t="s">
        <v>6729</v>
      </c>
      <c r="C3378" s="23">
        <v>3235</v>
      </c>
      <c r="G3378"/>
      <c r="I3378" s="16" t="str">
        <f>+IFERROR(VLOOKUP(C3378,'Mov 2023 hasta ahora '!$C$2:$D$314,2,FALSE),"NO")</f>
        <v>NO</v>
      </c>
      <c r="K3378">
        <v>6</v>
      </c>
      <c r="L3378" t="s">
        <v>836</v>
      </c>
      <c r="M3378">
        <v>24</v>
      </c>
      <c r="O3378" s="29" t="s">
        <v>8755</v>
      </c>
      <c r="P3378" s="25" t="s">
        <v>8978</v>
      </c>
      <c r="Q3378" s="25">
        <v>3244</v>
      </c>
      <c r="R3378" t="s">
        <v>436</v>
      </c>
    </row>
    <row r="3379" spans="1:18" hidden="1">
      <c r="A3379" t="s">
        <v>6730</v>
      </c>
      <c r="B3379" t="s">
        <v>6731</v>
      </c>
      <c r="I3379" s="3" t="str">
        <f>+IFERROR(VLOOKUP(C3379,'Mov 2023 hasta ahora '!$C$2:$D$314,2,FALSE),"NO")</f>
        <v>NO</v>
      </c>
      <c r="K3379">
        <v>5</v>
      </c>
      <c r="L3379" t="s">
        <v>836</v>
      </c>
      <c r="M3379">
        <v>18</v>
      </c>
    </row>
    <row r="3380" spans="1:18" hidden="1">
      <c r="A3380" s="23" t="s">
        <v>6732</v>
      </c>
      <c r="B3380" s="23" t="s">
        <v>6733</v>
      </c>
      <c r="C3380" s="23">
        <v>3182</v>
      </c>
      <c r="I3380" s="3" t="str">
        <f>+IFERROR(VLOOKUP(C3380,'Mov 2023 hasta ahora '!$C$2:$D$314,2,FALSE),"NO")</f>
        <v>NO</v>
      </c>
      <c r="K3380">
        <v>6</v>
      </c>
      <c r="L3380" t="s">
        <v>836</v>
      </c>
      <c r="M3380">
        <v>24</v>
      </c>
      <c r="O3380" s="29" t="s">
        <v>8794</v>
      </c>
      <c r="P3380" s="25" t="s">
        <v>8982</v>
      </c>
      <c r="Q3380" s="25">
        <v>1441</v>
      </c>
      <c r="R3380" t="s">
        <v>436</v>
      </c>
    </row>
    <row r="3381" spans="1:18" hidden="1">
      <c r="A3381" s="23" t="s">
        <v>6734</v>
      </c>
      <c r="B3381" s="23" t="s">
        <v>6735</v>
      </c>
      <c r="C3381" s="23">
        <v>3183</v>
      </c>
      <c r="I3381" s="3" t="str">
        <f>+IFERROR(VLOOKUP(C3381,'Mov 2023 hasta ahora '!$C$2:$D$314,2,FALSE),"NO")</f>
        <v>NO</v>
      </c>
      <c r="K3381">
        <v>6</v>
      </c>
      <c r="L3381" t="s">
        <v>836</v>
      </c>
      <c r="M3381">
        <v>24</v>
      </c>
      <c r="O3381" s="29" t="s">
        <v>8809</v>
      </c>
      <c r="P3381" s="25" t="s">
        <v>8983</v>
      </c>
      <c r="Q3381" s="25">
        <v>1448</v>
      </c>
      <c r="R3381" t="s">
        <v>436</v>
      </c>
    </row>
    <row r="3382" spans="1:18" hidden="1">
      <c r="A3382" t="s">
        <v>6736</v>
      </c>
      <c r="B3382" t="s">
        <v>6737</v>
      </c>
      <c r="I3382" s="3" t="str">
        <f>+IFERROR(VLOOKUP(C3382,'Mov 2023 hasta ahora '!$C$2:$D$314,2,FALSE),"NO")</f>
        <v>NO</v>
      </c>
      <c r="K3382">
        <v>4</v>
      </c>
      <c r="L3382" t="s">
        <v>836</v>
      </c>
      <c r="M3382">
        <v>14</v>
      </c>
    </row>
    <row r="3383" spans="1:18" hidden="1">
      <c r="A3383" t="s">
        <v>6738</v>
      </c>
      <c r="B3383" t="s">
        <v>6739</v>
      </c>
      <c r="I3383" s="3" t="str">
        <f>+IFERROR(VLOOKUP(C3383,'Mov 2023 hasta ahora '!$C$2:$D$314,2,FALSE),"NO")</f>
        <v>NO</v>
      </c>
      <c r="K3383">
        <v>5</v>
      </c>
      <c r="L3383" t="s">
        <v>836</v>
      </c>
      <c r="M3383">
        <v>18</v>
      </c>
    </row>
    <row r="3384" spans="1:18" s="13" customFormat="1" hidden="1">
      <c r="A3384" s="23" t="s">
        <v>6740</v>
      </c>
      <c r="B3384" s="23" t="s">
        <v>6741</v>
      </c>
      <c r="C3384" s="23">
        <v>3184</v>
      </c>
      <c r="G3384"/>
      <c r="I3384" s="14" t="str">
        <f>+IFERROR(VLOOKUP(C3384,'Mov 2023 hasta ahora '!$C$2:$D$314,2,FALSE),"NO")</f>
        <v>NO</v>
      </c>
      <c r="K3384">
        <v>6</v>
      </c>
      <c r="L3384" t="s">
        <v>836</v>
      </c>
      <c r="M3384">
        <v>24</v>
      </c>
      <c r="O3384" s="29" t="s">
        <v>8857</v>
      </c>
      <c r="P3384" s="25" t="s">
        <v>8980</v>
      </c>
      <c r="Q3384" s="25">
        <v>2178</v>
      </c>
      <c r="R3384" t="s">
        <v>436</v>
      </c>
    </row>
    <row r="3385" spans="1:18" s="13" customFormat="1" hidden="1">
      <c r="A3385" s="23" t="s">
        <v>6742</v>
      </c>
      <c r="B3385" s="23" t="s">
        <v>6743</v>
      </c>
      <c r="C3385" s="23">
        <v>3185</v>
      </c>
      <c r="G3385"/>
      <c r="I3385" s="14" t="str">
        <f>+IFERROR(VLOOKUP(C3385,'Mov 2023 hasta ahora '!$C$2:$D$314,2,FALSE),"NO")</f>
        <v>NO</v>
      </c>
      <c r="K3385">
        <v>6</v>
      </c>
      <c r="L3385" t="s">
        <v>836</v>
      </c>
      <c r="M3385">
        <v>24</v>
      </c>
      <c r="O3385" s="29" t="s">
        <v>8846</v>
      </c>
      <c r="P3385" s="25" t="s">
        <v>8981</v>
      </c>
      <c r="Q3385" s="25">
        <v>2179</v>
      </c>
      <c r="R3385" t="s">
        <v>436</v>
      </c>
    </row>
    <row r="3386" spans="1:18" s="13" customFormat="1" hidden="1">
      <c r="A3386" s="23" t="s">
        <v>6744</v>
      </c>
      <c r="B3386" s="23" t="s">
        <v>6745</v>
      </c>
      <c r="C3386" s="23">
        <v>3186</v>
      </c>
      <c r="G3386"/>
      <c r="I3386" s="14" t="str">
        <f>+IFERROR(VLOOKUP(C3386,'Mov 2023 hasta ahora '!$C$2:$D$314,2,FALSE),"NO")</f>
        <v>NO</v>
      </c>
      <c r="K3386">
        <v>6</v>
      </c>
      <c r="L3386" t="s">
        <v>836</v>
      </c>
      <c r="M3386">
        <v>24</v>
      </c>
      <c r="O3386" s="29" t="s">
        <v>8846</v>
      </c>
      <c r="P3386" s="25" t="s">
        <v>8981</v>
      </c>
      <c r="Q3386" s="25">
        <v>2179</v>
      </c>
      <c r="R3386" t="s">
        <v>436</v>
      </c>
    </row>
    <row r="3387" spans="1:18" s="13" customFormat="1" hidden="1">
      <c r="A3387" s="23" t="s">
        <v>6746</v>
      </c>
      <c r="B3387" s="23" t="s">
        <v>6747</v>
      </c>
      <c r="C3387" s="23">
        <v>3187</v>
      </c>
      <c r="G3387"/>
      <c r="I3387" s="14" t="str">
        <f>+IFERROR(VLOOKUP(C3387,'Mov 2023 hasta ahora '!$C$2:$D$314,2,FALSE),"NO")</f>
        <v>NO</v>
      </c>
      <c r="K3387">
        <v>6</v>
      </c>
      <c r="L3387" t="s">
        <v>836</v>
      </c>
      <c r="M3387">
        <v>24</v>
      </c>
      <c r="O3387" s="29" t="s">
        <v>8794</v>
      </c>
      <c r="P3387" s="25" t="s">
        <v>8982</v>
      </c>
      <c r="Q3387" s="25">
        <v>1441</v>
      </c>
      <c r="R3387" t="s">
        <v>436</v>
      </c>
    </row>
    <row r="3388" spans="1:18" s="13" customFormat="1" hidden="1">
      <c r="A3388" s="23" t="s">
        <v>6748</v>
      </c>
      <c r="B3388" s="23" t="s">
        <v>6749</v>
      </c>
      <c r="C3388" s="23">
        <v>3188</v>
      </c>
      <c r="G3388"/>
      <c r="I3388" s="14" t="str">
        <f>+IFERROR(VLOOKUP(C3388,'Mov 2023 hasta ahora '!$C$2:$D$314,2,FALSE),"NO")</f>
        <v>NO</v>
      </c>
      <c r="K3388">
        <v>6</v>
      </c>
      <c r="L3388" t="s">
        <v>836</v>
      </c>
      <c r="M3388">
        <v>24</v>
      </c>
      <c r="O3388" s="29" t="s">
        <v>8809</v>
      </c>
      <c r="P3388" s="25" t="s">
        <v>8983</v>
      </c>
      <c r="Q3388" s="25">
        <v>1448</v>
      </c>
      <c r="R3388" t="s">
        <v>436</v>
      </c>
    </row>
    <row r="3389" spans="1:18" s="13" customFormat="1" hidden="1">
      <c r="A3389" s="23" t="s">
        <v>6750</v>
      </c>
      <c r="B3389" s="23" t="s">
        <v>6751</v>
      </c>
      <c r="C3389" s="23">
        <v>3246</v>
      </c>
      <c r="G3389"/>
      <c r="I3389" s="14" t="str">
        <f>+IFERROR(VLOOKUP(C3389,'Mov 2023 hasta ahora '!$C$2:$D$314,2,FALSE),"NO")</f>
        <v>NO</v>
      </c>
      <c r="K3389">
        <v>6</v>
      </c>
      <c r="L3389" t="s">
        <v>836</v>
      </c>
      <c r="M3389">
        <v>24</v>
      </c>
      <c r="O3389" s="29" t="s">
        <v>8857</v>
      </c>
      <c r="P3389" s="25" t="s">
        <v>8980</v>
      </c>
      <c r="Q3389" s="25">
        <v>2178</v>
      </c>
      <c r="R3389" t="s">
        <v>436</v>
      </c>
    </row>
    <row r="3390" spans="1:18" s="13" customFormat="1" hidden="1">
      <c r="A3390" s="23" t="s">
        <v>6752</v>
      </c>
      <c r="B3390" s="23" t="s">
        <v>6753</v>
      </c>
      <c r="C3390" s="23">
        <v>3257</v>
      </c>
      <c r="G3390"/>
      <c r="I3390" s="14" t="str">
        <f>+IFERROR(VLOOKUP(C3390,'Mov 2023 hasta ahora '!$C$2:$D$314,2,FALSE),"NO")</f>
        <v>NO</v>
      </c>
      <c r="K3390">
        <v>6</v>
      </c>
      <c r="L3390" t="s">
        <v>836</v>
      </c>
      <c r="M3390">
        <v>24</v>
      </c>
      <c r="O3390" s="29" t="s">
        <v>8857</v>
      </c>
      <c r="P3390" s="25" t="s">
        <v>8980</v>
      </c>
      <c r="Q3390" s="25">
        <v>2178</v>
      </c>
      <c r="R3390" t="s">
        <v>436</v>
      </c>
    </row>
    <row r="3391" spans="1:18" s="13" customFormat="1" hidden="1">
      <c r="A3391" s="23" t="s">
        <v>6754</v>
      </c>
      <c r="B3391" s="23" t="s">
        <v>6755</v>
      </c>
      <c r="C3391" s="23">
        <v>3268</v>
      </c>
      <c r="G3391"/>
      <c r="I3391" s="14" t="str">
        <f>+IFERROR(VLOOKUP(C3391,'Mov 2023 hasta ahora '!$C$2:$D$314,2,FALSE),"NO")</f>
        <v>NO</v>
      </c>
      <c r="K3391">
        <v>6</v>
      </c>
      <c r="L3391" t="s">
        <v>836</v>
      </c>
      <c r="M3391">
        <v>24</v>
      </c>
      <c r="O3391" s="29" t="s">
        <v>8857</v>
      </c>
      <c r="P3391" s="25" t="s">
        <v>8980</v>
      </c>
      <c r="Q3391" s="25">
        <v>2178</v>
      </c>
      <c r="R3391" t="s">
        <v>436</v>
      </c>
    </row>
    <row r="3392" spans="1:18" s="13" customFormat="1" hidden="1">
      <c r="A3392" s="23" t="s">
        <v>6756</v>
      </c>
      <c r="B3392" s="23" t="s">
        <v>6757</v>
      </c>
      <c r="C3392" s="23">
        <v>3279</v>
      </c>
      <c r="G3392"/>
      <c r="I3392" s="14" t="str">
        <f>+IFERROR(VLOOKUP(C3392,'Mov 2023 hasta ahora '!$C$2:$D$314,2,FALSE),"NO")</f>
        <v>NO</v>
      </c>
      <c r="K3392">
        <v>6</v>
      </c>
      <c r="L3392" t="s">
        <v>836</v>
      </c>
      <c r="M3392">
        <v>24</v>
      </c>
      <c r="O3392" s="29" t="s">
        <v>8857</v>
      </c>
      <c r="P3392" s="25" t="s">
        <v>8980</v>
      </c>
      <c r="Q3392" s="25">
        <v>2178</v>
      </c>
      <c r="R3392" t="s">
        <v>436</v>
      </c>
    </row>
    <row r="3393" spans="1:18" hidden="1">
      <c r="A3393" t="s">
        <v>6758</v>
      </c>
      <c r="B3393" t="s">
        <v>6759</v>
      </c>
      <c r="I3393" s="3" t="str">
        <f>+IFERROR(VLOOKUP(C3393,'Mov 2023 hasta ahora '!$C$2:$D$314,2,FALSE),"NO")</f>
        <v>NO</v>
      </c>
      <c r="K3393">
        <v>4</v>
      </c>
      <c r="L3393" t="s">
        <v>836</v>
      </c>
      <c r="M3393">
        <v>14</v>
      </c>
    </row>
    <row r="3394" spans="1:18" hidden="1">
      <c r="A3394" t="s">
        <v>6760</v>
      </c>
      <c r="B3394" t="s">
        <v>6761</v>
      </c>
      <c r="I3394" s="3" t="str">
        <f>+IFERROR(VLOOKUP(C3394,'Mov 2023 hasta ahora '!$C$2:$D$314,2,FALSE),"NO")</f>
        <v>NO</v>
      </c>
      <c r="K3394">
        <v>5</v>
      </c>
      <c r="L3394" t="s">
        <v>836</v>
      </c>
      <c r="M3394">
        <v>18</v>
      </c>
    </row>
    <row r="3395" spans="1:18" s="13" customFormat="1" hidden="1">
      <c r="A3395" s="23" t="s">
        <v>6762</v>
      </c>
      <c r="B3395" s="23" t="s">
        <v>6763</v>
      </c>
      <c r="C3395" s="23">
        <v>3189</v>
      </c>
      <c r="G3395"/>
      <c r="I3395" s="14" t="str">
        <f>+IFERROR(VLOOKUP(C3395,'Mov 2023 hasta ahora '!$C$2:$D$314,2,FALSE),"NO")</f>
        <v>NO</v>
      </c>
      <c r="K3395">
        <v>6</v>
      </c>
      <c r="L3395" t="s">
        <v>836</v>
      </c>
      <c r="M3395">
        <v>24</v>
      </c>
      <c r="O3395" s="29" t="s">
        <v>8867</v>
      </c>
      <c r="P3395" s="25" t="s">
        <v>8987</v>
      </c>
      <c r="Q3395" s="25">
        <v>456</v>
      </c>
      <c r="R3395" t="s">
        <v>436</v>
      </c>
    </row>
    <row r="3396" spans="1:18" s="13" customFormat="1" hidden="1">
      <c r="A3396" s="23" t="s">
        <v>6764</v>
      </c>
      <c r="B3396" s="23" t="s">
        <v>6765</v>
      </c>
      <c r="C3396" s="23">
        <v>3190</v>
      </c>
      <c r="G3396"/>
      <c r="I3396" s="14" t="str">
        <f>+IFERROR(VLOOKUP(C3396,'Mov 2023 hasta ahora '!$C$2:$D$314,2,FALSE),"NO")</f>
        <v>NO</v>
      </c>
      <c r="K3396">
        <v>6</v>
      </c>
      <c r="L3396" t="s">
        <v>836</v>
      </c>
      <c r="M3396">
        <v>24</v>
      </c>
      <c r="O3396" s="29" t="s">
        <v>8853</v>
      </c>
      <c r="P3396" s="25" t="s">
        <v>8986</v>
      </c>
      <c r="Q3396" s="25">
        <v>366</v>
      </c>
      <c r="R3396" t="s">
        <v>436</v>
      </c>
    </row>
    <row r="3397" spans="1:18" s="13" customFormat="1" hidden="1">
      <c r="A3397" s="23" t="s">
        <v>6766</v>
      </c>
      <c r="B3397" s="23" t="s">
        <v>6767</v>
      </c>
      <c r="C3397" s="23">
        <v>3191</v>
      </c>
      <c r="G3397"/>
      <c r="I3397" s="14" t="str">
        <f>+IFERROR(VLOOKUP(C3397,'Mov 2023 hasta ahora '!$C$2:$D$314,2,FALSE),"NO")</f>
        <v>NO</v>
      </c>
      <c r="K3397">
        <v>6</v>
      </c>
      <c r="L3397" t="s">
        <v>836</v>
      </c>
      <c r="M3397">
        <v>24</v>
      </c>
      <c r="O3397" s="29" t="s">
        <v>8853</v>
      </c>
      <c r="P3397" s="25" t="s">
        <v>8986</v>
      </c>
      <c r="Q3397" s="25">
        <v>366</v>
      </c>
      <c r="R3397" t="s">
        <v>436</v>
      </c>
    </row>
    <row r="3398" spans="1:18" hidden="1">
      <c r="A3398" t="s">
        <v>6768</v>
      </c>
      <c r="B3398" t="s">
        <v>6769</v>
      </c>
      <c r="I3398" s="3" t="str">
        <f>+IFERROR(VLOOKUP(C3398,'Mov 2023 hasta ahora '!$C$2:$D$314,2,FALSE),"NO")</f>
        <v>NO</v>
      </c>
      <c r="K3398">
        <v>5</v>
      </c>
      <c r="L3398" t="s">
        <v>836</v>
      </c>
      <c r="M3398">
        <v>18</v>
      </c>
    </row>
    <row r="3399" spans="1:18" s="13" customFormat="1" hidden="1">
      <c r="A3399" s="23" t="s">
        <v>6770</v>
      </c>
      <c r="B3399" s="23" t="s">
        <v>6771</v>
      </c>
      <c r="C3399" s="23">
        <v>3192</v>
      </c>
      <c r="G3399"/>
      <c r="I3399" s="14" t="str">
        <f>+IFERROR(VLOOKUP(C3399,'Mov 2023 hasta ahora '!$C$2:$D$314,2,FALSE),"NO")</f>
        <v>NO</v>
      </c>
      <c r="K3399">
        <v>6</v>
      </c>
      <c r="L3399" t="s">
        <v>836</v>
      </c>
      <c r="M3399">
        <v>24</v>
      </c>
      <c r="O3399" s="29" t="s">
        <v>8800</v>
      </c>
      <c r="P3399" s="25" t="s">
        <v>8988</v>
      </c>
      <c r="Q3399" s="25">
        <v>1457</v>
      </c>
      <c r="R3399" t="s">
        <v>436</v>
      </c>
    </row>
    <row r="3400" spans="1:18" s="13" customFormat="1" hidden="1">
      <c r="A3400" s="23" t="s">
        <v>6772</v>
      </c>
      <c r="B3400" s="23" t="s">
        <v>6773</v>
      </c>
      <c r="C3400" s="23">
        <v>3193</v>
      </c>
      <c r="G3400"/>
      <c r="I3400" s="14" t="str">
        <f>+IFERROR(VLOOKUP(C3400,'Mov 2023 hasta ahora '!$C$2:$D$314,2,FALSE),"NO")</f>
        <v>NO</v>
      </c>
      <c r="K3400">
        <v>6</v>
      </c>
      <c r="L3400" t="s">
        <v>836</v>
      </c>
      <c r="M3400">
        <v>24</v>
      </c>
      <c r="O3400" s="29" t="s">
        <v>8810</v>
      </c>
      <c r="P3400" s="25" t="s">
        <v>8989</v>
      </c>
      <c r="Q3400" s="25">
        <v>1465</v>
      </c>
      <c r="R3400" t="s">
        <v>436</v>
      </c>
    </row>
    <row r="3401" spans="1:18" hidden="1">
      <c r="A3401" t="s">
        <v>6774</v>
      </c>
      <c r="B3401" t="s">
        <v>6775</v>
      </c>
      <c r="I3401" s="3" t="str">
        <f>+IFERROR(VLOOKUP(C3401,'Mov 2023 hasta ahora '!$C$2:$D$314,2,FALSE),"NO")</f>
        <v>NO</v>
      </c>
      <c r="K3401">
        <v>4</v>
      </c>
      <c r="L3401" t="s">
        <v>836</v>
      </c>
      <c r="M3401">
        <v>14</v>
      </c>
    </row>
    <row r="3402" spans="1:18" hidden="1">
      <c r="A3402" t="s">
        <v>6776</v>
      </c>
      <c r="B3402" t="s">
        <v>6777</v>
      </c>
      <c r="I3402" s="3" t="str">
        <f>+IFERROR(VLOOKUP(C3402,'Mov 2023 hasta ahora '!$C$2:$D$314,2,FALSE),"NO")</f>
        <v>NO</v>
      </c>
      <c r="K3402">
        <v>5</v>
      </c>
      <c r="L3402" t="s">
        <v>836</v>
      </c>
      <c r="M3402">
        <v>18</v>
      </c>
    </row>
    <row r="3403" spans="1:18" s="13" customFormat="1" hidden="1">
      <c r="A3403" s="23" t="s">
        <v>6778</v>
      </c>
      <c r="B3403" s="23" t="s">
        <v>6779</v>
      </c>
      <c r="C3403" s="23">
        <v>3312</v>
      </c>
      <c r="G3403"/>
      <c r="I3403" s="14" t="str">
        <f>+IFERROR(VLOOKUP(C3403,'Mov 2023 hasta ahora '!$C$2:$D$314,2,FALSE),"NO")</f>
        <v>NO</v>
      </c>
      <c r="K3403">
        <v>6</v>
      </c>
      <c r="L3403" t="s">
        <v>836</v>
      </c>
      <c r="M3403">
        <v>24</v>
      </c>
      <c r="O3403" s="29" t="s">
        <v>8795</v>
      </c>
      <c r="P3403" s="25" t="s">
        <v>8798</v>
      </c>
      <c r="Q3403" s="25">
        <v>1489</v>
      </c>
      <c r="R3403" t="s">
        <v>436</v>
      </c>
    </row>
    <row r="3404" spans="1:18" s="13" customFormat="1" hidden="1">
      <c r="A3404" s="23" t="s">
        <v>6780</v>
      </c>
      <c r="B3404" s="23" t="s">
        <v>6781</v>
      </c>
      <c r="C3404" s="23">
        <v>3313</v>
      </c>
      <c r="G3404"/>
      <c r="I3404" s="14" t="str">
        <f>+IFERROR(VLOOKUP(C3404,'Mov 2023 hasta ahora '!$C$2:$D$314,2,FALSE),"NO")</f>
        <v>NO</v>
      </c>
      <c r="K3404">
        <v>6</v>
      </c>
      <c r="L3404" t="s">
        <v>836</v>
      </c>
      <c r="M3404">
        <v>24</v>
      </c>
      <c r="O3404" s="29" t="s">
        <v>8804</v>
      </c>
      <c r="P3404" s="25" t="s">
        <v>8808</v>
      </c>
      <c r="Q3404" s="25">
        <v>1497</v>
      </c>
      <c r="R3404" s="13" t="s">
        <v>436</v>
      </c>
    </row>
    <row r="3405" spans="1:18" hidden="1">
      <c r="A3405" t="s">
        <v>6782</v>
      </c>
      <c r="B3405" t="s">
        <v>6783</v>
      </c>
      <c r="I3405" s="3" t="str">
        <f>+IFERROR(VLOOKUP(C3405,'Mov 2023 hasta ahora '!$C$2:$D$314,2,FALSE),"NO")</f>
        <v>NO</v>
      </c>
      <c r="K3405">
        <v>4</v>
      </c>
      <c r="L3405" t="s">
        <v>836</v>
      </c>
      <c r="M3405">
        <v>14</v>
      </c>
    </row>
    <row r="3406" spans="1:18" hidden="1">
      <c r="A3406" t="s">
        <v>6784</v>
      </c>
      <c r="B3406" t="s">
        <v>6785</v>
      </c>
      <c r="I3406" s="3" t="str">
        <f>+IFERROR(VLOOKUP(C3406,'Mov 2023 hasta ahora '!$C$2:$D$314,2,FALSE),"NO")</f>
        <v>NO</v>
      </c>
      <c r="K3406">
        <v>5</v>
      </c>
      <c r="L3406" t="s">
        <v>836</v>
      </c>
      <c r="M3406">
        <v>18</v>
      </c>
    </row>
    <row r="3407" spans="1:18" s="13" customFormat="1" hidden="1">
      <c r="A3407" s="23" t="s">
        <v>6786</v>
      </c>
      <c r="B3407" s="23" t="s">
        <v>6787</v>
      </c>
      <c r="C3407" s="23">
        <v>3194</v>
      </c>
      <c r="G3407"/>
      <c r="I3407" s="14" t="str">
        <f>+IFERROR(VLOOKUP(C3407,'Mov 2023 hasta ahora '!$C$2:$D$314,2,FALSE),"NO")</f>
        <v>NO</v>
      </c>
      <c r="K3407">
        <v>6</v>
      </c>
      <c r="L3407" t="s">
        <v>836</v>
      </c>
      <c r="M3407">
        <v>24</v>
      </c>
      <c r="O3407" s="29" t="s">
        <v>9009</v>
      </c>
      <c r="P3407" s="25" t="s">
        <v>9005</v>
      </c>
      <c r="Q3407" s="25">
        <v>1024</v>
      </c>
      <c r="R3407" t="s">
        <v>436</v>
      </c>
    </row>
    <row r="3408" spans="1:18" s="13" customFormat="1" hidden="1">
      <c r="A3408" s="23" t="s">
        <v>6788</v>
      </c>
      <c r="B3408" s="23" t="s">
        <v>6789</v>
      </c>
      <c r="C3408" s="23">
        <v>3195</v>
      </c>
      <c r="G3408"/>
      <c r="I3408" s="14" t="str">
        <f>+IFERROR(VLOOKUP(C3408,'Mov 2023 hasta ahora '!$C$2:$D$314,2,FALSE),"NO")</f>
        <v>NO</v>
      </c>
      <c r="K3408">
        <v>6</v>
      </c>
      <c r="L3408" t="s">
        <v>836</v>
      </c>
      <c r="M3408">
        <v>24</v>
      </c>
      <c r="O3408" s="29" t="s">
        <v>9010</v>
      </c>
      <c r="P3408" s="25" t="s">
        <v>9006</v>
      </c>
      <c r="Q3408" s="25">
        <v>1042</v>
      </c>
      <c r="R3408" t="s">
        <v>436</v>
      </c>
    </row>
    <row r="3409" spans="1:18" s="13" customFormat="1" hidden="1">
      <c r="A3409" s="23" t="s">
        <v>6790</v>
      </c>
      <c r="B3409" s="23" t="s">
        <v>6791</v>
      </c>
      <c r="C3409" s="23">
        <v>3196</v>
      </c>
      <c r="G3409"/>
      <c r="I3409" s="14" t="str">
        <f>+IFERROR(VLOOKUP(C3409,'Mov 2023 hasta ahora '!$C$2:$D$314,2,FALSE),"NO")</f>
        <v>NO</v>
      </c>
      <c r="K3409">
        <v>6</v>
      </c>
      <c r="L3409" t="s">
        <v>836</v>
      </c>
      <c r="M3409">
        <v>24</v>
      </c>
      <c r="O3409" s="29" t="s">
        <v>9010</v>
      </c>
      <c r="P3409" s="25" t="s">
        <v>9006</v>
      </c>
      <c r="Q3409" s="25">
        <v>1042</v>
      </c>
      <c r="R3409" t="s">
        <v>436</v>
      </c>
    </row>
    <row r="3410" spans="1:18" hidden="1">
      <c r="A3410" t="s">
        <v>6792</v>
      </c>
      <c r="B3410" t="s">
        <v>6793</v>
      </c>
      <c r="I3410" s="3" t="str">
        <f>+IFERROR(VLOOKUP(C3410,'Mov 2023 hasta ahora '!$C$2:$D$314,2,FALSE),"NO")</f>
        <v>NO</v>
      </c>
      <c r="K3410">
        <v>4</v>
      </c>
      <c r="L3410" t="s">
        <v>836</v>
      </c>
      <c r="M3410">
        <v>14</v>
      </c>
    </row>
    <row r="3411" spans="1:18" hidden="1">
      <c r="A3411" t="s">
        <v>6794</v>
      </c>
      <c r="B3411" t="s">
        <v>6795</v>
      </c>
      <c r="I3411" s="3" t="str">
        <f>+IFERROR(VLOOKUP(C3411,'Mov 2023 hasta ahora '!$C$2:$D$314,2,FALSE),"NO")</f>
        <v>NO</v>
      </c>
      <c r="K3411">
        <v>5</v>
      </c>
      <c r="L3411" t="s">
        <v>836</v>
      </c>
      <c r="M3411">
        <v>18</v>
      </c>
    </row>
    <row r="3412" spans="1:18" s="13" customFormat="1" hidden="1">
      <c r="A3412" s="23" t="s">
        <v>6796</v>
      </c>
      <c r="B3412" s="23" t="s">
        <v>6797</v>
      </c>
      <c r="C3412" s="23">
        <v>3431</v>
      </c>
      <c r="G3412"/>
      <c r="I3412" s="14" t="str">
        <f>+IFERROR(VLOOKUP(C3412,'Mov 2023 hasta ahora '!$C$2:$D$314,2,FALSE),"NO")</f>
        <v>NO</v>
      </c>
      <c r="K3412">
        <v>6</v>
      </c>
      <c r="L3412" t="s">
        <v>836</v>
      </c>
      <c r="M3412">
        <v>24</v>
      </c>
      <c r="O3412" s="29" t="s">
        <v>9000</v>
      </c>
      <c r="P3412" s="25" t="s">
        <v>8863</v>
      </c>
      <c r="Q3412" s="25">
        <v>1132</v>
      </c>
      <c r="R3412" t="s">
        <v>436</v>
      </c>
    </row>
    <row r="3413" spans="1:18" s="13" customFormat="1" hidden="1">
      <c r="A3413" s="23" t="s">
        <v>6798</v>
      </c>
      <c r="B3413" s="23" t="s">
        <v>6799</v>
      </c>
      <c r="C3413" s="23">
        <v>3334</v>
      </c>
      <c r="G3413"/>
      <c r="I3413" s="14" t="str">
        <f>+IFERROR(VLOOKUP(C3413,'Mov 2023 hasta ahora '!$C$2:$D$314,2,FALSE),"NO")</f>
        <v>NO</v>
      </c>
      <c r="K3413">
        <v>6</v>
      </c>
      <c r="L3413" t="s">
        <v>836</v>
      </c>
      <c r="M3413">
        <v>24</v>
      </c>
      <c r="O3413" s="29" t="s">
        <v>9002</v>
      </c>
      <c r="P3413" s="25" t="s">
        <v>8799</v>
      </c>
      <c r="Q3413" s="25">
        <v>1513</v>
      </c>
      <c r="R3413" t="s">
        <v>436</v>
      </c>
    </row>
    <row r="3414" spans="1:18" s="13" customFormat="1" hidden="1">
      <c r="A3414" s="23" t="s">
        <v>6800</v>
      </c>
      <c r="B3414" s="23" t="s">
        <v>6801</v>
      </c>
      <c r="C3414" s="23">
        <v>3335</v>
      </c>
      <c r="G3414"/>
      <c r="I3414" s="14" t="str">
        <f>+IFERROR(VLOOKUP(C3414,'Mov 2023 hasta ahora '!$C$2:$D$314,2,FALSE),"NO")</f>
        <v>NO</v>
      </c>
      <c r="K3414">
        <v>6</v>
      </c>
      <c r="L3414" t="s">
        <v>836</v>
      </c>
      <c r="M3414">
        <v>24</v>
      </c>
      <c r="O3414" s="29" t="s">
        <v>9003</v>
      </c>
      <c r="P3414" s="25" t="s">
        <v>8803</v>
      </c>
      <c r="Q3414" s="25">
        <v>1505</v>
      </c>
      <c r="R3414" t="s">
        <v>436</v>
      </c>
    </row>
    <row r="3415" spans="1:18" hidden="1">
      <c r="A3415" t="s">
        <v>6802</v>
      </c>
      <c r="B3415" t="s">
        <v>6803</v>
      </c>
      <c r="I3415" s="3" t="str">
        <f>+IFERROR(VLOOKUP(C3415,'Mov 2023 hasta ahora '!$C$2:$D$314,2,FALSE),"NO")</f>
        <v>NO</v>
      </c>
      <c r="K3415">
        <v>4</v>
      </c>
      <c r="L3415" t="s">
        <v>836</v>
      </c>
      <c r="M3415">
        <v>14</v>
      </c>
    </row>
    <row r="3416" spans="1:18" hidden="1">
      <c r="A3416" t="s">
        <v>6804</v>
      </c>
      <c r="B3416" t="s">
        <v>6805</v>
      </c>
      <c r="I3416" s="3" t="str">
        <f>+IFERROR(VLOOKUP(C3416,'Mov 2023 hasta ahora '!$C$2:$D$314,2,FALSE),"NO")</f>
        <v>NO</v>
      </c>
      <c r="K3416">
        <v>5</v>
      </c>
      <c r="L3416" t="s">
        <v>836</v>
      </c>
      <c r="M3416">
        <v>18</v>
      </c>
    </row>
    <row r="3417" spans="1:18" hidden="1">
      <c r="A3417" s="23" t="s">
        <v>6806</v>
      </c>
      <c r="B3417" s="23" t="s">
        <v>6807</v>
      </c>
      <c r="C3417" s="23">
        <v>3197</v>
      </c>
      <c r="I3417" s="3" t="str">
        <f>+IFERROR(VLOOKUP(C3417,'Mov 2023 hasta ahora '!$C$2:$D$314,2,FALSE),"NO")</f>
        <v>NO</v>
      </c>
      <c r="K3417">
        <v>6</v>
      </c>
      <c r="L3417" t="s">
        <v>836</v>
      </c>
      <c r="M3417">
        <v>24</v>
      </c>
      <c r="O3417" s="29" t="s">
        <v>9049</v>
      </c>
      <c r="P3417" s="25" t="s">
        <v>9050</v>
      </c>
      <c r="Q3417" s="25">
        <v>1363</v>
      </c>
      <c r="R3417" t="s">
        <v>436</v>
      </c>
    </row>
    <row r="3418" spans="1:18" hidden="1">
      <c r="A3418" s="23" t="s">
        <v>6808</v>
      </c>
      <c r="B3418" s="23" t="s">
        <v>6809</v>
      </c>
      <c r="C3418" s="23">
        <v>3198</v>
      </c>
      <c r="I3418" s="3" t="str">
        <f>+IFERROR(VLOOKUP(C3418,'Mov 2023 hasta ahora '!$C$2:$D$314,2,FALSE),"NO")</f>
        <v>NO</v>
      </c>
      <c r="K3418">
        <v>6</v>
      </c>
      <c r="L3418" t="s">
        <v>836</v>
      </c>
      <c r="M3418">
        <v>24</v>
      </c>
      <c r="O3418" s="29" t="s">
        <v>9014</v>
      </c>
      <c r="P3418" s="25" t="s">
        <v>8890</v>
      </c>
      <c r="Q3418" s="25">
        <v>1244</v>
      </c>
      <c r="R3418" t="s">
        <v>436</v>
      </c>
    </row>
    <row r="3419" spans="1:18" hidden="1">
      <c r="A3419" s="23" t="s">
        <v>6810</v>
      </c>
      <c r="B3419" s="23" t="s">
        <v>6811</v>
      </c>
      <c r="C3419" s="23">
        <v>3199</v>
      </c>
      <c r="I3419" s="3" t="str">
        <f>+IFERROR(VLOOKUP(C3419,'Mov 2023 hasta ahora '!$C$2:$D$314,2,FALSE),"NO")</f>
        <v>NO</v>
      </c>
      <c r="K3419">
        <v>6</v>
      </c>
      <c r="L3419" t="s">
        <v>836</v>
      </c>
      <c r="M3419">
        <v>24</v>
      </c>
      <c r="O3419" s="29" t="s">
        <v>9059</v>
      </c>
      <c r="P3419" s="25" t="s">
        <v>9060</v>
      </c>
      <c r="Q3419" s="25">
        <v>1534</v>
      </c>
      <c r="R3419" t="s">
        <v>436</v>
      </c>
    </row>
    <row r="3420" spans="1:18" hidden="1">
      <c r="A3420" s="23" t="s">
        <v>6812</v>
      </c>
      <c r="B3420" s="23" t="s">
        <v>6813</v>
      </c>
      <c r="C3420" s="23">
        <v>3200</v>
      </c>
      <c r="I3420" s="3" t="str">
        <f>+IFERROR(VLOOKUP(C3420,'Mov 2023 hasta ahora '!$C$2:$D$314,2,FALSE),"NO")</f>
        <v>NO</v>
      </c>
      <c r="K3420">
        <v>6</v>
      </c>
      <c r="L3420" t="s">
        <v>836</v>
      </c>
      <c r="M3420">
        <v>24</v>
      </c>
      <c r="O3420" s="29" t="s">
        <v>9030</v>
      </c>
      <c r="P3420" s="25" t="s">
        <v>9029</v>
      </c>
      <c r="Q3420" s="25">
        <v>3817</v>
      </c>
      <c r="R3420" t="s">
        <v>436</v>
      </c>
    </row>
    <row r="3421" spans="1:18" hidden="1">
      <c r="A3421" s="23" t="s">
        <v>6814</v>
      </c>
      <c r="B3421" s="23" t="s">
        <v>6815</v>
      </c>
      <c r="C3421" s="23">
        <v>3201</v>
      </c>
      <c r="I3421" s="3" t="str">
        <f>+IFERROR(VLOOKUP(C3421,'Mov 2023 hasta ahora '!$C$2:$D$314,2,FALSE),"NO")</f>
        <v>NO</v>
      </c>
      <c r="K3421">
        <v>6</v>
      </c>
      <c r="L3421" t="s">
        <v>836</v>
      </c>
      <c r="M3421">
        <v>24</v>
      </c>
      <c r="O3421" s="29" t="s">
        <v>9019</v>
      </c>
      <c r="P3421" s="25" t="s">
        <v>8762</v>
      </c>
      <c r="Q3421" s="25">
        <v>1758</v>
      </c>
      <c r="R3421" t="s">
        <v>436</v>
      </c>
    </row>
    <row r="3422" spans="1:18" hidden="1">
      <c r="A3422" s="23" t="s">
        <v>6816</v>
      </c>
      <c r="B3422" s="23" t="s">
        <v>6817</v>
      </c>
      <c r="C3422" s="23">
        <v>3290</v>
      </c>
      <c r="I3422" s="3" t="str">
        <f>+IFERROR(VLOOKUP(C3422,'Mov 2023 hasta ahora '!$C$2:$D$314,2,FALSE),"NO")</f>
        <v>NO</v>
      </c>
      <c r="K3422">
        <v>6</v>
      </c>
      <c r="L3422" t="s">
        <v>836</v>
      </c>
      <c r="M3422">
        <v>24</v>
      </c>
      <c r="O3422" s="29" t="s">
        <v>9061</v>
      </c>
      <c r="P3422" s="25" t="s">
        <v>9062</v>
      </c>
      <c r="Q3422" s="25">
        <v>2671</v>
      </c>
      <c r="R3422" t="s">
        <v>436</v>
      </c>
    </row>
    <row r="3423" spans="1:18" s="13" customFormat="1" hidden="1">
      <c r="A3423" s="23" t="s">
        <v>6818</v>
      </c>
      <c r="B3423" s="23" t="s">
        <v>6819</v>
      </c>
      <c r="C3423" s="23">
        <v>3301</v>
      </c>
      <c r="G3423"/>
      <c r="I3423" s="14" t="str">
        <f>+IFERROR(VLOOKUP(C3423,'Mov 2023 hasta ahora '!$C$2:$D$314,2,FALSE),"NO")</f>
        <v>NO</v>
      </c>
      <c r="K3423">
        <v>6</v>
      </c>
      <c r="L3423" t="s">
        <v>836</v>
      </c>
      <c r="M3423">
        <v>24</v>
      </c>
      <c r="O3423" s="29" t="s">
        <v>8861</v>
      </c>
      <c r="P3423" s="25" t="s">
        <v>8868</v>
      </c>
      <c r="Q3423" s="25">
        <v>1419</v>
      </c>
      <c r="R3423" t="s">
        <v>436</v>
      </c>
    </row>
    <row r="3424" spans="1:18" hidden="1">
      <c r="A3424" t="s">
        <v>6820</v>
      </c>
      <c r="B3424" t="s">
        <v>6821</v>
      </c>
      <c r="I3424" s="3" t="str">
        <f>+IFERROR(VLOOKUP(C3424,'Mov 2023 hasta ahora '!$C$2:$D$314,2,FALSE),"NO")</f>
        <v>NO</v>
      </c>
      <c r="K3424">
        <v>5</v>
      </c>
      <c r="L3424" t="s">
        <v>836</v>
      </c>
      <c r="M3424">
        <v>18</v>
      </c>
    </row>
    <row r="3425" spans="1:18" s="13" customFormat="1" hidden="1">
      <c r="A3425" s="23" t="s">
        <v>6822</v>
      </c>
      <c r="B3425" s="23" t="s">
        <v>6823</v>
      </c>
      <c r="C3425" s="23">
        <v>3324</v>
      </c>
      <c r="G3425"/>
      <c r="I3425" s="14" t="str">
        <f>+IFERROR(VLOOKUP(C3425,'Mov 2023 hasta ahora '!$C$2:$D$314,2,FALSE),"NO")</f>
        <v>NO</v>
      </c>
      <c r="K3425">
        <v>6</v>
      </c>
      <c r="L3425" t="s">
        <v>836</v>
      </c>
      <c r="M3425">
        <v>24</v>
      </c>
      <c r="O3425" s="29" t="s">
        <v>8825</v>
      </c>
      <c r="P3425" s="25" t="s">
        <v>8832</v>
      </c>
      <c r="Q3425" s="25">
        <v>3601</v>
      </c>
      <c r="R3425" t="s">
        <v>436</v>
      </c>
    </row>
    <row r="3426" spans="1:18" s="13" customFormat="1" hidden="1">
      <c r="A3426" s="23" t="s">
        <v>6824</v>
      </c>
      <c r="B3426" s="23" t="s">
        <v>6825</v>
      </c>
      <c r="C3426" s="23">
        <v>3325</v>
      </c>
      <c r="G3426"/>
      <c r="I3426" s="14" t="str">
        <f>+IFERROR(VLOOKUP(C3426,'Mov 2023 hasta ahora '!$C$2:$D$314,2,FALSE),"NO")</f>
        <v>NO</v>
      </c>
      <c r="K3426">
        <v>6</v>
      </c>
      <c r="L3426" t="s">
        <v>836</v>
      </c>
      <c r="M3426">
        <v>24</v>
      </c>
      <c r="O3426" s="29" t="s">
        <v>8992</v>
      </c>
      <c r="P3426" s="25" t="s">
        <v>8836</v>
      </c>
      <c r="Q3426" s="25">
        <v>3603</v>
      </c>
      <c r="R3426" t="s">
        <v>436</v>
      </c>
    </row>
    <row r="3427" spans="1:18" hidden="1">
      <c r="A3427" t="s">
        <v>6826</v>
      </c>
      <c r="B3427" t="s">
        <v>1673</v>
      </c>
      <c r="I3427" s="3" t="str">
        <f>+IFERROR(VLOOKUP(C3427,'Mov 2023 hasta ahora '!$C$2:$D$314,2,FALSE),"NO")</f>
        <v>NO</v>
      </c>
      <c r="K3427">
        <v>3</v>
      </c>
      <c r="L3427" t="s">
        <v>836</v>
      </c>
      <c r="M3427">
        <v>10</v>
      </c>
    </row>
    <row r="3428" spans="1:18" hidden="1">
      <c r="A3428" t="s">
        <v>6827</v>
      </c>
      <c r="B3428" t="s">
        <v>6828</v>
      </c>
      <c r="I3428" s="3" t="str">
        <f>+IFERROR(VLOOKUP(C3428,'Mov 2023 hasta ahora '!$C$2:$D$314,2,FALSE),"NO")</f>
        <v>NO</v>
      </c>
      <c r="K3428">
        <v>4</v>
      </c>
      <c r="L3428" t="s">
        <v>836</v>
      </c>
      <c r="M3428">
        <v>14</v>
      </c>
    </row>
    <row r="3429" spans="1:18" hidden="1">
      <c r="A3429" t="s">
        <v>6829</v>
      </c>
      <c r="B3429" t="s">
        <v>6830</v>
      </c>
      <c r="I3429" s="3" t="str">
        <f>+IFERROR(VLOOKUP(C3429,'Mov 2023 hasta ahora '!$C$2:$D$314,2,FALSE),"NO")</f>
        <v>NO</v>
      </c>
      <c r="K3429">
        <v>5</v>
      </c>
      <c r="L3429" t="s">
        <v>836</v>
      </c>
      <c r="M3429">
        <v>18</v>
      </c>
    </row>
    <row r="3430" spans="1:18" hidden="1">
      <c r="A3430" s="23" t="s">
        <v>6831</v>
      </c>
      <c r="B3430" s="23" t="s">
        <v>6832</v>
      </c>
      <c r="C3430" s="23">
        <v>3338</v>
      </c>
      <c r="I3430" s="3" t="str">
        <f>+IFERROR(VLOOKUP(C3430,'Mov 2023 hasta ahora '!$C$2:$D$314,2,FALSE),"NO")</f>
        <v>NO</v>
      </c>
      <c r="K3430">
        <v>6</v>
      </c>
      <c r="L3430" t="s">
        <v>836</v>
      </c>
      <c r="M3430">
        <v>24</v>
      </c>
      <c r="O3430" s="29" t="s">
        <v>8742</v>
      </c>
      <c r="P3430" s="25" t="s">
        <v>9063</v>
      </c>
      <c r="Q3430" s="25">
        <v>176</v>
      </c>
      <c r="R3430" t="s">
        <v>436</v>
      </c>
    </row>
    <row r="3431" spans="1:18" hidden="1">
      <c r="A3431" s="23" t="s">
        <v>6833</v>
      </c>
      <c r="B3431" s="23" t="s">
        <v>6834</v>
      </c>
      <c r="C3431" s="23">
        <v>3339</v>
      </c>
      <c r="I3431" s="3" t="str">
        <f>+IFERROR(VLOOKUP(C3431,'Mov 2023 hasta ahora '!$C$2:$D$314,2,FALSE),"NO")</f>
        <v>NO</v>
      </c>
      <c r="K3431">
        <v>6</v>
      </c>
      <c r="L3431" t="s">
        <v>836</v>
      </c>
      <c r="M3431">
        <v>24</v>
      </c>
      <c r="O3431" s="29" t="s">
        <v>9057</v>
      </c>
      <c r="P3431" s="25" t="s">
        <v>9058</v>
      </c>
      <c r="Q3431" s="25">
        <v>3212</v>
      </c>
      <c r="R3431" t="s">
        <v>436</v>
      </c>
    </row>
    <row r="3432" spans="1:18" hidden="1">
      <c r="A3432" t="s">
        <v>6835</v>
      </c>
      <c r="B3432" t="s">
        <v>6836</v>
      </c>
      <c r="I3432" s="3" t="str">
        <f>+IFERROR(VLOOKUP(C3432,'Mov 2023 hasta ahora '!$C$2:$D$314,2,FALSE),"NO")</f>
        <v>NO</v>
      </c>
      <c r="K3432">
        <v>4</v>
      </c>
      <c r="L3432" t="s">
        <v>836</v>
      </c>
      <c r="M3432">
        <v>14</v>
      </c>
    </row>
    <row r="3433" spans="1:18" hidden="1">
      <c r="A3433" t="s">
        <v>6837</v>
      </c>
      <c r="B3433" t="s">
        <v>6838</v>
      </c>
      <c r="I3433" s="3" t="str">
        <f>+IFERROR(VLOOKUP(C3433,'Mov 2023 hasta ahora '!$C$2:$D$314,2,FALSE),"NO")</f>
        <v>NO</v>
      </c>
      <c r="K3433">
        <v>5</v>
      </c>
      <c r="L3433" t="s">
        <v>836</v>
      </c>
      <c r="M3433">
        <v>18</v>
      </c>
    </row>
    <row r="3434" spans="1:18" s="13" customFormat="1" hidden="1">
      <c r="A3434" s="23" t="s">
        <v>6839</v>
      </c>
      <c r="B3434" s="23" t="s">
        <v>6840</v>
      </c>
      <c r="C3434" s="23">
        <v>3340</v>
      </c>
      <c r="G3434"/>
      <c r="I3434" s="14" t="str">
        <f>+IFERROR(VLOOKUP(C3434,'Mov 2023 hasta ahora '!$C$2:$D$314,2,FALSE),"NO")</f>
        <v>NO</v>
      </c>
      <c r="K3434">
        <v>6</v>
      </c>
      <c r="L3434" t="s">
        <v>836</v>
      </c>
      <c r="M3434">
        <v>24</v>
      </c>
      <c r="O3434" s="29" t="s">
        <v>8746</v>
      </c>
      <c r="P3434" s="25" t="s">
        <v>9054</v>
      </c>
      <c r="Q3434" s="25">
        <v>185</v>
      </c>
      <c r="R3434" t="s">
        <v>436</v>
      </c>
    </row>
    <row r="3435" spans="1:18" s="13" customFormat="1" hidden="1">
      <c r="A3435" s="23" t="s">
        <v>6841</v>
      </c>
      <c r="B3435" s="23" t="s">
        <v>6842</v>
      </c>
      <c r="C3435" s="23">
        <v>3341</v>
      </c>
      <c r="G3435"/>
      <c r="I3435" s="14" t="str">
        <f>+IFERROR(VLOOKUP(C3435,'Mov 2023 hasta ahora '!$C$2:$D$314,2,FALSE),"NO")</f>
        <v>NO</v>
      </c>
      <c r="K3435">
        <v>6</v>
      </c>
      <c r="L3435" t="s">
        <v>836</v>
      </c>
      <c r="M3435">
        <v>24</v>
      </c>
      <c r="O3435" s="29" t="s">
        <v>8748</v>
      </c>
      <c r="P3435" s="25" t="s">
        <v>9055</v>
      </c>
      <c r="Q3435" s="25">
        <v>193</v>
      </c>
      <c r="R3435" t="s">
        <v>436</v>
      </c>
    </row>
    <row r="3436" spans="1:18" s="13" customFormat="1" hidden="1">
      <c r="A3436" s="23" t="s">
        <v>6843</v>
      </c>
      <c r="B3436" s="23" t="s">
        <v>6844</v>
      </c>
      <c r="C3436" s="23">
        <v>3342</v>
      </c>
      <c r="G3436"/>
      <c r="I3436" s="14" t="str">
        <f>+IFERROR(VLOOKUP(C3436,'Mov 2023 hasta ahora '!$C$2:$D$314,2,FALSE),"NO")</f>
        <v>NO</v>
      </c>
      <c r="K3436">
        <v>6</v>
      </c>
      <c r="L3436" t="s">
        <v>836</v>
      </c>
      <c r="M3436">
        <v>24</v>
      </c>
      <c r="O3436" s="29" t="s">
        <v>8749</v>
      </c>
      <c r="P3436" s="25" t="s">
        <v>9056</v>
      </c>
      <c r="Q3436" s="25">
        <v>202</v>
      </c>
      <c r="R3436" t="s">
        <v>436</v>
      </c>
    </row>
    <row r="3437" spans="1:18" hidden="1">
      <c r="A3437" t="s">
        <v>6845</v>
      </c>
      <c r="B3437" t="s">
        <v>6846</v>
      </c>
      <c r="I3437" s="3" t="str">
        <f>+IFERROR(VLOOKUP(C3437,'Mov 2023 hasta ahora '!$C$2:$D$314,2,FALSE),"NO")</f>
        <v>NO</v>
      </c>
      <c r="K3437">
        <v>4</v>
      </c>
      <c r="L3437" t="s">
        <v>836</v>
      </c>
      <c r="M3437">
        <v>14</v>
      </c>
    </row>
    <row r="3438" spans="1:18" hidden="1">
      <c r="A3438" t="s">
        <v>6847</v>
      </c>
      <c r="B3438" t="s">
        <v>6848</v>
      </c>
      <c r="I3438" s="3" t="str">
        <f>+IFERROR(VLOOKUP(C3438,'Mov 2023 hasta ahora '!$C$2:$D$314,2,FALSE),"NO")</f>
        <v>NO</v>
      </c>
      <c r="K3438">
        <v>5</v>
      </c>
      <c r="L3438" t="s">
        <v>836</v>
      </c>
      <c r="M3438">
        <v>18</v>
      </c>
    </row>
    <row r="3439" spans="1:18" hidden="1">
      <c r="A3439" s="23" t="s">
        <v>6849</v>
      </c>
      <c r="B3439" s="23" t="s">
        <v>6850</v>
      </c>
      <c r="C3439" s="23">
        <v>3343</v>
      </c>
      <c r="I3439" s="3" t="str">
        <f>+IFERROR(VLOOKUP(C3439,'Mov 2023 hasta ahora '!$C$2:$D$314,2,FALSE),"NO")</f>
        <v>NO</v>
      </c>
      <c r="K3439">
        <v>6</v>
      </c>
      <c r="L3439" t="s">
        <v>836</v>
      </c>
      <c r="M3439">
        <v>24</v>
      </c>
      <c r="O3439" s="29" t="s">
        <v>9013</v>
      </c>
      <c r="P3439" s="25" t="s">
        <v>8756</v>
      </c>
      <c r="Q3439" s="25">
        <v>212</v>
      </c>
      <c r="R3439" t="s">
        <v>436</v>
      </c>
    </row>
    <row r="3440" spans="1:18" hidden="1">
      <c r="A3440" t="s">
        <v>6851</v>
      </c>
      <c r="B3440" t="s">
        <v>6852</v>
      </c>
      <c r="I3440" s="3" t="str">
        <f>+IFERROR(VLOOKUP(C3440,'Mov 2023 hasta ahora '!$C$2:$D$314,2,FALSE),"NO")</f>
        <v>NO</v>
      </c>
      <c r="K3440">
        <v>4</v>
      </c>
      <c r="L3440" t="s">
        <v>836</v>
      </c>
      <c r="M3440">
        <v>14</v>
      </c>
    </row>
    <row r="3441" spans="1:18" hidden="1">
      <c r="A3441" t="s">
        <v>6853</v>
      </c>
      <c r="B3441" t="s">
        <v>6854</v>
      </c>
      <c r="I3441" s="3" t="str">
        <f>+IFERROR(VLOOKUP(C3441,'Mov 2023 hasta ahora '!$C$2:$D$314,2,FALSE),"NO")</f>
        <v>NO</v>
      </c>
      <c r="K3441">
        <v>5</v>
      </c>
      <c r="L3441" t="s">
        <v>836</v>
      </c>
      <c r="M3441">
        <v>18</v>
      </c>
    </row>
    <row r="3442" spans="1:18" s="15" customFormat="1" hidden="1">
      <c r="A3442" s="23" t="s">
        <v>6855</v>
      </c>
      <c r="B3442" s="23" t="s">
        <v>6856</v>
      </c>
      <c r="C3442" s="23">
        <v>3344</v>
      </c>
      <c r="G3442"/>
      <c r="I3442" s="16" t="str">
        <f>+IFERROR(VLOOKUP(C3442,'Mov 2023 hasta ahora '!$C$2:$D$314,2,FALSE),"NO")</f>
        <v>NO</v>
      </c>
      <c r="K3442">
        <v>6</v>
      </c>
      <c r="L3442" t="s">
        <v>836</v>
      </c>
      <c r="M3442">
        <v>24</v>
      </c>
      <c r="O3442" s="29" t="s">
        <v>8864</v>
      </c>
      <c r="P3442" s="25" t="s">
        <v>8979</v>
      </c>
      <c r="Q3442" s="25">
        <v>2177</v>
      </c>
      <c r="R3442" t="s">
        <v>436</v>
      </c>
    </row>
    <row r="3443" spans="1:18" s="15" customFormat="1" hidden="1">
      <c r="A3443" s="23" t="s">
        <v>6857</v>
      </c>
      <c r="B3443" s="23" t="s">
        <v>6858</v>
      </c>
      <c r="C3443" s="23">
        <v>3345</v>
      </c>
      <c r="G3443"/>
      <c r="I3443" s="16" t="str">
        <f>+IFERROR(VLOOKUP(C3443,'Mov 2023 hasta ahora '!$C$2:$D$314,2,FALSE),"NO")</f>
        <v>NO</v>
      </c>
      <c r="K3443">
        <v>6</v>
      </c>
      <c r="L3443" t="s">
        <v>836</v>
      </c>
      <c r="M3443">
        <v>24</v>
      </c>
      <c r="O3443" s="29" t="s">
        <v>8793</v>
      </c>
      <c r="P3443" s="25" t="s">
        <v>8975</v>
      </c>
      <c r="Q3443" s="25">
        <v>1616</v>
      </c>
      <c r="R3443" t="s">
        <v>436</v>
      </c>
    </row>
    <row r="3444" spans="1:18" s="15" customFormat="1" hidden="1">
      <c r="A3444" s="23" t="s">
        <v>6859</v>
      </c>
      <c r="B3444" s="23" t="s">
        <v>6860</v>
      </c>
      <c r="C3444" s="23">
        <v>3346</v>
      </c>
      <c r="G3444"/>
      <c r="I3444" s="16" t="str">
        <f>+IFERROR(VLOOKUP(C3444,'Mov 2023 hasta ahora '!$C$2:$D$314,2,FALSE),"NO")</f>
        <v>NO</v>
      </c>
      <c r="K3444">
        <v>6</v>
      </c>
      <c r="L3444" t="s">
        <v>836</v>
      </c>
      <c r="M3444">
        <v>24</v>
      </c>
      <c r="O3444" s="29" t="s">
        <v>8793</v>
      </c>
      <c r="P3444" s="25" t="s">
        <v>8975</v>
      </c>
      <c r="Q3444" s="25">
        <v>1616</v>
      </c>
      <c r="R3444" t="s">
        <v>436</v>
      </c>
    </row>
    <row r="3445" spans="1:18" s="15" customFormat="1" hidden="1">
      <c r="A3445" s="23" t="s">
        <v>6861</v>
      </c>
      <c r="B3445" s="23" t="s">
        <v>6862</v>
      </c>
      <c r="C3445" s="23">
        <v>3347</v>
      </c>
      <c r="G3445"/>
      <c r="I3445" s="16" t="str">
        <f>+IFERROR(VLOOKUP(C3445,'Mov 2023 hasta ahora '!$C$2:$D$314,2,FALSE),"NO")</f>
        <v>NO</v>
      </c>
      <c r="K3445">
        <v>6</v>
      </c>
      <c r="L3445" t="s">
        <v>836</v>
      </c>
      <c r="M3445">
        <v>24</v>
      </c>
      <c r="O3445" s="29" t="s">
        <v>8802</v>
      </c>
      <c r="P3445" s="25" t="s">
        <v>8976</v>
      </c>
      <c r="Q3445" s="25">
        <v>3222</v>
      </c>
      <c r="R3445" t="s">
        <v>436</v>
      </c>
    </row>
    <row r="3446" spans="1:18" s="15" customFormat="1" hidden="1">
      <c r="A3446" s="23" t="s">
        <v>6863</v>
      </c>
      <c r="B3446" s="23" t="s">
        <v>6864</v>
      </c>
      <c r="C3446" s="23">
        <v>3348</v>
      </c>
      <c r="G3446"/>
      <c r="I3446" s="16" t="str">
        <f>+IFERROR(VLOOKUP(C3446,'Mov 2023 hasta ahora '!$C$2:$D$314,2,FALSE),"NO")</f>
        <v>NO</v>
      </c>
      <c r="K3446">
        <v>6</v>
      </c>
      <c r="L3446" t="s">
        <v>836</v>
      </c>
      <c r="M3446">
        <v>24</v>
      </c>
      <c r="O3446" s="29" t="s">
        <v>8833</v>
      </c>
      <c r="P3446" s="25" t="s">
        <v>8977</v>
      </c>
      <c r="Q3446" s="25">
        <v>3233</v>
      </c>
      <c r="R3446" t="s">
        <v>436</v>
      </c>
    </row>
    <row r="3447" spans="1:18" s="15" customFormat="1" hidden="1">
      <c r="A3447" s="23" t="s">
        <v>6865</v>
      </c>
      <c r="B3447" s="23" t="s">
        <v>6866</v>
      </c>
      <c r="C3447" s="23">
        <v>3349</v>
      </c>
      <c r="G3447"/>
      <c r="I3447" s="16" t="str">
        <f>+IFERROR(VLOOKUP(C3447,'Mov 2023 hasta ahora '!$C$2:$D$314,2,FALSE),"NO")</f>
        <v>NO</v>
      </c>
      <c r="K3447">
        <v>6</v>
      </c>
      <c r="L3447" t="s">
        <v>836</v>
      </c>
      <c r="M3447">
        <v>24</v>
      </c>
      <c r="O3447" s="29" t="s">
        <v>8755</v>
      </c>
      <c r="P3447" s="25" t="s">
        <v>8978</v>
      </c>
      <c r="Q3447" s="25">
        <v>3244</v>
      </c>
      <c r="R3447" t="s">
        <v>436</v>
      </c>
    </row>
    <row r="3448" spans="1:18" hidden="1">
      <c r="A3448" t="s">
        <v>6867</v>
      </c>
      <c r="B3448" t="s">
        <v>6868</v>
      </c>
      <c r="I3448" s="3" t="str">
        <f>+IFERROR(VLOOKUP(C3448,'Mov 2023 hasta ahora '!$C$2:$D$314,2,FALSE),"NO")</f>
        <v>NO</v>
      </c>
      <c r="K3448">
        <v>5</v>
      </c>
      <c r="L3448" t="s">
        <v>836</v>
      </c>
      <c r="M3448">
        <v>18</v>
      </c>
    </row>
    <row r="3449" spans="1:18" hidden="1">
      <c r="A3449" s="23" t="s">
        <v>6869</v>
      </c>
      <c r="B3449" s="23" t="s">
        <v>6870</v>
      </c>
      <c r="C3449" s="23">
        <v>3350</v>
      </c>
      <c r="I3449" s="3" t="str">
        <f>+IFERROR(VLOOKUP(C3449,'Mov 2023 hasta ahora '!$C$2:$D$314,2,FALSE),"NO")</f>
        <v>NO</v>
      </c>
      <c r="K3449">
        <v>6</v>
      </c>
      <c r="L3449" t="s">
        <v>836</v>
      </c>
      <c r="M3449">
        <v>24</v>
      </c>
      <c r="O3449" s="29" t="s">
        <v>8794</v>
      </c>
      <c r="P3449" s="25" t="s">
        <v>8982</v>
      </c>
      <c r="Q3449" s="25">
        <v>1441</v>
      </c>
      <c r="R3449" t="s">
        <v>436</v>
      </c>
    </row>
    <row r="3450" spans="1:18" hidden="1">
      <c r="A3450" s="23" t="s">
        <v>6871</v>
      </c>
      <c r="B3450" s="23" t="s">
        <v>6872</v>
      </c>
      <c r="C3450" s="23">
        <v>3351</v>
      </c>
      <c r="I3450" s="3" t="str">
        <f>+IFERROR(VLOOKUP(C3450,'Mov 2023 hasta ahora '!$C$2:$D$314,2,FALSE),"NO")</f>
        <v>NO</v>
      </c>
      <c r="K3450">
        <v>6</v>
      </c>
      <c r="L3450" t="s">
        <v>836</v>
      </c>
      <c r="M3450">
        <v>24</v>
      </c>
      <c r="O3450" s="29" t="s">
        <v>8809</v>
      </c>
      <c r="P3450" s="25" t="s">
        <v>8983</v>
      </c>
      <c r="Q3450" s="25">
        <v>1448</v>
      </c>
      <c r="R3450" t="s">
        <v>436</v>
      </c>
    </row>
    <row r="3451" spans="1:18" hidden="1">
      <c r="A3451" t="s">
        <v>6873</v>
      </c>
      <c r="B3451" t="s">
        <v>6874</v>
      </c>
      <c r="I3451" s="3" t="str">
        <f>+IFERROR(VLOOKUP(C3451,'Mov 2023 hasta ahora '!$C$2:$D$314,2,FALSE),"NO")</f>
        <v>NO</v>
      </c>
      <c r="K3451">
        <v>4</v>
      </c>
      <c r="L3451" t="s">
        <v>836</v>
      </c>
      <c r="M3451">
        <v>14</v>
      </c>
    </row>
    <row r="3452" spans="1:18" hidden="1">
      <c r="A3452" t="s">
        <v>6875</v>
      </c>
      <c r="B3452" t="s">
        <v>6876</v>
      </c>
      <c r="I3452" s="3" t="str">
        <f>+IFERROR(VLOOKUP(C3452,'Mov 2023 hasta ahora '!$C$2:$D$314,2,FALSE),"NO")</f>
        <v>NO</v>
      </c>
      <c r="K3452">
        <v>5</v>
      </c>
      <c r="L3452" t="s">
        <v>836</v>
      </c>
      <c r="M3452">
        <v>18</v>
      </c>
    </row>
    <row r="3453" spans="1:18" s="13" customFormat="1" hidden="1">
      <c r="A3453" s="23" t="s">
        <v>6877</v>
      </c>
      <c r="B3453" s="23" t="s">
        <v>6878</v>
      </c>
      <c r="C3453" s="23">
        <v>3352</v>
      </c>
      <c r="G3453"/>
      <c r="I3453" s="14" t="str">
        <f>+IFERROR(VLOOKUP(C3453,'Mov 2023 hasta ahora '!$C$2:$D$314,2,FALSE),"NO")</f>
        <v>NO</v>
      </c>
      <c r="K3453">
        <v>6</v>
      </c>
      <c r="L3453" t="s">
        <v>836</v>
      </c>
      <c r="M3453">
        <v>24</v>
      </c>
      <c r="O3453" s="29" t="s">
        <v>8857</v>
      </c>
      <c r="P3453" s="25" t="s">
        <v>8980</v>
      </c>
      <c r="Q3453" s="25">
        <v>2178</v>
      </c>
      <c r="R3453" t="s">
        <v>436</v>
      </c>
    </row>
    <row r="3454" spans="1:18" s="13" customFormat="1" hidden="1">
      <c r="A3454" s="23" t="s">
        <v>6879</v>
      </c>
      <c r="B3454" s="23" t="s">
        <v>6880</v>
      </c>
      <c r="C3454" s="23">
        <v>3353</v>
      </c>
      <c r="G3454"/>
      <c r="I3454" s="14" t="str">
        <f>+IFERROR(VLOOKUP(C3454,'Mov 2023 hasta ahora '!$C$2:$D$314,2,FALSE),"NO")</f>
        <v>NO</v>
      </c>
      <c r="K3454">
        <v>6</v>
      </c>
      <c r="L3454" t="s">
        <v>836</v>
      </c>
      <c r="M3454">
        <v>24</v>
      </c>
      <c r="O3454" s="29" t="s">
        <v>8846</v>
      </c>
      <c r="P3454" s="25" t="s">
        <v>8981</v>
      </c>
      <c r="Q3454" s="25">
        <v>2179</v>
      </c>
      <c r="R3454" t="s">
        <v>436</v>
      </c>
    </row>
    <row r="3455" spans="1:18" s="13" customFormat="1" hidden="1">
      <c r="A3455" s="23" t="s">
        <v>6881</v>
      </c>
      <c r="B3455" s="23" t="s">
        <v>6882</v>
      </c>
      <c r="C3455" s="23">
        <v>3354</v>
      </c>
      <c r="G3455"/>
      <c r="I3455" s="14" t="str">
        <f>+IFERROR(VLOOKUP(C3455,'Mov 2023 hasta ahora '!$C$2:$D$314,2,FALSE),"NO")</f>
        <v>NO</v>
      </c>
      <c r="K3455">
        <v>6</v>
      </c>
      <c r="L3455" t="s">
        <v>836</v>
      </c>
      <c r="M3455">
        <v>24</v>
      </c>
      <c r="O3455" s="29" t="s">
        <v>8846</v>
      </c>
      <c r="P3455" s="25" t="s">
        <v>8981</v>
      </c>
      <c r="Q3455" s="25">
        <v>2179</v>
      </c>
      <c r="R3455" t="s">
        <v>436</v>
      </c>
    </row>
    <row r="3456" spans="1:18" s="13" customFormat="1" hidden="1">
      <c r="A3456" s="23" t="s">
        <v>6883</v>
      </c>
      <c r="B3456" s="23" t="s">
        <v>6884</v>
      </c>
      <c r="C3456" s="23">
        <v>3355</v>
      </c>
      <c r="G3456"/>
      <c r="I3456" s="14" t="str">
        <f>+IFERROR(VLOOKUP(C3456,'Mov 2023 hasta ahora '!$C$2:$D$314,2,FALSE),"NO")</f>
        <v>NO</v>
      </c>
      <c r="K3456">
        <v>6</v>
      </c>
      <c r="L3456" t="s">
        <v>836</v>
      </c>
      <c r="M3456">
        <v>24</v>
      </c>
      <c r="O3456" s="29" t="s">
        <v>8794</v>
      </c>
      <c r="P3456" s="25" t="s">
        <v>8982</v>
      </c>
      <c r="Q3456" s="25">
        <v>1441</v>
      </c>
      <c r="R3456" t="s">
        <v>436</v>
      </c>
    </row>
    <row r="3457" spans="1:18" s="13" customFormat="1" hidden="1">
      <c r="A3457" s="23" t="s">
        <v>6885</v>
      </c>
      <c r="B3457" s="23" t="s">
        <v>6886</v>
      </c>
      <c r="C3457" s="23">
        <v>3356</v>
      </c>
      <c r="G3457"/>
      <c r="I3457" s="14" t="str">
        <f>+IFERROR(VLOOKUP(C3457,'Mov 2023 hasta ahora '!$C$2:$D$314,2,FALSE),"NO")</f>
        <v>NO</v>
      </c>
      <c r="K3457">
        <v>6</v>
      </c>
      <c r="L3457" t="s">
        <v>836</v>
      </c>
      <c r="M3457">
        <v>24</v>
      </c>
      <c r="O3457" s="29" t="s">
        <v>8809</v>
      </c>
      <c r="P3457" s="25" t="s">
        <v>8983</v>
      </c>
      <c r="Q3457" s="25">
        <v>1448</v>
      </c>
      <c r="R3457" t="s">
        <v>436</v>
      </c>
    </row>
    <row r="3458" spans="1:18" s="13" customFormat="1" hidden="1">
      <c r="A3458" s="23" t="s">
        <v>6887</v>
      </c>
      <c r="B3458" s="23" t="s">
        <v>6888</v>
      </c>
      <c r="C3458" s="23">
        <v>3357</v>
      </c>
      <c r="G3458"/>
      <c r="I3458" s="14" t="str">
        <f>+IFERROR(VLOOKUP(C3458,'Mov 2023 hasta ahora '!$C$2:$D$314,2,FALSE),"NO")</f>
        <v>NO</v>
      </c>
      <c r="K3458">
        <v>6</v>
      </c>
      <c r="L3458" t="s">
        <v>836</v>
      </c>
      <c r="M3458">
        <v>24</v>
      </c>
      <c r="O3458" s="29" t="s">
        <v>8857</v>
      </c>
      <c r="P3458" s="25" t="s">
        <v>8980</v>
      </c>
      <c r="Q3458" s="25">
        <v>2178</v>
      </c>
      <c r="R3458" t="s">
        <v>436</v>
      </c>
    </row>
    <row r="3459" spans="1:18" s="13" customFormat="1" hidden="1">
      <c r="A3459" s="23" t="s">
        <v>6889</v>
      </c>
      <c r="B3459" s="23" t="s">
        <v>6890</v>
      </c>
      <c r="C3459" s="23">
        <v>3358</v>
      </c>
      <c r="G3459"/>
      <c r="I3459" s="14" t="str">
        <f>+IFERROR(VLOOKUP(C3459,'Mov 2023 hasta ahora '!$C$2:$D$314,2,FALSE),"NO")</f>
        <v>NO</v>
      </c>
      <c r="K3459">
        <v>6</v>
      </c>
      <c r="L3459" t="s">
        <v>836</v>
      </c>
      <c r="M3459">
        <v>24</v>
      </c>
      <c r="O3459" s="29" t="s">
        <v>8857</v>
      </c>
      <c r="P3459" s="25" t="s">
        <v>8980</v>
      </c>
      <c r="Q3459" s="25">
        <v>2178</v>
      </c>
      <c r="R3459" t="s">
        <v>436</v>
      </c>
    </row>
    <row r="3460" spans="1:18" s="13" customFormat="1" hidden="1">
      <c r="A3460" s="23" t="s">
        <v>6891</v>
      </c>
      <c r="B3460" s="23" t="s">
        <v>6892</v>
      </c>
      <c r="C3460" s="23">
        <v>3359</v>
      </c>
      <c r="G3460"/>
      <c r="I3460" s="14" t="str">
        <f>+IFERROR(VLOOKUP(C3460,'Mov 2023 hasta ahora '!$C$2:$D$314,2,FALSE),"NO")</f>
        <v>NO</v>
      </c>
      <c r="K3460">
        <v>6</v>
      </c>
      <c r="L3460" t="s">
        <v>836</v>
      </c>
      <c r="M3460">
        <v>24</v>
      </c>
      <c r="O3460" s="29" t="s">
        <v>8857</v>
      </c>
      <c r="P3460" s="25" t="s">
        <v>8980</v>
      </c>
      <c r="Q3460" s="25">
        <v>2178</v>
      </c>
      <c r="R3460" t="s">
        <v>436</v>
      </c>
    </row>
    <row r="3461" spans="1:18" s="13" customFormat="1" hidden="1">
      <c r="A3461" s="23" t="s">
        <v>6893</v>
      </c>
      <c r="B3461" s="23" t="s">
        <v>6894</v>
      </c>
      <c r="C3461" s="23">
        <v>3360</v>
      </c>
      <c r="G3461"/>
      <c r="I3461" s="14" t="str">
        <f>+IFERROR(VLOOKUP(C3461,'Mov 2023 hasta ahora '!$C$2:$D$314,2,FALSE),"NO")</f>
        <v>NO</v>
      </c>
      <c r="K3461">
        <v>6</v>
      </c>
      <c r="L3461" t="s">
        <v>836</v>
      </c>
      <c r="M3461">
        <v>24</v>
      </c>
      <c r="O3461" s="29" t="s">
        <v>8857</v>
      </c>
      <c r="P3461" s="25" t="s">
        <v>8980</v>
      </c>
      <c r="Q3461" s="25">
        <v>2178</v>
      </c>
      <c r="R3461" t="s">
        <v>436</v>
      </c>
    </row>
    <row r="3462" spans="1:18" hidden="1">
      <c r="A3462" t="s">
        <v>6895</v>
      </c>
      <c r="B3462" t="s">
        <v>6896</v>
      </c>
      <c r="I3462" s="3" t="str">
        <f>+IFERROR(VLOOKUP(C3462,'Mov 2023 hasta ahora '!$C$2:$D$314,2,FALSE),"NO")</f>
        <v>NO</v>
      </c>
      <c r="K3462">
        <v>4</v>
      </c>
      <c r="L3462" t="s">
        <v>836</v>
      </c>
      <c r="M3462">
        <v>14</v>
      </c>
    </row>
    <row r="3463" spans="1:18" hidden="1">
      <c r="A3463" t="s">
        <v>6897</v>
      </c>
      <c r="B3463" t="s">
        <v>6898</v>
      </c>
      <c r="I3463" s="3" t="str">
        <f>+IFERROR(VLOOKUP(C3463,'Mov 2023 hasta ahora '!$C$2:$D$314,2,FALSE),"NO")</f>
        <v>NO</v>
      </c>
      <c r="K3463">
        <v>5</v>
      </c>
      <c r="L3463" t="s">
        <v>836</v>
      </c>
      <c r="M3463">
        <v>18</v>
      </c>
    </row>
    <row r="3464" spans="1:18" hidden="1">
      <c r="A3464" s="23" t="s">
        <v>6899</v>
      </c>
      <c r="B3464" s="23" t="s">
        <v>6900</v>
      </c>
      <c r="C3464" s="23">
        <v>3362</v>
      </c>
      <c r="I3464" s="3">
        <f>+IFERROR(VLOOKUP(C3464,'Mov 2023 hasta ahora '!$C$2:$D$314,2,FALSE),"NO")</f>
        <v>1</v>
      </c>
      <c r="K3464">
        <v>6</v>
      </c>
      <c r="L3464" t="s">
        <v>836</v>
      </c>
      <c r="M3464">
        <v>24</v>
      </c>
      <c r="O3464" s="29" t="s">
        <v>9049</v>
      </c>
      <c r="P3464" s="25" t="s">
        <v>9050</v>
      </c>
      <c r="Q3464" s="25">
        <v>1363</v>
      </c>
      <c r="R3464" t="s">
        <v>436</v>
      </c>
    </row>
    <row r="3465" spans="1:18" hidden="1">
      <c r="A3465" s="23" t="s">
        <v>6901</v>
      </c>
      <c r="B3465" s="23" t="s">
        <v>6902</v>
      </c>
      <c r="C3465" s="23">
        <v>3363</v>
      </c>
      <c r="I3465" s="3" t="str">
        <f>+IFERROR(VLOOKUP(C3465,'Mov 2023 hasta ahora '!$C$2:$D$314,2,FALSE),"NO")</f>
        <v>NO</v>
      </c>
      <c r="K3465">
        <v>6</v>
      </c>
      <c r="L3465" t="s">
        <v>836</v>
      </c>
      <c r="M3465">
        <v>24</v>
      </c>
      <c r="O3465" s="29" t="s">
        <v>9014</v>
      </c>
      <c r="P3465" s="25" t="s">
        <v>8890</v>
      </c>
      <c r="Q3465" s="25">
        <v>1244</v>
      </c>
      <c r="R3465" t="s">
        <v>436</v>
      </c>
    </row>
    <row r="3466" spans="1:18" hidden="1">
      <c r="A3466" s="23" t="s">
        <v>6903</v>
      </c>
      <c r="B3466" s="23" t="s">
        <v>6904</v>
      </c>
      <c r="C3466" s="23">
        <v>3364</v>
      </c>
      <c r="I3466" s="3" t="str">
        <f>+IFERROR(VLOOKUP(C3466,'Mov 2023 hasta ahora '!$C$2:$D$314,2,FALSE),"NO")</f>
        <v>NO</v>
      </c>
      <c r="K3466">
        <v>6</v>
      </c>
      <c r="L3466" t="s">
        <v>836</v>
      </c>
      <c r="M3466">
        <v>24</v>
      </c>
      <c r="O3466" s="29" t="s">
        <v>9059</v>
      </c>
      <c r="P3466" s="25" t="s">
        <v>9060</v>
      </c>
      <c r="Q3466" s="25">
        <v>1534</v>
      </c>
      <c r="R3466" t="s">
        <v>436</v>
      </c>
    </row>
    <row r="3467" spans="1:18" hidden="1">
      <c r="A3467" s="23" t="s">
        <v>6905</v>
      </c>
      <c r="B3467" s="23" t="s">
        <v>6906</v>
      </c>
      <c r="C3467" s="23">
        <v>3365</v>
      </c>
      <c r="I3467" s="3" t="str">
        <f>+IFERROR(VLOOKUP(C3467,'Mov 2023 hasta ahora '!$C$2:$D$314,2,FALSE),"NO")</f>
        <v>NO</v>
      </c>
      <c r="K3467">
        <v>6</v>
      </c>
      <c r="L3467" t="s">
        <v>836</v>
      </c>
      <c r="M3467">
        <v>24</v>
      </c>
      <c r="O3467" s="29" t="s">
        <v>9030</v>
      </c>
      <c r="P3467" s="25" t="s">
        <v>9029</v>
      </c>
      <c r="Q3467" s="25">
        <v>3817</v>
      </c>
      <c r="R3467" t="s">
        <v>436</v>
      </c>
    </row>
    <row r="3468" spans="1:18" hidden="1">
      <c r="A3468" s="23" t="s">
        <v>6907</v>
      </c>
      <c r="B3468" s="23" t="s">
        <v>6908</v>
      </c>
      <c r="C3468" s="23">
        <v>3366</v>
      </c>
      <c r="I3468" s="3" t="str">
        <f>+IFERROR(VLOOKUP(C3468,'Mov 2023 hasta ahora '!$C$2:$D$314,2,FALSE),"NO")</f>
        <v>NO</v>
      </c>
      <c r="K3468">
        <v>6</v>
      </c>
      <c r="L3468" t="s">
        <v>836</v>
      </c>
      <c r="M3468">
        <v>24</v>
      </c>
      <c r="O3468" s="29" t="s">
        <v>9019</v>
      </c>
      <c r="P3468" s="25" t="s">
        <v>8762</v>
      </c>
      <c r="Q3468" s="25">
        <v>1758</v>
      </c>
      <c r="R3468" t="s">
        <v>436</v>
      </c>
    </row>
    <row r="3469" spans="1:18" hidden="1">
      <c r="A3469" t="s">
        <v>6909</v>
      </c>
      <c r="B3469" t="s">
        <v>1697</v>
      </c>
      <c r="I3469" s="3" t="str">
        <f>+IFERROR(VLOOKUP(C3469,'Mov 2023 hasta ahora '!$C$2:$D$314,2,FALSE),"NO")</f>
        <v>NO</v>
      </c>
      <c r="K3469">
        <v>3</v>
      </c>
      <c r="L3469" t="s">
        <v>836</v>
      </c>
      <c r="M3469">
        <v>10</v>
      </c>
    </row>
    <row r="3470" spans="1:18" hidden="1">
      <c r="A3470" t="s">
        <v>6910</v>
      </c>
      <c r="B3470" t="s">
        <v>6911</v>
      </c>
      <c r="I3470" s="3" t="str">
        <f>+IFERROR(VLOOKUP(C3470,'Mov 2023 hasta ahora '!$C$2:$D$314,2,FALSE),"NO")</f>
        <v>NO</v>
      </c>
      <c r="K3470">
        <v>4</v>
      </c>
      <c r="L3470" t="s">
        <v>836</v>
      </c>
      <c r="M3470">
        <v>14</v>
      </c>
    </row>
    <row r="3471" spans="1:18" hidden="1">
      <c r="A3471" t="s">
        <v>6912</v>
      </c>
      <c r="B3471" t="s">
        <v>6913</v>
      </c>
      <c r="I3471" s="3" t="str">
        <f>+IFERROR(VLOOKUP(C3471,'Mov 2023 hasta ahora '!$C$2:$D$314,2,FALSE),"NO")</f>
        <v>NO</v>
      </c>
      <c r="K3471">
        <v>5</v>
      </c>
      <c r="L3471" t="s">
        <v>836</v>
      </c>
      <c r="M3471">
        <v>18</v>
      </c>
    </row>
    <row r="3472" spans="1:18" hidden="1">
      <c r="A3472" s="23" t="s">
        <v>6914</v>
      </c>
      <c r="B3472" s="23" t="s">
        <v>6915</v>
      </c>
      <c r="C3472" s="23">
        <v>3144</v>
      </c>
      <c r="I3472" s="3" t="str">
        <f>+IFERROR(VLOOKUP(C3472,'Mov 2023 hasta ahora '!$C$2:$D$314,2,FALSE),"NO")</f>
        <v>NO</v>
      </c>
      <c r="K3472">
        <v>6</v>
      </c>
      <c r="L3472" t="s">
        <v>836</v>
      </c>
      <c r="M3472">
        <v>24</v>
      </c>
      <c r="O3472" s="29" t="s">
        <v>8742</v>
      </c>
      <c r="P3472" s="25" t="s">
        <v>9063</v>
      </c>
      <c r="Q3472" s="25">
        <v>176</v>
      </c>
      <c r="R3472" t="s">
        <v>436</v>
      </c>
    </row>
    <row r="3473" spans="1:18" hidden="1">
      <c r="A3473" s="23" t="s">
        <v>6916</v>
      </c>
      <c r="B3473" s="23" t="s">
        <v>6917</v>
      </c>
      <c r="C3473" s="23">
        <v>3203</v>
      </c>
      <c r="I3473" s="3" t="str">
        <f>+IFERROR(VLOOKUP(C3473,'Mov 2023 hasta ahora '!$C$2:$D$314,2,FALSE),"NO")</f>
        <v>NO</v>
      </c>
      <c r="K3473">
        <v>6</v>
      </c>
      <c r="L3473" t="s">
        <v>836</v>
      </c>
      <c r="M3473">
        <v>24</v>
      </c>
      <c r="O3473" s="29" t="s">
        <v>9057</v>
      </c>
      <c r="P3473" s="25" t="s">
        <v>9058</v>
      </c>
      <c r="Q3473" s="25">
        <v>3212</v>
      </c>
      <c r="R3473" t="s">
        <v>436</v>
      </c>
    </row>
    <row r="3474" spans="1:18" hidden="1">
      <c r="A3474" t="s">
        <v>6918</v>
      </c>
      <c r="B3474" t="s">
        <v>6919</v>
      </c>
      <c r="I3474" s="3" t="str">
        <f>+IFERROR(VLOOKUP(C3474,'Mov 2023 hasta ahora '!$C$2:$D$314,2,FALSE),"NO")</f>
        <v>NO</v>
      </c>
      <c r="K3474">
        <v>4</v>
      </c>
      <c r="L3474" t="s">
        <v>836</v>
      </c>
      <c r="M3474">
        <v>14</v>
      </c>
    </row>
    <row r="3475" spans="1:18" hidden="1">
      <c r="A3475" t="s">
        <v>6920</v>
      </c>
      <c r="B3475" t="s">
        <v>6921</v>
      </c>
      <c r="I3475" s="3" t="str">
        <f>+IFERROR(VLOOKUP(C3475,'Mov 2023 hasta ahora '!$C$2:$D$314,2,FALSE),"NO")</f>
        <v>NO</v>
      </c>
      <c r="K3475">
        <v>5</v>
      </c>
      <c r="L3475" t="s">
        <v>836</v>
      </c>
      <c r="M3475">
        <v>18</v>
      </c>
    </row>
    <row r="3476" spans="1:18" s="13" customFormat="1" hidden="1">
      <c r="A3476" s="23" t="s">
        <v>6922</v>
      </c>
      <c r="B3476" s="23" t="s">
        <v>6923</v>
      </c>
      <c r="C3476" s="23">
        <v>3145</v>
      </c>
      <c r="G3476"/>
      <c r="I3476" s="14" t="str">
        <f>+IFERROR(VLOOKUP(C3476,'Mov 2023 hasta ahora '!$C$2:$D$314,2,FALSE),"NO")</f>
        <v>NO</v>
      </c>
      <c r="K3476">
        <v>6</v>
      </c>
      <c r="L3476" t="s">
        <v>836</v>
      </c>
      <c r="M3476">
        <v>24</v>
      </c>
      <c r="O3476" s="29" t="s">
        <v>8746</v>
      </c>
      <c r="P3476" s="25" t="s">
        <v>9054</v>
      </c>
      <c r="Q3476" s="25">
        <v>185</v>
      </c>
      <c r="R3476" t="s">
        <v>436</v>
      </c>
    </row>
    <row r="3477" spans="1:18" s="13" customFormat="1" hidden="1">
      <c r="A3477" s="23" t="s">
        <v>6924</v>
      </c>
      <c r="B3477" s="23" t="s">
        <v>6925</v>
      </c>
      <c r="C3477" s="23">
        <v>3146</v>
      </c>
      <c r="G3477"/>
      <c r="I3477" s="14" t="str">
        <f>+IFERROR(VLOOKUP(C3477,'Mov 2023 hasta ahora '!$C$2:$D$314,2,FALSE),"NO")</f>
        <v>NO</v>
      </c>
      <c r="K3477">
        <v>6</v>
      </c>
      <c r="L3477" t="s">
        <v>836</v>
      </c>
      <c r="M3477">
        <v>24</v>
      </c>
      <c r="O3477" s="29" t="s">
        <v>8748</v>
      </c>
      <c r="P3477" s="25" t="s">
        <v>9055</v>
      </c>
      <c r="Q3477" s="25">
        <v>193</v>
      </c>
      <c r="R3477" t="s">
        <v>436</v>
      </c>
    </row>
    <row r="3478" spans="1:18" s="13" customFormat="1" hidden="1">
      <c r="A3478" s="23" t="s">
        <v>6926</v>
      </c>
      <c r="B3478" s="23" t="s">
        <v>6927</v>
      </c>
      <c r="C3478" s="23">
        <v>3147</v>
      </c>
      <c r="G3478"/>
      <c r="I3478" s="14" t="str">
        <f>+IFERROR(VLOOKUP(C3478,'Mov 2023 hasta ahora '!$C$2:$D$314,2,FALSE),"NO")</f>
        <v>NO</v>
      </c>
      <c r="K3478">
        <v>6</v>
      </c>
      <c r="L3478" t="s">
        <v>836</v>
      </c>
      <c r="M3478">
        <v>24</v>
      </c>
      <c r="O3478" s="29" t="s">
        <v>8749</v>
      </c>
      <c r="P3478" s="25" t="s">
        <v>9056</v>
      </c>
      <c r="Q3478" s="25">
        <v>202</v>
      </c>
      <c r="R3478" t="s">
        <v>436</v>
      </c>
    </row>
    <row r="3479" spans="1:18" hidden="1">
      <c r="A3479" s="23" t="s">
        <v>6928</v>
      </c>
      <c r="B3479" s="23" t="s">
        <v>6929</v>
      </c>
      <c r="C3479" s="23">
        <v>3148</v>
      </c>
      <c r="I3479" s="3" t="str">
        <f>+IFERROR(VLOOKUP(C3479,'Mov 2023 hasta ahora '!$C$2:$D$314,2,FALSE),"NO")</f>
        <v>NO</v>
      </c>
      <c r="K3479">
        <v>6</v>
      </c>
      <c r="L3479" t="s">
        <v>836</v>
      </c>
      <c r="M3479">
        <v>24</v>
      </c>
      <c r="O3479" s="29" t="s">
        <v>8750</v>
      </c>
      <c r="P3479" s="25" t="s">
        <v>8968</v>
      </c>
      <c r="Q3479" s="25">
        <v>1351</v>
      </c>
      <c r="R3479" t="s">
        <v>436</v>
      </c>
    </row>
    <row r="3480" spans="1:18" hidden="1">
      <c r="A3480" t="s">
        <v>6930</v>
      </c>
      <c r="B3480" t="s">
        <v>6931</v>
      </c>
      <c r="I3480" s="3" t="str">
        <f>+IFERROR(VLOOKUP(C3480,'Mov 2023 hasta ahora '!$C$2:$D$314,2,FALSE),"NO")</f>
        <v>NO</v>
      </c>
      <c r="K3480">
        <v>4</v>
      </c>
      <c r="L3480" t="s">
        <v>836</v>
      </c>
      <c r="M3480">
        <v>14</v>
      </c>
    </row>
    <row r="3481" spans="1:18" hidden="1">
      <c r="A3481" t="s">
        <v>6932</v>
      </c>
      <c r="B3481" t="s">
        <v>6933</v>
      </c>
      <c r="I3481" s="3" t="str">
        <f>+IFERROR(VLOOKUP(C3481,'Mov 2023 hasta ahora '!$C$2:$D$314,2,FALSE),"NO")</f>
        <v>NO</v>
      </c>
      <c r="K3481">
        <v>5</v>
      </c>
      <c r="L3481" t="s">
        <v>836</v>
      </c>
      <c r="M3481">
        <v>18</v>
      </c>
    </row>
    <row r="3482" spans="1:18" hidden="1">
      <c r="A3482" s="23" t="s">
        <v>6934</v>
      </c>
      <c r="B3482" s="23" t="s">
        <v>6935</v>
      </c>
      <c r="C3482" s="23">
        <v>3149</v>
      </c>
      <c r="I3482" s="3" t="str">
        <f>+IFERROR(VLOOKUP(C3482,'Mov 2023 hasta ahora '!$C$2:$D$314,2,FALSE),"NO")</f>
        <v>NO</v>
      </c>
      <c r="K3482">
        <v>6</v>
      </c>
      <c r="L3482" t="s">
        <v>836</v>
      </c>
      <c r="M3482">
        <v>24</v>
      </c>
      <c r="O3482" s="29" t="s">
        <v>9013</v>
      </c>
      <c r="P3482" s="25" t="s">
        <v>8756</v>
      </c>
      <c r="Q3482" s="25">
        <v>212</v>
      </c>
      <c r="R3482" t="s">
        <v>436</v>
      </c>
    </row>
    <row r="3483" spans="1:18" hidden="1">
      <c r="A3483" t="s">
        <v>6936</v>
      </c>
      <c r="B3483" t="s">
        <v>6937</v>
      </c>
      <c r="I3483" s="3" t="str">
        <f>+IFERROR(VLOOKUP(C3483,'Mov 2023 hasta ahora '!$C$2:$D$314,2,FALSE),"NO")</f>
        <v>NO</v>
      </c>
      <c r="K3483">
        <v>4</v>
      </c>
      <c r="L3483" t="s">
        <v>836</v>
      </c>
      <c r="M3483">
        <v>14</v>
      </c>
    </row>
    <row r="3484" spans="1:18" hidden="1">
      <c r="A3484" t="s">
        <v>6938</v>
      </c>
      <c r="B3484" t="s">
        <v>6939</v>
      </c>
      <c r="I3484" s="3" t="str">
        <f>+IFERROR(VLOOKUP(C3484,'Mov 2023 hasta ahora '!$C$2:$D$314,2,FALSE),"NO")</f>
        <v>NO</v>
      </c>
      <c r="K3484">
        <v>5</v>
      </c>
      <c r="L3484" t="s">
        <v>836</v>
      </c>
      <c r="M3484">
        <v>18</v>
      </c>
    </row>
    <row r="3485" spans="1:18" s="15" customFormat="1" hidden="1">
      <c r="A3485" s="23" t="s">
        <v>6940</v>
      </c>
      <c r="B3485" s="23" t="s">
        <v>6941</v>
      </c>
      <c r="C3485" s="23">
        <v>3152</v>
      </c>
      <c r="G3485"/>
      <c r="I3485" s="16" t="str">
        <f>+IFERROR(VLOOKUP(C3485,'Mov 2023 hasta ahora '!$C$2:$D$314,2,FALSE),"NO")</f>
        <v>NO</v>
      </c>
      <c r="K3485">
        <v>6</v>
      </c>
      <c r="L3485" t="s">
        <v>836</v>
      </c>
      <c r="M3485">
        <v>24</v>
      </c>
      <c r="O3485" s="29" t="s">
        <v>8864</v>
      </c>
      <c r="P3485" s="25" t="s">
        <v>8979</v>
      </c>
      <c r="Q3485" s="25">
        <v>2177</v>
      </c>
      <c r="R3485" t="s">
        <v>436</v>
      </c>
    </row>
    <row r="3486" spans="1:18" s="15" customFormat="1" hidden="1">
      <c r="A3486" s="23" t="s">
        <v>6942</v>
      </c>
      <c r="B3486" s="23" t="s">
        <v>6943</v>
      </c>
      <c r="C3486" s="23">
        <v>3150</v>
      </c>
      <c r="G3486"/>
      <c r="I3486" s="16" t="str">
        <f>+IFERROR(VLOOKUP(C3486,'Mov 2023 hasta ahora '!$C$2:$D$314,2,FALSE),"NO")</f>
        <v>NO</v>
      </c>
      <c r="K3486">
        <v>6</v>
      </c>
      <c r="L3486" t="s">
        <v>836</v>
      </c>
      <c r="M3486">
        <v>24</v>
      </c>
      <c r="O3486" s="29" t="s">
        <v>8793</v>
      </c>
      <c r="P3486" s="25" t="s">
        <v>8975</v>
      </c>
      <c r="Q3486" s="25">
        <v>1616</v>
      </c>
      <c r="R3486" t="s">
        <v>436</v>
      </c>
    </row>
    <row r="3487" spans="1:18" s="15" customFormat="1" hidden="1">
      <c r="A3487" s="23" t="s">
        <v>6944</v>
      </c>
      <c r="B3487" s="23" t="s">
        <v>6945</v>
      </c>
      <c r="C3487" s="23">
        <v>3151</v>
      </c>
      <c r="G3487"/>
      <c r="I3487" s="16" t="str">
        <f>+IFERROR(VLOOKUP(C3487,'Mov 2023 hasta ahora '!$C$2:$D$314,2,FALSE),"NO")</f>
        <v>NO</v>
      </c>
      <c r="K3487">
        <v>6</v>
      </c>
      <c r="L3487" t="s">
        <v>836</v>
      </c>
      <c r="M3487">
        <v>24</v>
      </c>
      <c r="O3487" s="29" t="s">
        <v>8793</v>
      </c>
      <c r="P3487" s="25" t="s">
        <v>8975</v>
      </c>
      <c r="Q3487" s="25">
        <v>1616</v>
      </c>
      <c r="R3487" t="s">
        <v>436</v>
      </c>
    </row>
    <row r="3488" spans="1:18" s="15" customFormat="1" hidden="1">
      <c r="A3488" s="23" t="s">
        <v>6946</v>
      </c>
      <c r="B3488" s="23" t="s">
        <v>6947</v>
      </c>
      <c r="C3488" s="23">
        <v>3214</v>
      </c>
      <c r="G3488"/>
      <c r="I3488" s="16" t="str">
        <f>+IFERROR(VLOOKUP(C3488,'Mov 2023 hasta ahora '!$C$2:$D$314,2,FALSE),"NO")</f>
        <v>NO</v>
      </c>
      <c r="K3488">
        <v>6</v>
      </c>
      <c r="L3488" t="s">
        <v>836</v>
      </c>
      <c r="M3488">
        <v>24</v>
      </c>
      <c r="O3488" s="29" t="s">
        <v>8802</v>
      </c>
      <c r="P3488" s="25" t="s">
        <v>8976</v>
      </c>
      <c r="Q3488" s="25">
        <v>3222</v>
      </c>
      <c r="R3488" t="s">
        <v>436</v>
      </c>
    </row>
    <row r="3489" spans="1:18" s="15" customFormat="1" hidden="1">
      <c r="A3489" s="23" t="s">
        <v>6948</v>
      </c>
      <c r="B3489" s="23" t="s">
        <v>6949</v>
      </c>
      <c r="C3489" s="23">
        <v>3225</v>
      </c>
      <c r="G3489"/>
      <c r="I3489" s="16" t="str">
        <f>+IFERROR(VLOOKUP(C3489,'Mov 2023 hasta ahora '!$C$2:$D$314,2,FALSE),"NO")</f>
        <v>NO</v>
      </c>
      <c r="K3489">
        <v>6</v>
      </c>
      <c r="L3489" t="s">
        <v>836</v>
      </c>
      <c r="M3489">
        <v>24</v>
      </c>
      <c r="O3489" s="29" t="s">
        <v>8833</v>
      </c>
      <c r="P3489" s="25" t="s">
        <v>8977</v>
      </c>
      <c r="Q3489" s="25">
        <v>3233</v>
      </c>
      <c r="R3489" t="s">
        <v>436</v>
      </c>
    </row>
    <row r="3490" spans="1:18" s="15" customFormat="1" hidden="1">
      <c r="A3490" s="23" t="s">
        <v>6950</v>
      </c>
      <c r="B3490" s="23" t="s">
        <v>6951</v>
      </c>
      <c r="C3490" s="23">
        <v>3236</v>
      </c>
      <c r="G3490"/>
      <c r="I3490" s="16" t="str">
        <f>+IFERROR(VLOOKUP(C3490,'Mov 2023 hasta ahora '!$C$2:$D$314,2,FALSE),"NO")</f>
        <v>NO</v>
      </c>
      <c r="K3490">
        <v>6</v>
      </c>
      <c r="L3490" t="s">
        <v>836</v>
      </c>
      <c r="M3490">
        <v>24</v>
      </c>
      <c r="O3490" s="29" t="s">
        <v>8755</v>
      </c>
      <c r="P3490" s="25" t="s">
        <v>8978</v>
      </c>
      <c r="Q3490" s="25">
        <v>3244</v>
      </c>
      <c r="R3490" t="s">
        <v>436</v>
      </c>
    </row>
    <row r="3491" spans="1:18" hidden="1">
      <c r="A3491" t="s">
        <v>6952</v>
      </c>
      <c r="B3491" t="s">
        <v>6953</v>
      </c>
      <c r="I3491" s="3" t="str">
        <f>+IFERROR(VLOOKUP(C3491,'Mov 2023 hasta ahora '!$C$2:$D$314,2,FALSE),"NO")</f>
        <v>NO</v>
      </c>
      <c r="K3491">
        <v>5</v>
      </c>
      <c r="L3491" t="s">
        <v>836</v>
      </c>
      <c r="M3491">
        <v>18</v>
      </c>
    </row>
    <row r="3492" spans="1:18" hidden="1">
      <c r="A3492" s="23" t="s">
        <v>6954</v>
      </c>
      <c r="B3492" s="23" t="s">
        <v>6955</v>
      </c>
      <c r="C3492" s="23">
        <v>3153</v>
      </c>
      <c r="I3492" s="3" t="str">
        <f>+IFERROR(VLOOKUP(C3492,'Mov 2023 hasta ahora '!$C$2:$D$314,2,FALSE),"NO")</f>
        <v>NO</v>
      </c>
      <c r="K3492">
        <v>6</v>
      </c>
      <c r="L3492" t="s">
        <v>836</v>
      </c>
      <c r="M3492">
        <v>24</v>
      </c>
      <c r="O3492" s="29" t="s">
        <v>8794</v>
      </c>
      <c r="P3492" s="25" t="s">
        <v>8982</v>
      </c>
      <c r="Q3492" s="25">
        <v>1441</v>
      </c>
      <c r="R3492" t="s">
        <v>436</v>
      </c>
    </row>
    <row r="3493" spans="1:18" hidden="1">
      <c r="A3493" s="23" t="s">
        <v>6956</v>
      </c>
      <c r="B3493" s="23" t="s">
        <v>6957</v>
      </c>
      <c r="C3493" s="23">
        <v>3154</v>
      </c>
      <c r="I3493" s="3" t="str">
        <f>+IFERROR(VLOOKUP(C3493,'Mov 2023 hasta ahora '!$C$2:$D$314,2,FALSE),"NO")</f>
        <v>NO</v>
      </c>
      <c r="K3493">
        <v>6</v>
      </c>
      <c r="L3493" t="s">
        <v>836</v>
      </c>
      <c r="M3493">
        <v>24</v>
      </c>
      <c r="O3493" s="29" t="s">
        <v>8809</v>
      </c>
      <c r="P3493" s="25" t="s">
        <v>8983</v>
      </c>
      <c r="Q3493" s="25">
        <v>1448</v>
      </c>
      <c r="R3493" t="s">
        <v>436</v>
      </c>
    </row>
    <row r="3494" spans="1:18" hidden="1">
      <c r="A3494" t="s">
        <v>6958</v>
      </c>
      <c r="B3494" t="s">
        <v>6959</v>
      </c>
      <c r="I3494" s="3" t="str">
        <f>+IFERROR(VLOOKUP(C3494,'Mov 2023 hasta ahora '!$C$2:$D$314,2,FALSE),"NO")</f>
        <v>NO</v>
      </c>
      <c r="K3494">
        <v>4</v>
      </c>
      <c r="L3494" t="s">
        <v>836</v>
      </c>
      <c r="M3494">
        <v>14</v>
      </c>
    </row>
    <row r="3495" spans="1:18" hidden="1">
      <c r="A3495" t="s">
        <v>6960</v>
      </c>
      <c r="B3495" t="s">
        <v>6961</v>
      </c>
      <c r="I3495" s="3" t="str">
        <f>+IFERROR(VLOOKUP(C3495,'Mov 2023 hasta ahora '!$C$2:$D$314,2,FALSE),"NO")</f>
        <v>NO</v>
      </c>
      <c r="K3495">
        <v>5</v>
      </c>
      <c r="L3495" t="s">
        <v>836</v>
      </c>
      <c r="M3495">
        <v>18</v>
      </c>
    </row>
    <row r="3496" spans="1:18" s="13" customFormat="1" hidden="1">
      <c r="A3496" s="23" t="s">
        <v>6962</v>
      </c>
      <c r="B3496" s="23" t="s">
        <v>6963</v>
      </c>
      <c r="C3496" s="23">
        <v>3155</v>
      </c>
      <c r="G3496"/>
      <c r="I3496" s="14" t="str">
        <f>+IFERROR(VLOOKUP(C3496,'Mov 2023 hasta ahora '!$C$2:$D$314,2,FALSE),"NO")</f>
        <v>NO</v>
      </c>
      <c r="K3496">
        <v>6</v>
      </c>
      <c r="L3496" t="s">
        <v>836</v>
      </c>
      <c r="M3496">
        <v>24</v>
      </c>
      <c r="O3496" s="29" t="s">
        <v>8857</v>
      </c>
      <c r="P3496" s="25" t="s">
        <v>8980</v>
      </c>
      <c r="Q3496" s="25">
        <v>2178</v>
      </c>
      <c r="R3496" t="s">
        <v>436</v>
      </c>
    </row>
    <row r="3497" spans="1:18" s="13" customFormat="1" hidden="1">
      <c r="A3497" s="23" t="s">
        <v>6964</v>
      </c>
      <c r="B3497" s="23" t="s">
        <v>6965</v>
      </c>
      <c r="C3497" s="23">
        <v>3156</v>
      </c>
      <c r="G3497"/>
      <c r="I3497" s="14" t="str">
        <f>+IFERROR(VLOOKUP(C3497,'Mov 2023 hasta ahora '!$C$2:$D$314,2,FALSE),"NO")</f>
        <v>NO</v>
      </c>
      <c r="K3497">
        <v>6</v>
      </c>
      <c r="L3497" t="s">
        <v>836</v>
      </c>
      <c r="M3497">
        <v>24</v>
      </c>
      <c r="O3497" s="29" t="s">
        <v>8846</v>
      </c>
      <c r="P3497" s="25" t="s">
        <v>8981</v>
      </c>
      <c r="Q3497" s="25">
        <v>2179</v>
      </c>
      <c r="R3497" t="s">
        <v>436</v>
      </c>
    </row>
    <row r="3498" spans="1:18" s="13" customFormat="1" hidden="1">
      <c r="A3498" s="23" t="s">
        <v>6966</v>
      </c>
      <c r="B3498" s="23" t="s">
        <v>6967</v>
      </c>
      <c r="C3498" s="23">
        <v>3157</v>
      </c>
      <c r="G3498"/>
      <c r="I3498" s="14" t="str">
        <f>+IFERROR(VLOOKUP(C3498,'Mov 2023 hasta ahora '!$C$2:$D$314,2,FALSE),"NO")</f>
        <v>NO</v>
      </c>
      <c r="K3498">
        <v>6</v>
      </c>
      <c r="L3498" t="s">
        <v>836</v>
      </c>
      <c r="M3498">
        <v>24</v>
      </c>
      <c r="O3498" s="29" t="s">
        <v>8846</v>
      </c>
      <c r="P3498" s="25" t="s">
        <v>8981</v>
      </c>
      <c r="Q3498" s="25">
        <v>2179</v>
      </c>
      <c r="R3498" t="s">
        <v>436</v>
      </c>
    </row>
    <row r="3499" spans="1:18" s="13" customFormat="1" hidden="1">
      <c r="A3499" s="23" t="s">
        <v>6968</v>
      </c>
      <c r="B3499" s="23" t="s">
        <v>6969</v>
      </c>
      <c r="C3499" s="23">
        <v>3158</v>
      </c>
      <c r="G3499"/>
      <c r="I3499" s="14" t="str">
        <f>+IFERROR(VLOOKUP(C3499,'Mov 2023 hasta ahora '!$C$2:$D$314,2,FALSE),"NO")</f>
        <v>NO</v>
      </c>
      <c r="K3499">
        <v>6</v>
      </c>
      <c r="L3499" t="s">
        <v>836</v>
      </c>
      <c r="M3499">
        <v>24</v>
      </c>
      <c r="O3499" s="29" t="s">
        <v>8794</v>
      </c>
      <c r="P3499" s="25" t="s">
        <v>8982</v>
      </c>
      <c r="Q3499" s="25">
        <v>1441</v>
      </c>
      <c r="R3499" t="s">
        <v>436</v>
      </c>
    </row>
    <row r="3500" spans="1:18" s="13" customFormat="1" hidden="1">
      <c r="A3500" s="23" t="s">
        <v>6970</v>
      </c>
      <c r="B3500" s="23" t="s">
        <v>6971</v>
      </c>
      <c r="C3500" s="23">
        <v>3159</v>
      </c>
      <c r="G3500"/>
      <c r="I3500" s="14" t="str">
        <f>+IFERROR(VLOOKUP(C3500,'Mov 2023 hasta ahora '!$C$2:$D$314,2,FALSE),"NO")</f>
        <v>NO</v>
      </c>
      <c r="K3500">
        <v>6</v>
      </c>
      <c r="L3500" t="s">
        <v>836</v>
      </c>
      <c r="M3500">
        <v>24</v>
      </c>
      <c r="O3500" s="29" t="s">
        <v>8809</v>
      </c>
      <c r="P3500" s="25" t="s">
        <v>8983</v>
      </c>
      <c r="Q3500" s="25">
        <v>1448</v>
      </c>
      <c r="R3500" t="s">
        <v>436</v>
      </c>
    </row>
    <row r="3501" spans="1:18" s="13" customFormat="1" hidden="1">
      <c r="A3501" s="23" t="s">
        <v>6972</v>
      </c>
      <c r="B3501" s="23" t="s">
        <v>6973</v>
      </c>
      <c r="C3501" s="23">
        <v>3247</v>
      </c>
      <c r="G3501"/>
      <c r="I3501" s="14" t="str">
        <f>+IFERROR(VLOOKUP(C3501,'Mov 2023 hasta ahora '!$C$2:$D$314,2,FALSE),"NO")</f>
        <v>NO</v>
      </c>
      <c r="K3501">
        <v>6</v>
      </c>
      <c r="L3501" t="s">
        <v>836</v>
      </c>
      <c r="M3501">
        <v>24</v>
      </c>
      <c r="O3501" s="29" t="s">
        <v>8857</v>
      </c>
      <c r="P3501" s="25" t="s">
        <v>8980</v>
      </c>
      <c r="Q3501" s="25">
        <v>2178</v>
      </c>
      <c r="R3501" t="s">
        <v>436</v>
      </c>
    </row>
    <row r="3502" spans="1:18" s="13" customFormat="1" hidden="1">
      <c r="A3502" s="23" t="s">
        <v>6974</v>
      </c>
      <c r="B3502" s="23" t="s">
        <v>6975</v>
      </c>
      <c r="C3502" s="23">
        <v>3258</v>
      </c>
      <c r="G3502"/>
      <c r="I3502" s="14" t="str">
        <f>+IFERROR(VLOOKUP(C3502,'Mov 2023 hasta ahora '!$C$2:$D$314,2,FALSE),"NO")</f>
        <v>NO</v>
      </c>
      <c r="K3502">
        <v>6</v>
      </c>
      <c r="L3502" t="s">
        <v>836</v>
      </c>
      <c r="M3502">
        <v>24</v>
      </c>
      <c r="O3502" s="29" t="s">
        <v>8857</v>
      </c>
      <c r="P3502" s="25" t="s">
        <v>8980</v>
      </c>
      <c r="Q3502" s="25">
        <v>2178</v>
      </c>
      <c r="R3502" t="s">
        <v>436</v>
      </c>
    </row>
    <row r="3503" spans="1:18" s="13" customFormat="1" hidden="1">
      <c r="A3503" s="23" t="s">
        <v>6976</v>
      </c>
      <c r="B3503" s="23" t="s">
        <v>6977</v>
      </c>
      <c r="C3503" s="23">
        <v>3269</v>
      </c>
      <c r="G3503"/>
      <c r="I3503" s="14" t="str">
        <f>+IFERROR(VLOOKUP(C3503,'Mov 2023 hasta ahora '!$C$2:$D$314,2,FALSE),"NO")</f>
        <v>NO</v>
      </c>
      <c r="K3503">
        <v>6</v>
      </c>
      <c r="L3503" t="s">
        <v>836</v>
      </c>
      <c r="M3503">
        <v>24</v>
      </c>
      <c r="O3503" s="29" t="s">
        <v>8857</v>
      </c>
      <c r="P3503" s="25" t="s">
        <v>8980</v>
      </c>
      <c r="Q3503" s="25">
        <v>2178</v>
      </c>
      <c r="R3503" t="s">
        <v>436</v>
      </c>
    </row>
    <row r="3504" spans="1:18" s="13" customFormat="1" hidden="1">
      <c r="A3504" s="23" t="s">
        <v>6978</v>
      </c>
      <c r="B3504" s="23" t="s">
        <v>6979</v>
      </c>
      <c r="C3504" s="23">
        <v>3280</v>
      </c>
      <c r="G3504"/>
      <c r="I3504" s="14" t="str">
        <f>+IFERROR(VLOOKUP(C3504,'Mov 2023 hasta ahora '!$C$2:$D$314,2,FALSE),"NO")</f>
        <v>NO</v>
      </c>
      <c r="K3504">
        <v>6</v>
      </c>
      <c r="L3504" t="s">
        <v>836</v>
      </c>
      <c r="M3504">
        <v>24</v>
      </c>
      <c r="O3504" s="29" t="s">
        <v>8857</v>
      </c>
      <c r="P3504" s="25" t="s">
        <v>8980</v>
      </c>
      <c r="Q3504" s="25">
        <v>2178</v>
      </c>
      <c r="R3504" t="s">
        <v>436</v>
      </c>
    </row>
    <row r="3505" spans="1:18" hidden="1">
      <c r="A3505" t="s">
        <v>6980</v>
      </c>
      <c r="B3505" t="s">
        <v>6981</v>
      </c>
      <c r="I3505" s="3" t="str">
        <f>+IFERROR(VLOOKUP(C3505,'Mov 2023 hasta ahora '!$C$2:$D$314,2,FALSE),"NO")</f>
        <v>NO</v>
      </c>
      <c r="K3505">
        <v>4</v>
      </c>
      <c r="L3505" t="s">
        <v>836</v>
      </c>
      <c r="M3505">
        <v>14</v>
      </c>
    </row>
    <row r="3506" spans="1:18" hidden="1">
      <c r="A3506" t="s">
        <v>6982</v>
      </c>
      <c r="B3506" t="s">
        <v>6983</v>
      </c>
      <c r="I3506" s="3" t="str">
        <f>+IFERROR(VLOOKUP(C3506,'Mov 2023 hasta ahora '!$C$2:$D$314,2,FALSE),"NO")</f>
        <v>NO</v>
      </c>
      <c r="K3506">
        <v>5</v>
      </c>
      <c r="L3506" t="s">
        <v>836</v>
      </c>
      <c r="M3506">
        <v>18</v>
      </c>
    </row>
    <row r="3507" spans="1:18" s="13" customFormat="1" hidden="1">
      <c r="A3507" s="23" t="s">
        <v>6984</v>
      </c>
      <c r="B3507" s="23" t="s">
        <v>6985</v>
      </c>
      <c r="C3507" s="23">
        <v>3160</v>
      </c>
      <c r="G3507"/>
      <c r="I3507" s="14" t="str">
        <f>+IFERROR(VLOOKUP(C3507,'Mov 2023 hasta ahora '!$C$2:$D$314,2,FALSE),"NO")</f>
        <v>NO</v>
      </c>
      <c r="K3507">
        <v>6</v>
      </c>
      <c r="L3507" t="s">
        <v>836</v>
      </c>
      <c r="M3507">
        <v>24</v>
      </c>
      <c r="O3507" s="29" t="s">
        <v>8867</v>
      </c>
      <c r="P3507" s="25" t="s">
        <v>8987</v>
      </c>
      <c r="Q3507" s="25">
        <v>456</v>
      </c>
      <c r="R3507" t="s">
        <v>436</v>
      </c>
    </row>
    <row r="3508" spans="1:18" s="13" customFormat="1" hidden="1">
      <c r="A3508" s="23" t="s">
        <v>6986</v>
      </c>
      <c r="B3508" s="23" t="s">
        <v>6987</v>
      </c>
      <c r="C3508" s="23">
        <v>3161</v>
      </c>
      <c r="G3508"/>
      <c r="I3508" s="14" t="str">
        <f>+IFERROR(VLOOKUP(C3508,'Mov 2023 hasta ahora '!$C$2:$D$314,2,FALSE),"NO")</f>
        <v>NO</v>
      </c>
      <c r="K3508">
        <v>6</v>
      </c>
      <c r="L3508" t="s">
        <v>836</v>
      </c>
      <c r="M3508">
        <v>24</v>
      </c>
      <c r="O3508" s="29" t="s">
        <v>8853</v>
      </c>
      <c r="P3508" s="25" t="s">
        <v>8986</v>
      </c>
      <c r="Q3508" s="25">
        <v>366</v>
      </c>
      <c r="R3508" t="s">
        <v>436</v>
      </c>
    </row>
    <row r="3509" spans="1:18" s="13" customFormat="1" hidden="1">
      <c r="A3509" s="23" t="s">
        <v>6988</v>
      </c>
      <c r="B3509" s="23" t="s">
        <v>6989</v>
      </c>
      <c r="C3509" s="23">
        <v>3162</v>
      </c>
      <c r="G3509"/>
      <c r="I3509" s="14" t="str">
        <f>+IFERROR(VLOOKUP(C3509,'Mov 2023 hasta ahora '!$C$2:$D$314,2,FALSE),"NO")</f>
        <v>NO</v>
      </c>
      <c r="K3509">
        <v>6</v>
      </c>
      <c r="L3509" t="s">
        <v>836</v>
      </c>
      <c r="M3509">
        <v>24</v>
      </c>
      <c r="O3509" s="29" t="s">
        <v>8853</v>
      </c>
      <c r="P3509" s="25" t="s">
        <v>8986</v>
      </c>
      <c r="Q3509" s="25">
        <v>366</v>
      </c>
      <c r="R3509" t="s">
        <v>436</v>
      </c>
    </row>
    <row r="3510" spans="1:18" hidden="1">
      <c r="A3510" t="s">
        <v>6990</v>
      </c>
      <c r="B3510" t="s">
        <v>6991</v>
      </c>
      <c r="I3510" s="3" t="str">
        <f>+IFERROR(VLOOKUP(C3510,'Mov 2023 hasta ahora '!$C$2:$D$314,2,FALSE),"NO")</f>
        <v>NO</v>
      </c>
      <c r="K3510">
        <v>5</v>
      </c>
      <c r="L3510" t="s">
        <v>836</v>
      </c>
      <c r="M3510">
        <v>18</v>
      </c>
    </row>
    <row r="3511" spans="1:18" s="13" customFormat="1" hidden="1">
      <c r="A3511" s="23" t="s">
        <v>6992</v>
      </c>
      <c r="B3511" s="23" t="s">
        <v>6993</v>
      </c>
      <c r="C3511" s="23">
        <v>3163</v>
      </c>
      <c r="G3511"/>
      <c r="I3511" s="14" t="str">
        <f>+IFERROR(VLOOKUP(C3511,'Mov 2023 hasta ahora '!$C$2:$D$314,2,FALSE),"NO")</f>
        <v>NO</v>
      </c>
      <c r="K3511">
        <v>6</v>
      </c>
      <c r="L3511" t="s">
        <v>836</v>
      </c>
      <c r="M3511">
        <v>24</v>
      </c>
      <c r="O3511" s="29" t="s">
        <v>8800</v>
      </c>
      <c r="P3511" s="25" t="s">
        <v>8988</v>
      </c>
      <c r="Q3511" s="25">
        <v>1457</v>
      </c>
      <c r="R3511" t="s">
        <v>436</v>
      </c>
    </row>
    <row r="3512" spans="1:18" s="13" customFormat="1" hidden="1">
      <c r="A3512" s="23" t="s">
        <v>6994</v>
      </c>
      <c r="B3512" s="23" t="s">
        <v>6995</v>
      </c>
      <c r="C3512" s="23">
        <v>3164</v>
      </c>
      <c r="G3512"/>
      <c r="I3512" s="14" t="str">
        <f>+IFERROR(VLOOKUP(C3512,'Mov 2023 hasta ahora '!$C$2:$D$314,2,FALSE),"NO")</f>
        <v>NO</v>
      </c>
      <c r="K3512">
        <v>6</v>
      </c>
      <c r="L3512" t="s">
        <v>836</v>
      </c>
      <c r="M3512">
        <v>24</v>
      </c>
      <c r="O3512" s="29" t="s">
        <v>8810</v>
      </c>
      <c r="P3512" s="25" t="s">
        <v>8989</v>
      </c>
      <c r="Q3512" s="25">
        <v>1465</v>
      </c>
      <c r="R3512" t="s">
        <v>436</v>
      </c>
    </row>
    <row r="3513" spans="1:18" hidden="1">
      <c r="A3513" t="s">
        <v>6996</v>
      </c>
      <c r="B3513" t="s">
        <v>6997</v>
      </c>
      <c r="I3513" s="3" t="str">
        <f>+IFERROR(VLOOKUP(C3513,'Mov 2023 hasta ahora '!$C$2:$D$314,2,FALSE),"NO")</f>
        <v>NO</v>
      </c>
      <c r="K3513">
        <v>4</v>
      </c>
      <c r="L3513" t="s">
        <v>836</v>
      </c>
      <c r="M3513">
        <v>14</v>
      </c>
    </row>
    <row r="3514" spans="1:18" hidden="1">
      <c r="A3514" t="s">
        <v>6998</v>
      </c>
      <c r="B3514" t="s">
        <v>6999</v>
      </c>
      <c r="I3514" s="3" t="str">
        <f>+IFERROR(VLOOKUP(C3514,'Mov 2023 hasta ahora '!$C$2:$D$314,2,FALSE),"NO")</f>
        <v>NO</v>
      </c>
      <c r="K3514">
        <v>5</v>
      </c>
      <c r="L3514" t="s">
        <v>836</v>
      </c>
      <c r="M3514">
        <v>18</v>
      </c>
    </row>
    <row r="3515" spans="1:18" s="13" customFormat="1" hidden="1">
      <c r="A3515" s="23" t="s">
        <v>7000</v>
      </c>
      <c r="B3515" s="23" t="s">
        <v>7001</v>
      </c>
      <c r="C3515" s="23">
        <v>3445</v>
      </c>
      <c r="G3515"/>
      <c r="I3515" s="14" t="str">
        <f>+IFERROR(VLOOKUP(C3515,'Mov 2023 hasta ahora '!$C$2:$D$314,2,FALSE),"NO")</f>
        <v>NO</v>
      </c>
      <c r="K3515">
        <v>6</v>
      </c>
      <c r="L3515" t="s">
        <v>836</v>
      </c>
      <c r="M3515">
        <v>24</v>
      </c>
      <c r="O3515" s="29" t="s">
        <v>8752</v>
      </c>
      <c r="P3515" s="25" t="s">
        <v>8995</v>
      </c>
      <c r="Q3515" s="25">
        <v>1481</v>
      </c>
      <c r="R3515" t="s">
        <v>436</v>
      </c>
    </row>
    <row r="3516" spans="1:18" s="13" customFormat="1" hidden="1">
      <c r="A3516" s="23" t="s">
        <v>7002</v>
      </c>
      <c r="B3516" s="23" t="s">
        <v>7003</v>
      </c>
      <c r="C3516" s="23">
        <v>3446</v>
      </c>
      <c r="G3516"/>
      <c r="I3516" s="14" t="str">
        <f>+IFERROR(VLOOKUP(C3516,'Mov 2023 hasta ahora '!$C$2:$D$314,2,FALSE),"NO")</f>
        <v>NO</v>
      </c>
      <c r="K3516">
        <v>6</v>
      </c>
      <c r="L3516" t="s">
        <v>836</v>
      </c>
      <c r="M3516">
        <v>24</v>
      </c>
      <c r="O3516" s="29" t="s">
        <v>8766</v>
      </c>
      <c r="P3516" s="25" t="s">
        <v>8996</v>
      </c>
      <c r="Q3516" s="25">
        <v>1473</v>
      </c>
      <c r="R3516" t="s">
        <v>436</v>
      </c>
    </row>
    <row r="3517" spans="1:18" hidden="1">
      <c r="A3517" t="s">
        <v>7004</v>
      </c>
      <c r="B3517" t="s">
        <v>7005</v>
      </c>
      <c r="I3517" s="3" t="str">
        <f>+IFERROR(VLOOKUP(C3517,'Mov 2023 hasta ahora '!$C$2:$D$314,2,FALSE),"NO")</f>
        <v>NO</v>
      </c>
      <c r="K3517">
        <v>4</v>
      </c>
      <c r="L3517" t="s">
        <v>836</v>
      </c>
      <c r="M3517">
        <v>14</v>
      </c>
    </row>
    <row r="3518" spans="1:18" hidden="1">
      <c r="A3518" t="s">
        <v>7006</v>
      </c>
      <c r="B3518" t="s">
        <v>7007</v>
      </c>
      <c r="I3518" s="3" t="str">
        <f>+IFERROR(VLOOKUP(C3518,'Mov 2023 hasta ahora '!$C$2:$D$314,2,FALSE),"NO")</f>
        <v>NO</v>
      </c>
      <c r="K3518">
        <v>5</v>
      </c>
      <c r="L3518" t="s">
        <v>836</v>
      </c>
      <c r="M3518">
        <v>18</v>
      </c>
    </row>
    <row r="3519" spans="1:18" s="13" customFormat="1" hidden="1">
      <c r="A3519" s="23" t="s">
        <v>7008</v>
      </c>
      <c r="B3519" s="23" t="s">
        <v>7009</v>
      </c>
      <c r="C3519" s="23">
        <v>3314</v>
      </c>
      <c r="G3519"/>
      <c r="I3519" s="14" t="str">
        <f>+IFERROR(VLOOKUP(C3519,'Mov 2023 hasta ahora '!$C$2:$D$314,2,FALSE),"NO")</f>
        <v>NO</v>
      </c>
      <c r="K3519">
        <v>6</v>
      </c>
      <c r="L3519" t="s">
        <v>836</v>
      </c>
      <c r="M3519">
        <v>24</v>
      </c>
      <c r="O3519" s="29" t="s">
        <v>8795</v>
      </c>
      <c r="P3519" s="25" t="s">
        <v>8798</v>
      </c>
      <c r="Q3519" s="25">
        <v>1489</v>
      </c>
      <c r="R3519" t="s">
        <v>436</v>
      </c>
    </row>
    <row r="3520" spans="1:18" s="13" customFormat="1" hidden="1">
      <c r="A3520" s="23" t="s">
        <v>7010</v>
      </c>
      <c r="B3520" s="23" t="s">
        <v>7011</v>
      </c>
      <c r="C3520" s="23">
        <v>3315</v>
      </c>
      <c r="G3520"/>
      <c r="I3520" s="14" t="str">
        <f>+IFERROR(VLOOKUP(C3520,'Mov 2023 hasta ahora '!$C$2:$D$314,2,FALSE),"NO")</f>
        <v>NO</v>
      </c>
      <c r="K3520">
        <v>6</v>
      </c>
      <c r="L3520" t="s">
        <v>836</v>
      </c>
      <c r="M3520">
        <v>24</v>
      </c>
      <c r="O3520" s="29" t="s">
        <v>8804</v>
      </c>
      <c r="P3520" s="25" t="s">
        <v>8808</v>
      </c>
      <c r="Q3520" s="25">
        <v>1497</v>
      </c>
      <c r="R3520" s="13" t="s">
        <v>436</v>
      </c>
    </row>
    <row r="3521" spans="1:18" hidden="1">
      <c r="A3521" t="s">
        <v>7012</v>
      </c>
      <c r="B3521" t="s">
        <v>7013</v>
      </c>
      <c r="I3521" s="3" t="str">
        <f>+IFERROR(VLOOKUP(C3521,'Mov 2023 hasta ahora '!$C$2:$D$314,2,FALSE),"NO")</f>
        <v>NO</v>
      </c>
      <c r="K3521">
        <v>4</v>
      </c>
      <c r="L3521" t="s">
        <v>836</v>
      </c>
      <c r="M3521">
        <v>14</v>
      </c>
    </row>
    <row r="3522" spans="1:18" hidden="1">
      <c r="A3522" t="s">
        <v>7014</v>
      </c>
      <c r="B3522" t="s">
        <v>7015</v>
      </c>
      <c r="I3522" s="3" t="str">
        <f>+IFERROR(VLOOKUP(C3522,'Mov 2023 hasta ahora '!$C$2:$D$314,2,FALSE),"NO")</f>
        <v>NO</v>
      </c>
      <c r="K3522">
        <v>5</v>
      </c>
      <c r="L3522" t="s">
        <v>836</v>
      </c>
      <c r="M3522">
        <v>18</v>
      </c>
    </row>
    <row r="3523" spans="1:18" s="13" customFormat="1" hidden="1">
      <c r="A3523" s="23" t="s">
        <v>7016</v>
      </c>
      <c r="B3523" s="23" t="s">
        <v>7017</v>
      </c>
      <c r="C3523" s="23">
        <v>3165</v>
      </c>
      <c r="G3523"/>
      <c r="I3523" s="14" t="str">
        <f>+IFERROR(VLOOKUP(C3523,'Mov 2023 hasta ahora '!$C$2:$D$314,2,FALSE),"NO")</f>
        <v>NO</v>
      </c>
      <c r="K3523">
        <v>6</v>
      </c>
      <c r="L3523" t="s">
        <v>836</v>
      </c>
      <c r="M3523">
        <v>24</v>
      </c>
      <c r="O3523" s="29" t="s">
        <v>9009</v>
      </c>
      <c r="P3523" s="25" t="s">
        <v>9005</v>
      </c>
      <c r="Q3523" s="25">
        <v>1024</v>
      </c>
      <c r="R3523" t="s">
        <v>436</v>
      </c>
    </row>
    <row r="3524" spans="1:18" s="13" customFormat="1" hidden="1">
      <c r="A3524" s="23" t="s">
        <v>7018</v>
      </c>
      <c r="B3524" s="23" t="s">
        <v>7019</v>
      </c>
      <c r="C3524" s="23">
        <v>3166</v>
      </c>
      <c r="G3524"/>
      <c r="I3524" s="14" t="str">
        <f>+IFERROR(VLOOKUP(C3524,'Mov 2023 hasta ahora '!$C$2:$D$314,2,FALSE),"NO")</f>
        <v>NO</v>
      </c>
      <c r="K3524">
        <v>6</v>
      </c>
      <c r="L3524" t="s">
        <v>836</v>
      </c>
      <c r="M3524">
        <v>24</v>
      </c>
      <c r="O3524" s="29" t="s">
        <v>9010</v>
      </c>
      <c r="P3524" s="25" t="s">
        <v>9006</v>
      </c>
      <c r="Q3524" s="25">
        <v>1042</v>
      </c>
      <c r="R3524" t="s">
        <v>436</v>
      </c>
    </row>
    <row r="3525" spans="1:18" s="13" customFormat="1" hidden="1">
      <c r="A3525" s="23" t="s">
        <v>7020</v>
      </c>
      <c r="B3525" s="23" t="s">
        <v>7021</v>
      </c>
      <c r="C3525" s="23">
        <v>3167</v>
      </c>
      <c r="G3525"/>
      <c r="I3525" s="14" t="str">
        <f>+IFERROR(VLOOKUP(C3525,'Mov 2023 hasta ahora '!$C$2:$D$314,2,FALSE),"NO")</f>
        <v>NO</v>
      </c>
      <c r="K3525">
        <v>6</v>
      </c>
      <c r="L3525" t="s">
        <v>836</v>
      </c>
      <c r="M3525">
        <v>24</v>
      </c>
      <c r="O3525" s="29" t="s">
        <v>9010</v>
      </c>
      <c r="P3525" s="25" t="s">
        <v>9006</v>
      </c>
      <c r="Q3525" s="25">
        <v>1042</v>
      </c>
      <c r="R3525" t="s">
        <v>436</v>
      </c>
    </row>
    <row r="3526" spans="1:18" hidden="1">
      <c r="A3526" t="s">
        <v>7022</v>
      </c>
      <c r="B3526" t="s">
        <v>7023</v>
      </c>
      <c r="I3526" s="3" t="str">
        <f>+IFERROR(VLOOKUP(C3526,'Mov 2023 hasta ahora '!$C$2:$D$314,2,FALSE),"NO")</f>
        <v>NO</v>
      </c>
      <c r="K3526">
        <v>4</v>
      </c>
      <c r="L3526" t="s">
        <v>836</v>
      </c>
      <c r="M3526">
        <v>14</v>
      </c>
    </row>
    <row r="3527" spans="1:18" hidden="1">
      <c r="A3527" t="s">
        <v>7024</v>
      </c>
      <c r="B3527" t="s">
        <v>7025</v>
      </c>
      <c r="I3527" s="3" t="str">
        <f>+IFERROR(VLOOKUP(C3527,'Mov 2023 hasta ahora '!$C$2:$D$314,2,FALSE),"NO")</f>
        <v>NO</v>
      </c>
      <c r="K3527">
        <v>5</v>
      </c>
      <c r="L3527" t="s">
        <v>836</v>
      </c>
      <c r="M3527">
        <v>18</v>
      </c>
    </row>
    <row r="3528" spans="1:18" hidden="1">
      <c r="A3528" s="23" t="s">
        <v>7026</v>
      </c>
      <c r="B3528" s="23" t="s">
        <v>7027</v>
      </c>
      <c r="C3528" s="23">
        <v>3168</v>
      </c>
      <c r="I3528" s="3" t="str">
        <f>+IFERROR(VLOOKUP(C3528,'Mov 2023 hasta ahora '!$C$2:$D$314,2,FALSE),"NO")</f>
        <v>NO</v>
      </c>
      <c r="K3528">
        <v>6</v>
      </c>
      <c r="L3528" t="s">
        <v>836</v>
      </c>
      <c r="M3528">
        <v>24</v>
      </c>
      <c r="O3528" s="29" t="s">
        <v>9049</v>
      </c>
      <c r="P3528" s="25" t="s">
        <v>9050</v>
      </c>
      <c r="Q3528" s="25">
        <v>1363</v>
      </c>
      <c r="R3528" t="s">
        <v>436</v>
      </c>
    </row>
    <row r="3529" spans="1:18" hidden="1">
      <c r="A3529" s="23" t="s">
        <v>7028</v>
      </c>
      <c r="B3529" s="23" t="s">
        <v>7029</v>
      </c>
      <c r="C3529" s="23">
        <v>3169</v>
      </c>
      <c r="I3529" s="3" t="str">
        <f>+IFERROR(VLOOKUP(C3529,'Mov 2023 hasta ahora '!$C$2:$D$314,2,FALSE),"NO")</f>
        <v>NO</v>
      </c>
      <c r="K3529">
        <v>6</v>
      </c>
      <c r="L3529" t="s">
        <v>836</v>
      </c>
      <c r="M3529">
        <v>24</v>
      </c>
      <c r="O3529" s="29" t="s">
        <v>9014</v>
      </c>
      <c r="P3529" s="25" t="s">
        <v>8890</v>
      </c>
      <c r="Q3529" s="25">
        <v>1244</v>
      </c>
      <c r="R3529" t="s">
        <v>436</v>
      </c>
    </row>
    <row r="3530" spans="1:18" hidden="1">
      <c r="A3530" s="23" t="s">
        <v>7030</v>
      </c>
      <c r="B3530" s="23" t="s">
        <v>7031</v>
      </c>
      <c r="C3530" s="23">
        <v>3170</v>
      </c>
      <c r="I3530" s="3" t="str">
        <f>+IFERROR(VLOOKUP(C3530,'Mov 2023 hasta ahora '!$C$2:$D$314,2,FALSE),"NO")</f>
        <v>NO</v>
      </c>
      <c r="K3530">
        <v>6</v>
      </c>
      <c r="L3530" t="s">
        <v>836</v>
      </c>
      <c r="M3530">
        <v>24</v>
      </c>
      <c r="O3530" s="29" t="s">
        <v>9059</v>
      </c>
      <c r="P3530" s="25" t="s">
        <v>9060</v>
      </c>
      <c r="Q3530" s="25">
        <v>1534</v>
      </c>
      <c r="R3530" t="s">
        <v>436</v>
      </c>
    </row>
    <row r="3531" spans="1:18" hidden="1">
      <c r="A3531" s="23" t="s">
        <v>7032</v>
      </c>
      <c r="B3531" s="23" t="s">
        <v>7033</v>
      </c>
      <c r="C3531" s="23">
        <v>3171</v>
      </c>
      <c r="I3531" s="3" t="str">
        <f>+IFERROR(VLOOKUP(C3531,'Mov 2023 hasta ahora '!$C$2:$D$314,2,FALSE),"NO")</f>
        <v>NO</v>
      </c>
      <c r="K3531">
        <v>6</v>
      </c>
      <c r="L3531" t="s">
        <v>836</v>
      </c>
      <c r="M3531">
        <v>24</v>
      </c>
      <c r="O3531" s="29" t="s">
        <v>9030</v>
      </c>
      <c r="P3531" s="25" t="s">
        <v>9029</v>
      </c>
      <c r="Q3531" s="25">
        <v>3817</v>
      </c>
      <c r="R3531" t="s">
        <v>436</v>
      </c>
    </row>
    <row r="3532" spans="1:18" hidden="1">
      <c r="A3532" s="23" t="s">
        <v>7034</v>
      </c>
      <c r="B3532" s="23" t="s">
        <v>7035</v>
      </c>
      <c r="C3532" s="23">
        <v>3172</v>
      </c>
      <c r="I3532" s="3" t="str">
        <f>+IFERROR(VLOOKUP(C3532,'Mov 2023 hasta ahora '!$C$2:$D$314,2,FALSE),"NO")</f>
        <v>NO</v>
      </c>
      <c r="K3532">
        <v>6</v>
      </c>
      <c r="L3532" t="s">
        <v>836</v>
      </c>
      <c r="M3532">
        <v>24</v>
      </c>
      <c r="O3532" s="29" t="s">
        <v>9019</v>
      </c>
      <c r="P3532" s="25" t="s">
        <v>8762</v>
      </c>
      <c r="Q3532" s="25">
        <v>1758</v>
      </c>
      <c r="R3532" t="s">
        <v>436</v>
      </c>
    </row>
    <row r="3533" spans="1:18" hidden="1">
      <c r="A3533" s="23" t="s">
        <v>7036</v>
      </c>
      <c r="B3533" s="23" t="s">
        <v>7037</v>
      </c>
      <c r="C3533" s="23">
        <v>3291</v>
      </c>
      <c r="I3533" s="3" t="str">
        <f>+IFERROR(VLOOKUP(C3533,'Mov 2023 hasta ahora '!$C$2:$D$314,2,FALSE),"NO")</f>
        <v>NO</v>
      </c>
      <c r="K3533">
        <v>6</v>
      </c>
      <c r="L3533" t="s">
        <v>836</v>
      </c>
      <c r="M3533">
        <v>24</v>
      </c>
      <c r="O3533" s="29" t="s">
        <v>9061</v>
      </c>
      <c r="P3533" s="25" t="s">
        <v>9062</v>
      </c>
      <c r="Q3533" s="25">
        <v>2671</v>
      </c>
      <c r="R3533" t="s">
        <v>436</v>
      </c>
    </row>
    <row r="3534" spans="1:18" s="13" customFormat="1" hidden="1">
      <c r="A3534" s="23" t="s">
        <v>7038</v>
      </c>
      <c r="B3534" s="23" t="s">
        <v>7039</v>
      </c>
      <c r="C3534" s="23">
        <v>3302</v>
      </c>
      <c r="G3534"/>
      <c r="I3534" s="14" t="str">
        <f>+IFERROR(VLOOKUP(C3534,'Mov 2023 hasta ahora '!$C$2:$D$314,2,FALSE),"NO")</f>
        <v>NO</v>
      </c>
      <c r="K3534">
        <v>6</v>
      </c>
      <c r="L3534" t="s">
        <v>836</v>
      </c>
      <c r="M3534">
        <v>24</v>
      </c>
      <c r="O3534" s="29" t="s">
        <v>8861</v>
      </c>
      <c r="P3534" s="25" t="s">
        <v>8868</v>
      </c>
      <c r="Q3534" s="25">
        <v>1419</v>
      </c>
      <c r="R3534" t="s">
        <v>436</v>
      </c>
    </row>
    <row r="3535" spans="1:18" hidden="1">
      <c r="A3535" t="s">
        <v>7040</v>
      </c>
      <c r="B3535" t="s">
        <v>7041</v>
      </c>
      <c r="I3535" s="3" t="str">
        <f>+IFERROR(VLOOKUP(C3535,'Mov 2023 hasta ahora '!$C$2:$D$314,2,FALSE),"NO")</f>
        <v>NO</v>
      </c>
      <c r="K3535">
        <v>5</v>
      </c>
      <c r="L3535" t="s">
        <v>836</v>
      </c>
      <c r="M3535">
        <v>18</v>
      </c>
    </row>
    <row r="3536" spans="1:18" s="13" customFormat="1" hidden="1">
      <c r="A3536" s="23" t="s">
        <v>7042</v>
      </c>
      <c r="B3536" s="23" t="s">
        <v>7043</v>
      </c>
      <c r="C3536" s="23">
        <v>3336</v>
      </c>
      <c r="G3536"/>
      <c r="I3536" s="14" t="str">
        <f>+IFERROR(VLOOKUP(C3536,'Mov 2023 hasta ahora '!$C$2:$D$314,2,FALSE),"NO")</f>
        <v>NO</v>
      </c>
      <c r="K3536">
        <v>6</v>
      </c>
      <c r="L3536" t="s">
        <v>836</v>
      </c>
      <c r="M3536">
        <v>24</v>
      </c>
      <c r="O3536" s="29" t="s">
        <v>8825</v>
      </c>
      <c r="P3536" s="25" t="s">
        <v>8832</v>
      </c>
      <c r="Q3536" s="25">
        <v>3601</v>
      </c>
      <c r="R3536" t="s">
        <v>436</v>
      </c>
    </row>
    <row r="3537" spans="1:18" s="13" customFormat="1" hidden="1">
      <c r="A3537" s="23" t="s">
        <v>7044</v>
      </c>
      <c r="B3537" s="23" t="s">
        <v>7045</v>
      </c>
      <c r="C3537" s="23">
        <v>3337</v>
      </c>
      <c r="G3537"/>
      <c r="I3537" s="14" t="str">
        <f>+IFERROR(VLOOKUP(C3537,'Mov 2023 hasta ahora '!$C$2:$D$314,2,FALSE),"NO")</f>
        <v>NO</v>
      </c>
      <c r="K3537">
        <v>6</v>
      </c>
      <c r="L3537" t="s">
        <v>836</v>
      </c>
      <c r="M3537">
        <v>24</v>
      </c>
      <c r="O3537" s="29" t="s">
        <v>8992</v>
      </c>
      <c r="P3537" s="25" t="s">
        <v>8836</v>
      </c>
      <c r="Q3537" s="25">
        <v>3603</v>
      </c>
      <c r="R3537" t="s">
        <v>436</v>
      </c>
    </row>
    <row r="3538" spans="1:18" hidden="1">
      <c r="A3538" t="s">
        <v>7046</v>
      </c>
      <c r="B3538" t="s">
        <v>1705</v>
      </c>
      <c r="I3538" s="3" t="str">
        <f>+IFERROR(VLOOKUP(C3538,'Mov 2023 hasta ahora '!$C$2:$D$314,2,FALSE),"NO")</f>
        <v>NO</v>
      </c>
      <c r="K3538">
        <v>3</v>
      </c>
      <c r="L3538" t="s">
        <v>836</v>
      </c>
      <c r="M3538">
        <v>10</v>
      </c>
    </row>
    <row r="3539" spans="1:18" hidden="1">
      <c r="A3539" t="s">
        <v>7047</v>
      </c>
      <c r="B3539" t="s">
        <v>7048</v>
      </c>
      <c r="I3539" s="3" t="str">
        <f>+IFERROR(VLOOKUP(C3539,'Mov 2023 hasta ahora '!$C$2:$D$314,2,FALSE),"NO")</f>
        <v>NO</v>
      </c>
      <c r="K3539">
        <v>4</v>
      </c>
      <c r="L3539" t="s">
        <v>836</v>
      </c>
      <c r="M3539">
        <v>14</v>
      </c>
    </row>
    <row r="3540" spans="1:18" hidden="1">
      <c r="A3540" t="s">
        <v>7049</v>
      </c>
      <c r="B3540" t="s">
        <v>7050</v>
      </c>
      <c r="I3540" s="3" t="str">
        <f>+IFERROR(VLOOKUP(C3540,'Mov 2023 hasta ahora '!$C$2:$D$314,2,FALSE),"NO")</f>
        <v>NO</v>
      </c>
      <c r="K3540">
        <v>5</v>
      </c>
      <c r="L3540" t="s">
        <v>836</v>
      </c>
      <c r="M3540">
        <v>18</v>
      </c>
    </row>
    <row r="3541" spans="1:18" hidden="1">
      <c r="A3541" s="23" t="s">
        <v>7051</v>
      </c>
      <c r="B3541" s="23" t="s">
        <v>7052</v>
      </c>
      <c r="C3541" s="23">
        <v>3115</v>
      </c>
      <c r="I3541" s="3" t="str">
        <f>+IFERROR(VLOOKUP(C3541,'Mov 2023 hasta ahora '!$C$2:$D$314,2,FALSE),"NO")</f>
        <v>NO</v>
      </c>
      <c r="K3541">
        <v>6</v>
      </c>
      <c r="L3541" t="s">
        <v>836</v>
      </c>
      <c r="M3541">
        <v>24</v>
      </c>
      <c r="O3541" s="29" t="s">
        <v>8742</v>
      </c>
      <c r="P3541" s="25" t="s">
        <v>9063</v>
      </c>
      <c r="Q3541" s="25">
        <v>176</v>
      </c>
      <c r="R3541" t="s">
        <v>436</v>
      </c>
    </row>
    <row r="3542" spans="1:18" hidden="1">
      <c r="A3542" s="23" t="s">
        <v>7053</v>
      </c>
      <c r="B3542" s="23" t="s">
        <v>7054</v>
      </c>
      <c r="C3542" s="23">
        <v>3204</v>
      </c>
      <c r="I3542" s="3" t="str">
        <f>+IFERROR(VLOOKUP(C3542,'Mov 2023 hasta ahora '!$C$2:$D$314,2,FALSE),"NO")</f>
        <v>NO</v>
      </c>
      <c r="K3542">
        <v>6</v>
      </c>
      <c r="L3542" t="s">
        <v>836</v>
      </c>
      <c r="M3542">
        <v>24</v>
      </c>
      <c r="O3542" s="29" t="s">
        <v>9057</v>
      </c>
      <c r="P3542" s="25" t="s">
        <v>9058</v>
      </c>
      <c r="Q3542" s="25">
        <v>3212</v>
      </c>
      <c r="R3542" t="s">
        <v>436</v>
      </c>
    </row>
    <row r="3543" spans="1:18" hidden="1">
      <c r="A3543" t="s">
        <v>7055</v>
      </c>
      <c r="B3543" t="s">
        <v>7056</v>
      </c>
      <c r="I3543" s="3" t="str">
        <f>+IFERROR(VLOOKUP(C3543,'Mov 2023 hasta ahora '!$C$2:$D$314,2,FALSE),"NO")</f>
        <v>NO</v>
      </c>
      <c r="K3543">
        <v>4</v>
      </c>
      <c r="L3543" t="s">
        <v>836</v>
      </c>
      <c r="M3543">
        <v>14</v>
      </c>
    </row>
    <row r="3544" spans="1:18" hidden="1">
      <c r="A3544" t="s">
        <v>7057</v>
      </c>
      <c r="B3544" t="s">
        <v>7058</v>
      </c>
      <c r="I3544" s="3" t="str">
        <f>+IFERROR(VLOOKUP(C3544,'Mov 2023 hasta ahora '!$C$2:$D$314,2,FALSE),"NO")</f>
        <v>NO</v>
      </c>
      <c r="K3544">
        <v>5</v>
      </c>
      <c r="L3544" t="s">
        <v>836</v>
      </c>
      <c r="M3544">
        <v>18</v>
      </c>
    </row>
    <row r="3545" spans="1:18" s="13" customFormat="1" hidden="1">
      <c r="A3545" s="23" t="s">
        <v>7059</v>
      </c>
      <c r="B3545" s="23" t="s">
        <v>7060</v>
      </c>
      <c r="C3545" s="23">
        <v>3116</v>
      </c>
      <c r="G3545"/>
      <c r="I3545" s="14" t="str">
        <f>+IFERROR(VLOOKUP(C3545,'Mov 2023 hasta ahora '!$C$2:$D$314,2,FALSE),"NO")</f>
        <v>NO</v>
      </c>
      <c r="K3545">
        <v>6</v>
      </c>
      <c r="L3545" t="s">
        <v>836</v>
      </c>
      <c r="M3545">
        <v>24</v>
      </c>
      <c r="O3545" s="29" t="s">
        <v>8746</v>
      </c>
      <c r="P3545" s="25" t="s">
        <v>9054</v>
      </c>
      <c r="Q3545" s="25">
        <v>185</v>
      </c>
      <c r="R3545" t="s">
        <v>436</v>
      </c>
    </row>
    <row r="3546" spans="1:18" s="13" customFormat="1" hidden="1">
      <c r="A3546" s="23" t="s">
        <v>7061</v>
      </c>
      <c r="B3546" s="23" t="s">
        <v>7062</v>
      </c>
      <c r="C3546" s="23">
        <v>3117</v>
      </c>
      <c r="G3546"/>
      <c r="I3546" s="14" t="str">
        <f>+IFERROR(VLOOKUP(C3546,'Mov 2023 hasta ahora '!$C$2:$D$314,2,FALSE),"NO")</f>
        <v>NO</v>
      </c>
      <c r="K3546">
        <v>6</v>
      </c>
      <c r="L3546" t="s">
        <v>836</v>
      </c>
      <c r="M3546">
        <v>24</v>
      </c>
      <c r="O3546" s="29" t="s">
        <v>8748</v>
      </c>
      <c r="P3546" s="25" t="s">
        <v>9055</v>
      </c>
      <c r="Q3546" s="25">
        <v>193</v>
      </c>
      <c r="R3546" t="s">
        <v>436</v>
      </c>
    </row>
    <row r="3547" spans="1:18" s="13" customFormat="1" hidden="1">
      <c r="A3547" s="23" t="s">
        <v>7063</v>
      </c>
      <c r="B3547" s="23" t="s">
        <v>7064</v>
      </c>
      <c r="C3547" s="23">
        <v>3118</v>
      </c>
      <c r="G3547"/>
      <c r="I3547" s="14" t="str">
        <f>+IFERROR(VLOOKUP(C3547,'Mov 2023 hasta ahora '!$C$2:$D$314,2,FALSE),"NO")</f>
        <v>NO</v>
      </c>
      <c r="K3547">
        <v>6</v>
      </c>
      <c r="L3547" t="s">
        <v>836</v>
      </c>
      <c r="M3547">
        <v>24</v>
      </c>
      <c r="O3547" s="29" t="s">
        <v>8749</v>
      </c>
      <c r="P3547" s="25" t="s">
        <v>9056</v>
      </c>
      <c r="Q3547" s="25">
        <v>202</v>
      </c>
      <c r="R3547" t="s">
        <v>436</v>
      </c>
    </row>
    <row r="3548" spans="1:18" hidden="1">
      <c r="A3548" s="23" t="s">
        <v>7065</v>
      </c>
      <c r="B3548" s="23" t="s">
        <v>7066</v>
      </c>
      <c r="C3548" s="23">
        <v>3119</v>
      </c>
      <c r="I3548" s="3" t="str">
        <f>+IFERROR(VLOOKUP(C3548,'Mov 2023 hasta ahora '!$C$2:$D$314,2,FALSE),"NO")</f>
        <v>NO</v>
      </c>
      <c r="K3548">
        <v>6</v>
      </c>
      <c r="L3548" t="s">
        <v>836</v>
      </c>
      <c r="M3548">
        <v>24</v>
      </c>
      <c r="O3548" s="29" t="s">
        <v>8750</v>
      </c>
      <c r="P3548" s="25" t="s">
        <v>8968</v>
      </c>
      <c r="Q3548" s="25">
        <v>1351</v>
      </c>
      <c r="R3548" t="s">
        <v>436</v>
      </c>
    </row>
    <row r="3549" spans="1:18" hidden="1">
      <c r="A3549" t="s">
        <v>7067</v>
      </c>
      <c r="B3549" t="s">
        <v>7068</v>
      </c>
      <c r="I3549" s="3" t="str">
        <f>+IFERROR(VLOOKUP(C3549,'Mov 2023 hasta ahora '!$C$2:$D$314,2,FALSE),"NO")</f>
        <v>NO</v>
      </c>
      <c r="K3549">
        <v>4</v>
      </c>
      <c r="L3549" t="s">
        <v>836</v>
      </c>
      <c r="M3549">
        <v>14</v>
      </c>
    </row>
    <row r="3550" spans="1:18" hidden="1">
      <c r="A3550" t="s">
        <v>7069</v>
      </c>
      <c r="B3550" t="s">
        <v>7070</v>
      </c>
      <c r="I3550" s="3" t="str">
        <f>+IFERROR(VLOOKUP(C3550,'Mov 2023 hasta ahora '!$C$2:$D$314,2,FALSE),"NO")</f>
        <v>NO</v>
      </c>
      <c r="K3550">
        <v>5</v>
      </c>
      <c r="L3550" t="s">
        <v>836</v>
      </c>
      <c r="M3550">
        <v>18</v>
      </c>
    </row>
    <row r="3551" spans="1:18" hidden="1">
      <c r="A3551" s="23" t="s">
        <v>7071</v>
      </c>
      <c r="B3551" s="23" t="s">
        <v>7072</v>
      </c>
      <c r="C3551" s="23">
        <v>3120</v>
      </c>
      <c r="I3551" s="3" t="str">
        <f>+IFERROR(VLOOKUP(C3551,'Mov 2023 hasta ahora '!$C$2:$D$314,2,FALSE),"NO")</f>
        <v>NO</v>
      </c>
      <c r="K3551">
        <v>6</v>
      </c>
      <c r="L3551" t="s">
        <v>836</v>
      </c>
      <c r="M3551">
        <v>24</v>
      </c>
      <c r="O3551" s="29" t="s">
        <v>9013</v>
      </c>
      <c r="P3551" s="25" t="s">
        <v>8756</v>
      </c>
      <c r="Q3551" s="25">
        <v>212</v>
      </c>
      <c r="R3551" t="s">
        <v>436</v>
      </c>
    </row>
    <row r="3552" spans="1:18" hidden="1">
      <c r="A3552" t="s">
        <v>7073</v>
      </c>
      <c r="B3552" t="s">
        <v>7074</v>
      </c>
      <c r="I3552" s="3" t="str">
        <f>+IFERROR(VLOOKUP(C3552,'Mov 2023 hasta ahora '!$C$2:$D$314,2,FALSE),"NO")</f>
        <v>NO</v>
      </c>
      <c r="K3552">
        <v>4</v>
      </c>
      <c r="L3552" t="s">
        <v>836</v>
      </c>
      <c r="M3552">
        <v>14</v>
      </c>
    </row>
    <row r="3553" spans="1:18" hidden="1">
      <c r="A3553" t="s">
        <v>7075</v>
      </c>
      <c r="B3553" t="s">
        <v>7076</v>
      </c>
      <c r="I3553" s="3" t="str">
        <f>+IFERROR(VLOOKUP(C3553,'Mov 2023 hasta ahora '!$C$2:$D$314,2,FALSE),"NO")</f>
        <v>NO</v>
      </c>
      <c r="K3553">
        <v>5</v>
      </c>
      <c r="L3553" t="s">
        <v>836</v>
      </c>
      <c r="M3553">
        <v>18</v>
      </c>
    </row>
    <row r="3554" spans="1:18" s="15" customFormat="1" hidden="1">
      <c r="A3554" s="23" t="s">
        <v>7077</v>
      </c>
      <c r="B3554" s="23" t="s">
        <v>7078</v>
      </c>
      <c r="C3554" s="23">
        <v>3123</v>
      </c>
      <c r="G3554"/>
      <c r="I3554" s="16" t="str">
        <f>+IFERROR(VLOOKUP(C3554,'Mov 2023 hasta ahora '!$C$2:$D$314,2,FALSE),"NO")</f>
        <v>NO</v>
      </c>
      <c r="K3554">
        <v>6</v>
      </c>
      <c r="L3554" t="s">
        <v>836</v>
      </c>
      <c r="M3554">
        <v>24</v>
      </c>
      <c r="O3554" s="29" t="s">
        <v>8864</v>
      </c>
      <c r="P3554" s="25" t="s">
        <v>8979</v>
      </c>
      <c r="Q3554" s="25">
        <v>2177</v>
      </c>
      <c r="R3554" t="s">
        <v>436</v>
      </c>
    </row>
    <row r="3555" spans="1:18" s="15" customFormat="1" hidden="1">
      <c r="A3555" s="23" t="s">
        <v>7079</v>
      </c>
      <c r="B3555" s="23" t="s">
        <v>7080</v>
      </c>
      <c r="C3555" s="23">
        <v>3121</v>
      </c>
      <c r="G3555"/>
      <c r="I3555" s="16" t="str">
        <f>+IFERROR(VLOOKUP(C3555,'Mov 2023 hasta ahora '!$C$2:$D$314,2,FALSE),"NO")</f>
        <v>NO</v>
      </c>
      <c r="K3555">
        <v>6</v>
      </c>
      <c r="L3555" t="s">
        <v>836</v>
      </c>
      <c r="M3555">
        <v>24</v>
      </c>
      <c r="O3555" s="29" t="s">
        <v>8793</v>
      </c>
      <c r="P3555" s="25" t="s">
        <v>8975</v>
      </c>
      <c r="Q3555" s="25">
        <v>1616</v>
      </c>
      <c r="R3555" t="s">
        <v>436</v>
      </c>
    </row>
    <row r="3556" spans="1:18" s="15" customFormat="1" hidden="1">
      <c r="A3556" s="23" t="s">
        <v>7081</v>
      </c>
      <c r="B3556" s="23" t="s">
        <v>7082</v>
      </c>
      <c r="C3556" s="23">
        <v>3122</v>
      </c>
      <c r="G3556"/>
      <c r="I3556" s="16" t="str">
        <f>+IFERROR(VLOOKUP(C3556,'Mov 2023 hasta ahora '!$C$2:$D$314,2,FALSE),"NO")</f>
        <v>NO</v>
      </c>
      <c r="K3556">
        <v>6</v>
      </c>
      <c r="L3556" t="s">
        <v>836</v>
      </c>
      <c r="M3556">
        <v>24</v>
      </c>
      <c r="O3556" s="29" t="s">
        <v>8793</v>
      </c>
      <c r="P3556" s="25" t="s">
        <v>8975</v>
      </c>
      <c r="Q3556" s="25">
        <v>1616</v>
      </c>
      <c r="R3556" t="s">
        <v>436</v>
      </c>
    </row>
    <row r="3557" spans="1:18" s="15" customFormat="1" hidden="1">
      <c r="A3557" s="23" t="s">
        <v>7083</v>
      </c>
      <c r="B3557" s="23" t="s">
        <v>7084</v>
      </c>
      <c r="C3557" s="23">
        <v>3215</v>
      </c>
      <c r="G3557"/>
      <c r="I3557" s="16" t="str">
        <f>+IFERROR(VLOOKUP(C3557,'Mov 2023 hasta ahora '!$C$2:$D$314,2,FALSE),"NO")</f>
        <v>NO</v>
      </c>
      <c r="K3557">
        <v>6</v>
      </c>
      <c r="L3557" t="s">
        <v>836</v>
      </c>
      <c r="M3557">
        <v>24</v>
      </c>
      <c r="O3557" s="29" t="s">
        <v>8802</v>
      </c>
      <c r="P3557" s="25" t="s">
        <v>8976</v>
      </c>
      <c r="Q3557" s="25">
        <v>3222</v>
      </c>
      <c r="R3557" t="s">
        <v>436</v>
      </c>
    </row>
    <row r="3558" spans="1:18" s="15" customFormat="1" hidden="1">
      <c r="A3558" s="23" t="s">
        <v>7085</v>
      </c>
      <c r="B3558" s="23" t="s">
        <v>7086</v>
      </c>
      <c r="C3558" s="23">
        <v>3226</v>
      </c>
      <c r="G3558"/>
      <c r="I3558" s="16" t="str">
        <f>+IFERROR(VLOOKUP(C3558,'Mov 2023 hasta ahora '!$C$2:$D$314,2,FALSE),"NO")</f>
        <v>NO</v>
      </c>
      <c r="K3558">
        <v>6</v>
      </c>
      <c r="L3558" t="s">
        <v>836</v>
      </c>
      <c r="M3558">
        <v>24</v>
      </c>
      <c r="O3558" s="29" t="s">
        <v>8833</v>
      </c>
      <c r="P3558" s="25" t="s">
        <v>8977</v>
      </c>
      <c r="Q3558" s="25">
        <v>3233</v>
      </c>
      <c r="R3558" t="s">
        <v>436</v>
      </c>
    </row>
    <row r="3559" spans="1:18" s="15" customFormat="1" hidden="1">
      <c r="A3559" s="23" t="s">
        <v>7087</v>
      </c>
      <c r="B3559" s="23" t="s">
        <v>7088</v>
      </c>
      <c r="C3559" s="23">
        <v>3237</v>
      </c>
      <c r="G3559"/>
      <c r="I3559" s="16" t="str">
        <f>+IFERROR(VLOOKUP(C3559,'Mov 2023 hasta ahora '!$C$2:$D$314,2,FALSE),"NO")</f>
        <v>NO</v>
      </c>
      <c r="K3559">
        <v>6</v>
      </c>
      <c r="L3559" t="s">
        <v>836</v>
      </c>
      <c r="M3559">
        <v>24</v>
      </c>
      <c r="O3559" s="29" t="s">
        <v>8755</v>
      </c>
      <c r="P3559" s="25" t="s">
        <v>8978</v>
      </c>
      <c r="Q3559" s="25">
        <v>3244</v>
      </c>
      <c r="R3559" t="s">
        <v>436</v>
      </c>
    </row>
    <row r="3560" spans="1:18" hidden="1">
      <c r="A3560" t="s">
        <v>7089</v>
      </c>
      <c r="B3560" t="s">
        <v>7090</v>
      </c>
      <c r="I3560" s="3" t="str">
        <f>+IFERROR(VLOOKUP(C3560,'Mov 2023 hasta ahora '!$C$2:$D$314,2,FALSE),"NO")</f>
        <v>NO</v>
      </c>
      <c r="K3560">
        <v>5</v>
      </c>
      <c r="L3560" t="s">
        <v>836</v>
      </c>
      <c r="M3560">
        <v>18</v>
      </c>
    </row>
    <row r="3561" spans="1:18" hidden="1">
      <c r="A3561" s="23" t="s">
        <v>7091</v>
      </c>
      <c r="B3561" s="23" t="s">
        <v>7092</v>
      </c>
      <c r="C3561" s="23">
        <v>3124</v>
      </c>
      <c r="I3561" s="3" t="str">
        <f>+IFERROR(VLOOKUP(C3561,'Mov 2023 hasta ahora '!$C$2:$D$314,2,FALSE),"NO")</f>
        <v>NO</v>
      </c>
      <c r="K3561">
        <v>6</v>
      </c>
      <c r="L3561" t="s">
        <v>836</v>
      </c>
      <c r="M3561">
        <v>24</v>
      </c>
      <c r="O3561" s="29" t="s">
        <v>8794</v>
      </c>
      <c r="P3561" s="25" t="s">
        <v>8982</v>
      </c>
      <c r="Q3561" s="25">
        <v>1441</v>
      </c>
      <c r="R3561" t="s">
        <v>436</v>
      </c>
    </row>
    <row r="3562" spans="1:18" hidden="1">
      <c r="A3562" s="23" t="s">
        <v>7093</v>
      </c>
      <c r="B3562" s="23" t="s">
        <v>7094</v>
      </c>
      <c r="C3562" s="23">
        <v>3125</v>
      </c>
      <c r="I3562" s="3" t="str">
        <f>+IFERROR(VLOOKUP(C3562,'Mov 2023 hasta ahora '!$C$2:$D$314,2,FALSE),"NO")</f>
        <v>NO</v>
      </c>
      <c r="K3562">
        <v>6</v>
      </c>
      <c r="L3562" t="s">
        <v>836</v>
      </c>
      <c r="M3562">
        <v>24</v>
      </c>
      <c r="O3562" s="29" t="s">
        <v>8809</v>
      </c>
      <c r="P3562" s="25" t="s">
        <v>8983</v>
      </c>
      <c r="Q3562" s="25">
        <v>1448</v>
      </c>
      <c r="R3562" t="s">
        <v>436</v>
      </c>
    </row>
    <row r="3563" spans="1:18" hidden="1">
      <c r="A3563" t="s">
        <v>7095</v>
      </c>
      <c r="B3563" t="s">
        <v>7096</v>
      </c>
      <c r="I3563" s="3" t="str">
        <f>+IFERROR(VLOOKUP(C3563,'Mov 2023 hasta ahora '!$C$2:$D$314,2,FALSE),"NO")</f>
        <v>NO</v>
      </c>
      <c r="K3563">
        <v>4</v>
      </c>
      <c r="L3563" t="s">
        <v>836</v>
      </c>
      <c r="M3563">
        <v>14</v>
      </c>
    </row>
    <row r="3564" spans="1:18" hidden="1">
      <c r="A3564" t="s">
        <v>7097</v>
      </c>
      <c r="B3564" t="s">
        <v>7098</v>
      </c>
      <c r="I3564" s="3" t="str">
        <f>+IFERROR(VLOOKUP(C3564,'Mov 2023 hasta ahora '!$C$2:$D$314,2,FALSE),"NO")</f>
        <v>NO</v>
      </c>
      <c r="K3564">
        <v>5</v>
      </c>
      <c r="L3564" t="s">
        <v>836</v>
      </c>
      <c r="M3564">
        <v>18</v>
      </c>
    </row>
    <row r="3565" spans="1:18" s="13" customFormat="1" hidden="1">
      <c r="A3565" s="23" t="s">
        <v>7099</v>
      </c>
      <c r="B3565" s="23" t="s">
        <v>7100</v>
      </c>
      <c r="C3565" s="23">
        <v>3126</v>
      </c>
      <c r="G3565"/>
      <c r="I3565" s="14" t="str">
        <f>+IFERROR(VLOOKUP(C3565,'Mov 2023 hasta ahora '!$C$2:$D$314,2,FALSE),"NO")</f>
        <v>NO</v>
      </c>
      <c r="K3565">
        <v>6</v>
      </c>
      <c r="L3565" t="s">
        <v>836</v>
      </c>
      <c r="M3565">
        <v>24</v>
      </c>
      <c r="O3565" s="29" t="s">
        <v>8857</v>
      </c>
      <c r="P3565" s="25" t="s">
        <v>8980</v>
      </c>
      <c r="Q3565" s="25">
        <v>2178</v>
      </c>
      <c r="R3565" t="s">
        <v>436</v>
      </c>
    </row>
    <row r="3566" spans="1:18" s="13" customFormat="1" hidden="1">
      <c r="A3566" s="23" t="s">
        <v>7101</v>
      </c>
      <c r="B3566" s="23" t="s">
        <v>7102</v>
      </c>
      <c r="C3566" s="23">
        <v>3127</v>
      </c>
      <c r="G3566"/>
      <c r="I3566" s="14" t="str">
        <f>+IFERROR(VLOOKUP(C3566,'Mov 2023 hasta ahora '!$C$2:$D$314,2,FALSE),"NO")</f>
        <v>NO</v>
      </c>
      <c r="K3566">
        <v>6</v>
      </c>
      <c r="L3566" t="s">
        <v>836</v>
      </c>
      <c r="M3566">
        <v>24</v>
      </c>
      <c r="O3566" s="29" t="s">
        <v>8846</v>
      </c>
      <c r="P3566" s="25" t="s">
        <v>8981</v>
      </c>
      <c r="Q3566" s="25">
        <v>2179</v>
      </c>
      <c r="R3566" t="s">
        <v>436</v>
      </c>
    </row>
    <row r="3567" spans="1:18" s="13" customFormat="1" hidden="1">
      <c r="A3567" s="23" t="s">
        <v>7103</v>
      </c>
      <c r="B3567" s="23" t="s">
        <v>7104</v>
      </c>
      <c r="C3567" s="23">
        <v>3128</v>
      </c>
      <c r="G3567"/>
      <c r="I3567" s="14" t="str">
        <f>+IFERROR(VLOOKUP(C3567,'Mov 2023 hasta ahora '!$C$2:$D$314,2,FALSE),"NO")</f>
        <v>NO</v>
      </c>
      <c r="K3567">
        <v>6</v>
      </c>
      <c r="L3567" t="s">
        <v>836</v>
      </c>
      <c r="M3567">
        <v>24</v>
      </c>
      <c r="O3567" s="29" t="s">
        <v>8846</v>
      </c>
      <c r="P3567" s="25" t="s">
        <v>8981</v>
      </c>
      <c r="Q3567" s="25">
        <v>2179</v>
      </c>
      <c r="R3567" t="s">
        <v>436</v>
      </c>
    </row>
    <row r="3568" spans="1:18" s="13" customFormat="1" hidden="1">
      <c r="A3568" s="23" t="s">
        <v>7105</v>
      </c>
      <c r="B3568" s="23" t="s">
        <v>7106</v>
      </c>
      <c r="C3568" s="23">
        <v>3129</v>
      </c>
      <c r="G3568"/>
      <c r="I3568" s="14" t="str">
        <f>+IFERROR(VLOOKUP(C3568,'Mov 2023 hasta ahora '!$C$2:$D$314,2,FALSE),"NO")</f>
        <v>NO</v>
      </c>
      <c r="K3568">
        <v>6</v>
      </c>
      <c r="L3568" t="s">
        <v>836</v>
      </c>
      <c r="M3568">
        <v>24</v>
      </c>
      <c r="O3568" s="29" t="s">
        <v>8794</v>
      </c>
      <c r="P3568" s="25" t="s">
        <v>8982</v>
      </c>
      <c r="Q3568" s="25">
        <v>1441</v>
      </c>
      <c r="R3568" t="s">
        <v>436</v>
      </c>
    </row>
    <row r="3569" spans="1:18" s="13" customFormat="1" hidden="1">
      <c r="A3569" s="23" t="s">
        <v>7107</v>
      </c>
      <c r="B3569" s="23" t="s">
        <v>7108</v>
      </c>
      <c r="C3569" s="23">
        <v>3130</v>
      </c>
      <c r="G3569"/>
      <c r="I3569" s="14" t="str">
        <f>+IFERROR(VLOOKUP(C3569,'Mov 2023 hasta ahora '!$C$2:$D$314,2,FALSE),"NO")</f>
        <v>NO</v>
      </c>
      <c r="K3569">
        <v>6</v>
      </c>
      <c r="L3569" t="s">
        <v>836</v>
      </c>
      <c r="M3569">
        <v>24</v>
      </c>
      <c r="O3569" s="29" t="s">
        <v>8809</v>
      </c>
      <c r="P3569" s="25" t="s">
        <v>8983</v>
      </c>
      <c r="Q3569" s="25">
        <v>1448</v>
      </c>
      <c r="R3569" t="s">
        <v>436</v>
      </c>
    </row>
    <row r="3570" spans="1:18" s="13" customFormat="1" hidden="1">
      <c r="A3570" s="23" t="s">
        <v>7109</v>
      </c>
      <c r="B3570" s="23" t="s">
        <v>7110</v>
      </c>
      <c r="C3570" s="23">
        <v>3248</v>
      </c>
      <c r="G3570"/>
      <c r="I3570" s="14" t="str">
        <f>+IFERROR(VLOOKUP(C3570,'Mov 2023 hasta ahora '!$C$2:$D$314,2,FALSE),"NO")</f>
        <v>NO</v>
      </c>
      <c r="K3570">
        <v>6</v>
      </c>
      <c r="L3570" t="s">
        <v>836</v>
      </c>
      <c r="M3570">
        <v>24</v>
      </c>
      <c r="O3570" s="29" t="s">
        <v>8857</v>
      </c>
      <c r="P3570" s="25" t="s">
        <v>8980</v>
      </c>
      <c r="Q3570" s="25">
        <v>2178</v>
      </c>
      <c r="R3570" t="s">
        <v>436</v>
      </c>
    </row>
    <row r="3571" spans="1:18" s="13" customFormat="1" hidden="1">
      <c r="A3571" s="23" t="s">
        <v>7111</v>
      </c>
      <c r="B3571" s="23" t="s">
        <v>7112</v>
      </c>
      <c r="C3571" s="23">
        <v>3259</v>
      </c>
      <c r="G3571"/>
      <c r="I3571" s="14" t="str">
        <f>+IFERROR(VLOOKUP(C3571,'Mov 2023 hasta ahora '!$C$2:$D$314,2,FALSE),"NO")</f>
        <v>NO</v>
      </c>
      <c r="K3571">
        <v>6</v>
      </c>
      <c r="L3571" t="s">
        <v>836</v>
      </c>
      <c r="M3571">
        <v>24</v>
      </c>
      <c r="O3571" s="29" t="s">
        <v>8857</v>
      </c>
      <c r="P3571" s="25" t="s">
        <v>8980</v>
      </c>
      <c r="Q3571" s="25">
        <v>2178</v>
      </c>
      <c r="R3571" t="s">
        <v>436</v>
      </c>
    </row>
    <row r="3572" spans="1:18" s="13" customFormat="1" hidden="1">
      <c r="A3572" s="23" t="s">
        <v>7113</v>
      </c>
      <c r="B3572" s="23" t="s">
        <v>7114</v>
      </c>
      <c r="C3572" s="23">
        <v>3270</v>
      </c>
      <c r="G3572"/>
      <c r="I3572" s="14" t="str">
        <f>+IFERROR(VLOOKUP(C3572,'Mov 2023 hasta ahora '!$C$2:$D$314,2,FALSE),"NO")</f>
        <v>NO</v>
      </c>
      <c r="K3572">
        <v>6</v>
      </c>
      <c r="L3572" t="s">
        <v>836</v>
      </c>
      <c r="M3572">
        <v>24</v>
      </c>
      <c r="O3572" s="29" t="s">
        <v>8857</v>
      </c>
      <c r="P3572" s="25" t="s">
        <v>8980</v>
      </c>
      <c r="Q3572" s="25">
        <v>2178</v>
      </c>
      <c r="R3572" t="s">
        <v>436</v>
      </c>
    </row>
    <row r="3573" spans="1:18" s="13" customFormat="1" hidden="1">
      <c r="A3573" s="23" t="s">
        <v>7115</v>
      </c>
      <c r="B3573" s="23" t="s">
        <v>7116</v>
      </c>
      <c r="C3573" s="23">
        <v>3281</v>
      </c>
      <c r="G3573"/>
      <c r="I3573" s="14" t="str">
        <f>+IFERROR(VLOOKUP(C3573,'Mov 2023 hasta ahora '!$C$2:$D$314,2,FALSE),"NO")</f>
        <v>NO</v>
      </c>
      <c r="K3573">
        <v>6</v>
      </c>
      <c r="L3573" t="s">
        <v>836</v>
      </c>
      <c r="M3573">
        <v>24</v>
      </c>
      <c r="O3573" s="29" t="s">
        <v>8857</v>
      </c>
      <c r="P3573" s="25" t="s">
        <v>8980</v>
      </c>
      <c r="Q3573" s="25">
        <v>2178</v>
      </c>
      <c r="R3573" t="s">
        <v>436</v>
      </c>
    </row>
    <row r="3574" spans="1:18" hidden="1">
      <c r="A3574" t="s">
        <v>7117</v>
      </c>
      <c r="B3574" t="s">
        <v>7118</v>
      </c>
      <c r="I3574" s="3" t="str">
        <f>+IFERROR(VLOOKUP(C3574,'Mov 2023 hasta ahora '!$C$2:$D$314,2,FALSE),"NO")</f>
        <v>NO</v>
      </c>
      <c r="K3574">
        <v>4</v>
      </c>
      <c r="L3574" t="s">
        <v>836</v>
      </c>
      <c r="M3574">
        <v>14</v>
      </c>
    </row>
    <row r="3575" spans="1:18" hidden="1">
      <c r="A3575" t="s">
        <v>7119</v>
      </c>
      <c r="B3575" t="s">
        <v>7120</v>
      </c>
      <c r="I3575" s="3" t="str">
        <f>+IFERROR(VLOOKUP(C3575,'Mov 2023 hasta ahora '!$C$2:$D$314,2,FALSE),"NO")</f>
        <v>NO</v>
      </c>
      <c r="K3575">
        <v>5</v>
      </c>
      <c r="L3575" t="s">
        <v>836</v>
      </c>
      <c r="M3575">
        <v>18</v>
      </c>
    </row>
    <row r="3576" spans="1:18" s="13" customFormat="1" hidden="1">
      <c r="A3576" s="23" t="s">
        <v>7121</v>
      </c>
      <c r="B3576" s="23" t="s">
        <v>7122</v>
      </c>
      <c r="C3576" s="23">
        <v>3131</v>
      </c>
      <c r="G3576"/>
      <c r="I3576" s="14" t="str">
        <f>+IFERROR(VLOOKUP(C3576,'Mov 2023 hasta ahora '!$C$2:$D$314,2,FALSE),"NO")</f>
        <v>NO</v>
      </c>
      <c r="K3576">
        <v>6</v>
      </c>
      <c r="L3576" t="s">
        <v>836</v>
      </c>
      <c r="M3576">
        <v>24</v>
      </c>
      <c r="O3576" s="29" t="s">
        <v>8867</v>
      </c>
      <c r="P3576" s="25" t="s">
        <v>8987</v>
      </c>
      <c r="Q3576" s="25">
        <v>456</v>
      </c>
      <c r="R3576" t="s">
        <v>436</v>
      </c>
    </row>
    <row r="3577" spans="1:18" s="13" customFormat="1" hidden="1">
      <c r="A3577" s="23" t="s">
        <v>7123</v>
      </c>
      <c r="B3577" s="23" t="s">
        <v>7124</v>
      </c>
      <c r="C3577" s="23">
        <v>3132</v>
      </c>
      <c r="G3577"/>
      <c r="I3577" s="14" t="str">
        <f>+IFERROR(VLOOKUP(C3577,'Mov 2023 hasta ahora '!$C$2:$D$314,2,FALSE),"NO")</f>
        <v>NO</v>
      </c>
      <c r="K3577">
        <v>6</v>
      </c>
      <c r="L3577" t="s">
        <v>836</v>
      </c>
      <c r="M3577">
        <v>24</v>
      </c>
      <c r="O3577" s="29" t="s">
        <v>8853</v>
      </c>
      <c r="P3577" s="25" t="s">
        <v>8986</v>
      </c>
      <c r="Q3577" s="25">
        <v>366</v>
      </c>
      <c r="R3577" t="s">
        <v>436</v>
      </c>
    </row>
    <row r="3578" spans="1:18" s="13" customFormat="1" hidden="1">
      <c r="A3578" s="23" t="s">
        <v>7125</v>
      </c>
      <c r="B3578" s="23" t="s">
        <v>7126</v>
      </c>
      <c r="C3578" s="23">
        <v>3133</v>
      </c>
      <c r="G3578"/>
      <c r="I3578" s="14" t="str">
        <f>+IFERROR(VLOOKUP(C3578,'Mov 2023 hasta ahora '!$C$2:$D$314,2,FALSE),"NO")</f>
        <v>NO</v>
      </c>
      <c r="K3578">
        <v>6</v>
      </c>
      <c r="L3578" t="s">
        <v>836</v>
      </c>
      <c r="M3578">
        <v>24</v>
      </c>
      <c r="O3578" s="29" t="s">
        <v>8853</v>
      </c>
      <c r="P3578" s="25" t="s">
        <v>8986</v>
      </c>
      <c r="Q3578" s="25">
        <v>366</v>
      </c>
      <c r="R3578" t="s">
        <v>436</v>
      </c>
    </row>
    <row r="3579" spans="1:18" hidden="1">
      <c r="A3579" t="s">
        <v>7127</v>
      </c>
      <c r="B3579" t="s">
        <v>7128</v>
      </c>
      <c r="I3579" s="3" t="str">
        <f>+IFERROR(VLOOKUP(C3579,'Mov 2023 hasta ahora '!$C$2:$D$314,2,FALSE),"NO")</f>
        <v>NO</v>
      </c>
      <c r="K3579">
        <v>5</v>
      </c>
      <c r="L3579" t="s">
        <v>836</v>
      </c>
      <c r="M3579">
        <v>18</v>
      </c>
    </row>
    <row r="3580" spans="1:18" s="13" customFormat="1" hidden="1">
      <c r="A3580" s="23" t="s">
        <v>7129</v>
      </c>
      <c r="B3580" s="23" t="s">
        <v>7130</v>
      </c>
      <c r="C3580" s="23">
        <v>3134</v>
      </c>
      <c r="G3580"/>
      <c r="I3580" s="14" t="str">
        <f>+IFERROR(VLOOKUP(C3580,'Mov 2023 hasta ahora '!$C$2:$D$314,2,FALSE),"NO")</f>
        <v>NO</v>
      </c>
      <c r="K3580">
        <v>6</v>
      </c>
      <c r="L3580" t="s">
        <v>836</v>
      </c>
      <c r="M3580">
        <v>24</v>
      </c>
      <c r="O3580" s="29" t="s">
        <v>8800</v>
      </c>
      <c r="P3580" s="25" t="s">
        <v>8988</v>
      </c>
      <c r="Q3580" s="25">
        <v>1457</v>
      </c>
      <c r="R3580" t="s">
        <v>436</v>
      </c>
    </row>
    <row r="3581" spans="1:18" s="13" customFormat="1" hidden="1">
      <c r="A3581" s="23" t="s">
        <v>7131</v>
      </c>
      <c r="B3581" s="23" t="s">
        <v>7132</v>
      </c>
      <c r="C3581" s="23">
        <v>3135</v>
      </c>
      <c r="G3581"/>
      <c r="I3581" s="14" t="str">
        <f>+IFERROR(VLOOKUP(C3581,'Mov 2023 hasta ahora '!$C$2:$D$314,2,FALSE),"NO")</f>
        <v>NO</v>
      </c>
      <c r="K3581">
        <v>6</v>
      </c>
      <c r="L3581" t="s">
        <v>836</v>
      </c>
      <c r="M3581">
        <v>24</v>
      </c>
      <c r="O3581" s="29" t="s">
        <v>8810</v>
      </c>
      <c r="P3581" s="25" t="s">
        <v>8989</v>
      </c>
      <c r="Q3581" s="25">
        <v>1465</v>
      </c>
      <c r="R3581" t="s">
        <v>436</v>
      </c>
    </row>
    <row r="3582" spans="1:18" hidden="1">
      <c r="A3582" t="s">
        <v>7133</v>
      </c>
      <c r="B3582" t="s">
        <v>7134</v>
      </c>
      <c r="I3582" s="3" t="str">
        <f>+IFERROR(VLOOKUP(C3582,'Mov 2023 hasta ahora '!$C$2:$D$314,2,FALSE),"NO")</f>
        <v>NO</v>
      </c>
      <c r="K3582">
        <v>4</v>
      </c>
      <c r="L3582" t="s">
        <v>836</v>
      </c>
      <c r="M3582">
        <v>14</v>
      </c>
    </row>
    <row r="3583" spans="1:18" hidden="1">
      <c r="A3583" t="s">
        <v>7135</v>
      </c>
      <c r="B3583" t="s">
        <v>7136</v>
      </c>
      <c r="I3583" s="3" t="str">
        <f>+IFERROR(VLOOKUP(C3583,'Mov 2023 hasta ahora '!$C$2:$D$314,2,FALSE),"NO")</f>
        <v>NO</v>
      </c>
      <c r="K3583">
        <v>5</v>
      </c>
      <c r="L3583" t="s">
        <v>836</v>
      </c>
      <c r="M3583">
        <v>18</v>
      </c>
    </row>
    <row r="3584" spans="1:18" s="13" customFormat="1" hidden="1">
      <c r="A3584" s="23" t="s">
        <v>7137</v>
      </c>
      <c r="B3584" s="23" t="s">
        <v>7138</v>
      </c>
      <c r="C3584" s="23">
        <v>3136</v>
      </c>
      <c r="G3584"/>
      <c r="I3584" s="14" t="str">
        <f>+IFERROR(VLOOKUP(C3584,'Mov 2023 hasta ahora '!$C$2:$D$314,2,FALSE),"NO")</f>
        <v>NO</v>
      </c>
      <c r="K3584">
        <v>6</v>
      </c>
      <c r="L3584" t="s">
        <v>836</v>
      </c>
      <c r="M3584">
        <v>24</v>
      </c>
      <c r="O3584" s="29" t="s">
        <v>9009</v>
      </c>
      <c r="P3584" s="25" t="s">
        <v>9005</v>
      </c>
      <c r="Q3584" s="25">
        <v>1024</v>
      </c>
      <c r="R3584" t="s">
        <v>436</v>
      </c>
    </row>
    <row r="3585" spans="1:18" s="13" customFormat="1" hidden="1">
      <c r="A3585" s="23" t="s">
        <v>7139</v>
      </c>
      <c r="B3585" s="23" t="s">
        <v>7140</v>
      </c>
      <c r="C3585" s="23">
        <v>3137</v>
      </c>
      <c r="G3585"/>
      <c r="I3585" s="14" t="str">
        <f>+IFERROR(VLOOKUP(C3585,'Mov 2023 hasta ahora '!$C$2:$D$314,2,FALSE),"NO")</f>
        <v>NO</v>
      </c>
      <c r="K3585">
        <v>6</v>
      </c>
      <c r="L3585" t="s">
        <v>836</v>
      </c>
      <c r="M3585">
        <v>24</v>
      </c>
      <c r="O3585" s="29" t="s">
        <v>9010</v>
      </c>
      <c r="P3585" s="25" t="s">
        <v>9006</v>
      </c>
      <c r="Q3585" s="25">
        <v>1042</v>
      </c>
      <c r="R3585" t="s">
        <v>436</v>
      </c>
    </row>
    <row r="3586" spans="1:18" s="13" customFormat="1" hidden="1">
      <c r="A3586" s="23" t="s">
        <v>7141</v>
      </c>
      <c r="B3586" s="23" t="s">
        <v>7142</v>
      </c>
      <c r="C3586" s="23">
        <v>3138</v>
      </c>
      <c r="G3586"/>
      <c r="I3586" s="14" t="str">
        <f>+IFERROR(VLOOKUP(C3586,'Mov 2023 hasta ahora '!$C$2:$D$314,2,FALSE),"NO")</f>
        <v>NO</v>
      </c>
      <c r="K3586">
        <v>6</v>
      </c>
      <c r="L3586" t="s">
        <v>836</v>
      </c>
      <c r="M3586">
        <v>24</v>
      </c>
      <c r="O3586" s="29" t="s">
        <v>9010</v>
      </c>
      <c r="P3586" s="25" t="s">
        <v>9006</v>
      </c>
      <c r="Q3586" s="25">
        <v>1042</v>
      </c>
      <c r="R3586" t="s">
        <v>436</v>
      </c>
    </row>
    <row r="3587" spans="1:18" hidden="1">
      <c r="A3587" t="s">
        <v>7143</v>
      </c>
      <c r="B3587" t="s">
        <v>7144</v>
      </c>
      <c r="I3587" s="3" t="str">
        <f>+IFERROR(VLOOKUP(C3587,'Mov 2023 hasta ahora '!$C$2:$D$314,2,FALSE),"NO")</f>
        <v>NO</v>
      </c>
      <c r="K3587">
        <v>4</v>
      </c>
      <c r="L3587" t="s">
        <v>836</v>
      </c>
      <c r="M3587">
        <v>14</v>
      </c>
    </row>
    <row r="3588" spans="1:18" hidden="1">
      <c r="A3588" t="s">
        <v>7145</v>
      </c>
      <c r="B3588" t="s">
        <v>7146</v>
      </c>
      <c r="I3588" s="3" t="str">
        <f>+IFERROR(VLOOKUP(C3588,'Mov 2023 hasta ahora '!$C$2:$D$314,2,FALSE),"NO")</f>
        <v>NO</v>
      </c>
      <c r="K3588">
        <v>5</v>
      </c>
      <c r="L3588" t="s">
        <v>836</v>
      </c>
      <c r="M3588">
        <v>18</v>
      </c>
    </row>
    <row r="3589" spans="1:18" hidden="1">
      <c r="A3589" s="23" t="s">
        <v>7147</v>
      </c>
      <c r="B3589" s="23" t="s">
        <v>7148</v>
      </c>
      <c r="C3589" s="23">
        <v>3139</v>
      </c>
      <c r="I3589" s="3" t="str">
        <f>+IFERROR(VLOOKUP(C3589,'Mov 2023 hasta ahora '!$C$2:$D$314,2,FALSE),"NO")</f>
        <v>NO</v>
      </c>
      <c r="K3589">
        <v>6</v>
      </c>
      <c r="L3589" t="s">
        <v>836</v>
      </c>
      <c r="M3589">
        <v>24</v>
      </c>
      <c r="O3589" s="29" t="s">
        <v>9049</v>
      </c>
      <c r="P3589" s="25" t="s">
        <v>9050</v>
      </c>
      <c r="Q3589" s="25">
        <v>1363</v>
      </c>
      <c r="R3589" t="s">
        <v>436</v>
      </c>
    </row>
    <row r="3590" spans="1:18" hidden="1">
      <c r="A3590" s="23" t="s">
        <v>7149</v>
      </c>
      <c r="B3590" s="23" t="s">
        <v>7150</v>
      </c>
      <c r="C3590" s="23">
        <v>3140</v>
      </c>
      <c r="I3590" s="3" t="str">
        <f>+IFERROR(VLOOKUP(C3590,'Mov 2023 hasta ahora '!$C$2:$D$314,2,FALSE),"NO")</f>
        <v>NO</v>
      </c>
      <c r="K3590">
        <v>6</v>
      </c>
      <c r="L3590" t="s">
        <v>836</v>
      </c>
      <c r="M3590">
        <v>24</v>
      </c>
      <c r="O3590" s="29" t="s">
        <v>9014</v>
      </c>
      <c r="P3590" s="25" t="s">
        <v>8890</v>
      </c>
      <c r="Q3590" s="25">
        <v>1244</v>
      </c>
      <c r="R3590" t="s">
        <v>436</v>
      </c>
    </row>
    <row r="3591" spans="1:18" hidden="1">
      <c r="A3591" s="23" t="s">
        <v>7151</v>
      </c>
      <c r="B3591" s="23" t="s">
        <v>7152</v>
      </c>
      <c r="C3591" s="23">
        <v>3141</v>
      </c>
      <c r="I3591" s="3" t="str">
        <f>+IFERROR(VLOOKUP(C3591,'Mov 2023 hasta ahora '!$C$2:$D$314,2,FALSE),"NO")</f>
        <v>NO</v>
      </c>
      <c r="K3591">
        <v>6</v>
      </c>
      <c r="L3591" t="s">
        <v>836</v>
      </c>
      <c r="M3591">
        <v>24</v>
      </c>
      <c r="O3591" s="29" t="s">
        <v>9059</v>
      </c>
      <c r="P3591" s="25" t="s">
        <v>9060</v>
      </c>
      <c r="Q3591" s="25">
        <v>1534</v>
      </c>
      <c r="R3591" t="s">
        <v>436</v>
      </c>
    </row>
    <row r="3592" spans="1:18" hidden="1">
      <c r="A3592" s="23" t="s">
        <v>7153</v>
      </c>
      <c r="B3592" s="23" t="s">
        <v>7154</v>
      </c>
      <c r="C3592" s="23">
        <v>3142</v>
      </c>
      <c r="I3592" s="3" t="str">
        <f>+IFERROR(VLOOKUP(C3592,'Mov 2023 hasta ahora '!$C$2:$D$314,2,FALSE),"NO")</f>
        <v>NO</v>
      </c>
      <c r="K3592">
        <v>6</v>
      </c>
      <c r="L3592" t="s">
        <v>836</v>
      </c>
      <c r="M3592">
        <v>24</v>
      </c>
      <c r="O3592" s="29" t="s">
        <v>9030</v>
      </c>
      <c r="P3592" s="25" t="s">
        <v>9029</v>
      </c>
      <c r="Q3592" s="25">
        <v>3817</v>
      </c>
      <c r="R3592" t="s">
        <v>436</v>
      </c>
    </row>
    <row r="3593" spans="1:18" hidden="1">
      <c r="A3593" s="23" t="s">
        <v>7155</v>
      </c>
      <c r="B3593" s="23" t="s">
        <v>7156</v>
      </c>
      <c r="C3593" s="23">
        <v>3143</v>
      </c>
      <c r="I3593" s="3" t="str">
        <f>+IFERROR(VLOOKUP(C3593,'Mov 2023 hasta ahora '!$C$2:$D$314,2,FALSE),"NO")</f>
        <v>NO</v>
      </c>
      <c r="K3593">
        <v>6</v>
      </c>
      <c r="L3593" t="s">
        <v>836</v>
      </c>
      <c r="M3593">
        <v>24</v>
      </c>
      <c r="O3593" s="29" t="s">
        <v>9019</v>
      </c>
      <c r="P3593" s="25" t="s">
        <v>8762</v>
      </c>
      <c r="Q3593" s="25">
        <v>1758</v>
      </c>
      <c r="R3593" t="s">
        <v>436</v>
      </c>
    </row>
    <row r="3594" spans="1:18" hidden="1">
      <c r="A3594" s="23" t="s">
        <v>7157</v>
      </c>
      <c r="B3594" s="23" t="s">
        <v>7158</v>
      </c>
      <c r="C3594" s="23">
        <v>3292</v>
      </c>
      <c r="I3594" s="3" t="str">
        <f>+IFERROR(VLOOKUP(C3594,'Mov 2023 hasta ahora '!$C$2:$D$314,2,FALSE),"NO")</f>
        <v>NO</v>
      </c>
      <c r="K3594">
        <v>6</v>
      </c>
      <c r="L3594" t="s">
        <v>836</v>
      </c>
      <c r="M3594">
        <v>24</v>
      </c>
      <c r="O3594" s="29" t="s">
        <v>9061</v>
      </c>
      <c r="P3594" s="25" t="s">
        <v>9062</v>
      </c>
      <c r="Q3594" s="25">
        <v>2671</v>
      </c>
      <c r="R3594" t="s">
        <v>436</v>
      </c>
    </row>
    <row r="3595" spans="1:18" s="13" customFormat="1" hidden="1">
      <c r="A3595" s="23" t="s">
        <v>7159</v>
      </c>
      <c r="B3595" s="23" t="s">
        <v>7160</v>
      </c>
      <c r="C3595" s="23">
        <v>3303</v>
      </c>
      <c r="G3595"/>
      <c r="I3595" s="14" t="str">
        <f>+IFERROR(VLOOKUP(C3595,'Mov 2023 hasta ahora '!$C$2:$D$314,2,FALSE),"NO")</f>
        <v>NO</v>
      </c>
      <c r="K3595">
        <v>6</v>
      </c>
      <c r="L3595" t="s">
        <v>836</v>
      </c>
      <c r="M3595">
        <v>24</v>
      </c>
      <c r="O3595" s="29" t="s">
        <v>8861</v>
      </c>
      <c r="P3595" s="25" t="s">
        <v>8868</v>
      </c>
      <c r="Q3595" s="25">
        <v>1419</v>
      </c>
      <c r="R3595" t="s">
        <v>436</v>
      </c>
    </row>
    <row r="3596" spans="1:18" hidden="1">
      <c r="A3596" t="s">
        <v>7161</v>
      </c>
      <c r="B3596" t="s">
        <v>1557</v>
      </c>
      <c r="I3596" s="3" t="str">
        <f>+IFERROR(VLOOKUP(C3596,'Mov 2023 hasta ahora '!$C$2:$D$314,2,FALSE),"NO")</f>
        <v>NO</v>
      </c>
      <c r="K3596">
        <v>3</v>
      </c>
      <c r="L3596" t="s">
        <v>836</v>
      </c>
      <c r="M3596">
        <v>10</v>
      </c>
    </row>
    <row r="3597" spans="1:18" hidden="1">
      <c r="A3597" t="s">
        <v>7162</v>
      </c>
      <c r="B3597" t="s">
        <v>7163</v>
      </c>
      <c r="I3597" s="3" t="str">
        <f>+IFERROR(VLOOKUP(C3597,'Mov 2023 hasta ahora '!$C$2:$D$314,2,FALSE),"NO")</f>
        <v>NO</v>
      </c>
      <c r="K3597">
        <v>4</v>
      </c>
      <c r="L3597" t="s">
        <v>836</v>
      </c>
      <c r="M3597">
        <v>14</v>
      </c>
    </row>
    <row r="3598" spans="1:18" hidden="1">
      <c r="A3598" t="s">
        <v>7164</v>
      </c>
      <c r="B3598" t="s">
        <v>7165</v>
      </c>
      <c r="I3598" s="3" t="str">
        <f>+IFERROR(VLOOKUP(C3598,'Mov 2023 hasta ahora '!$C$2:$D$314,2,FALSE),"NO")</f>
        <v>NO</v>
      </c>
      <c r="K3598">
        <v>5</v>
      </c>
      <c r="L3598" t="s">
        <v>836</v>
      </c>
      <c r="M3598">
        <v>18</v>
      </c>
    </row>
    <row r="3599" spans="1:18" hidden="1">
      <c r="A3599" s="23" t="s">
        <v>7166</v>
      </c>
      <c r="B3599" s="23" t="s">
        <v>7167</v>
      </c>
      <c r="C3599" s="23">
        <v>3437</v>
      </c>
      <c r="I3599" s="3" t="str">
        <f>+IFERROR(VLOOKUP(C3599,'Mov 2023 hasta ahora '!$C$2:$D$314,2,FALSE),"NO")</f>
        <v>NO</v>
      </c>
      <c r="K3599">
        <v>6</v>
      </c>
      <c r="L3599" t="s">
        <v>836</v>
      </c>
      <c r="M3599">
        <v>24</v>
      </c>
      <c r="O3599" s="29" t="s">
        <v>8742</v>
      </c>
      <c r="P3599" s="25" t="s">
        <v>9063</v>
      </c>
      <c r="Q3599" s="25">
        <v>176</v>
      </c>
      <c r="R3599" t="s">
        <v>436</v>
      </c>
    </row>
    <row r="3600" spans="1:18" hidden="1">
      <c r="A3600" s="23" t="s">
        <v>7168</v>
      </c>
      <c r="B3600" s="23" t="s">
        <v>7169</v>
      </c>
      <c r="C3600" s="23">
        <v>3438</v>
      </c>
      <c r="I3600" s="3" t="str">
        <f>+IFERROR(VLOOKUP(C3600,'Mov 2023 hasta ahora '!$C$2:$D$314,2,FALSE),"NO")</f>
        <v>NO</v>
      </c>
      <c r="K3600">
        <v>6</v>
      </c>
      <c r="L3600" t="s">
        <v>836</v>
      </c>
      <c r="M3600">
        <v>24</v>
      </c>
      <c r="O3600" s="29" t="s">
        <v>9057</v>
      </c>
      <c r="P3600" s="25" t="s">
        <v>9058</v>
      </c>
      <c r="Q3600" s="25">
        <v>3212</v>
      </c>
      <c r="R3600" t="s">
        <v>436</v>
      </c>
    </row>
    <row r="3601" spans="1:18" hidden="1">
      <c r="A3601" t="s">
        <v>7170</v>
      </c>
      <c r="B3601" t="s">
        <v>7171</v>
      </c>
      <c r="I3601" s="3" t="str">
        <f>+IFERROR(VLOOKUP(C3601,'Mov 2023 hasta ahora '!$C$2:$D$314,2,FALSE),"NO")</f>
        <v>NO</v>
      </c>
      <c r="K3601">
        <v>4</v>
      </c>
      <c r="L3601" t="s">
        <v>836</v>
      </c>
      <c r="M3601">
        <v>14</v>
      </c>
    </row>
    <row r="3602" spans="1:18" hidden="1">
      <c r="A3602" t="s">
        <v>7172</v>
      </c>
      <c r="B3602" t="s">
        <v>7173</v>
      </c>
      <c r="I3602" s="3" t="str">
        <f>+IFERROR(VLOOKUP(C3602,'Mov 2023 hasta ahora '!$C$2:$D$314,2,FALSE),"NO")</f>
        <v>NO</v>
      </c>
      <c r="K3602">
        <v>5</v>
      </c>
      <c r="L3602" t="s">
        <v>836</v>
      </c>
      <c r="M3602">
        <v>18</v>
      </c>
    </row>
    <row r="3603" spans="1:18" s="13" customFormat="1" hidden="1">
      <c r="A3603" s="23" t="s">
        <v>7174</v>
      </c>
      <c r="B3603" s="23" t="s">
        <v>7175</v>
      </c>
      <c r="C3603" s="23">
        <v>3439</v>
      </c>
      <c r="G3603"/>
      <c r="I3603" s="14" t="str">
        <f>+IFERROR(VLOOKUP(C3603,'Mov 2023 hasta ahora '!$C$2:$D$314,2,FALSE),"NO")</f>
        <v>NO</v>
      </c>
      <c r="K3603">
        <v>6</v>
      </c>
      <c r="L3603" t="s">
        <v>836</v>
      </c>
      <c r="M3603">
        <v>24</v>
      </c>
      <c r="O3603" s="29" t="s">
        <v>8746</v>
      </c>
      <c r="P3603" s="25" t="s">
        <v>9054</v>
      </c>
      <c r="Q3603" s="25">
        <v>185</v>
      </c>
      <c r="R3603" t="s">
        <v>436</v>
      </c>
    </row>
    <row r="3604" spans="1:18" hidden="1">
      <c r="A3604">
        <v>5.04</v>
      </c>
      <c r="B3604" t="s">
        <v>7176</v>
      </c>
      <c r="I3604" s="3" t="str">
        <f>+IFERROR(VLOOKUP(C3604,'Mov 2023 hasta ahora '!$C$2:$D$314,2,FALSE),"NO")</f>
        <v>NO</v>
      </c>
      <c r="K3604">
        <v>2</v>
      </c>
      <c r="L3604" t="s">
        <v>836</v>
      </c>
      <c r="M3604">
        <v>4</v>
      </c>
    </row>
    <row r="3605" spans="1:18" hidden="1">
      <c r="A3605" t="s">
        <v>7177</v>
      </c>
      <c r="B3605" t="s">
        <v>7178</v>
      </c>
      <c r="I3605" s="3" t="str">
        <f>+IFERROR(VLOOKUP(C3605,'Mov 2023 hasta ahora '!$C$2:$D$314,2,FALSE),"NO")</f>
        <v>NO</v>
      </c>
      <c r="K3605">
        <v>3</v>
      </c>
      <c r="L3605" t="s">
        <v>836</v>
      </c>
      <c r="M3605">
        <v>10</v>
      </c>
    </row>
    <row r="3606" spans="1:18" hidden="1">
      <c r="A3606" t="s">
        <v>7179</v>
      </c>
      <c r="B3606" t="s">
        <v>7180</v>
      </c>
      <c r="I3606" s="3" t="str">
        <f>+IFERROR(VLOOKUP(C3606,'Mov 2023 hasta ahora '!$C$2:$D$314,2,FALSE),"NO")</f>
        <v>NO</v>
      </c>
      <c r="K3606">
        <v>4</v>
      </c>
      <c r="L3606" t="s">
        <v>836</v>
      </c>
      <c r="M3606">
        <v>14</v>
      </c>
    </row>
    <row r="3607" spans="1:18" hidden="1">
      <c r="A3607" t="s">
        <v>7181</v>
      </c>
      <c r="B3607" t="s">
        <v>7182</v>
      </c>
      <c r="I3607" s="3" t="str">
        <f>+IFERROR(VLOOKUP(C3607,'Mov 2023 hasta ahora '!$C$2:$D$314,2,FALSE),"NO")</f>
        <v>NO</v>
      </c>
      <c r="K3607">
        <v>5</v>
      </c>
      <c r="L3607" t="s">
        <v>836</v>
      </c>
      <c r="M3607">
        <v>18</v>
      </c>
    </row>
    <row r="3608" spans="1:18">
      <c r="A3608" s="23" t="s">
        <v>7183</v>
      </c>
      <c r="B3608" s="23" t="s">
        <v>7184</v>
      </c>
      <c r="C3608" s="23">
        <v>1382</v>
      </c>
      <c r="D3608" t="s">
        <v>436</v>
      </c>
      <c r="I3608" s="3">
        <f>+IFERROR(VLOOKUP(C3608,'Mov 2023 hasta ahora '!$C$2:$D$314,2,FALSE),"NO")</f>
        <v>186</v>
      </c>
      <c r="K3608">
        <v>6</v>
      </c>
      <c r="L3608" t="s">
        <v>836</v>
      </c>
      <c r="M3608">
        <v>24</v>
      </c>
      <c r="O3608" s="29" t="s">
        <v>8742</v>
      </c>
      <c r="P3608" s="25" t="s">
        <v>9063</v>
      </c>
      <c r="Q3608" s="25">
        <v>176</v>
      </c>
      <c r="R3608" t="s">
        <v>436</v>
      </c>
    </row>
    <row r="3609" spans="1:18" s="13" customFormat="1" hidden="1">
      <c r="A3609" s="23" t="s">
        <v>7185</v>
      </c>
      <c r="B3609" s="23" t="s">
        <v>7186</v>
      </c>
      <c r="C3609" s="23">
        <v>3845</v>
      </c>
      <c r="D3609" s="13" t="s">
        <v>436</v>
      </c>
      <c r="G3609"/>
      <c r="I3609" s="14">
        <f>+IFERROR(VLOOKUP(C3609,'Mov 2023 hasta ahora '!$C$2:$D$314,2,FALSE),"NO")</f>
        <v>193</v>
      </c>
      <c r="K3609">
        <v>5</v>
      </c>
      <c r="L3609" t="s">
        <v>836</v>
      </c>
      <c r="M3609">
        <v>18</v>
      </c>
      <c r="O3609" s="29" t="s">
        <v>8861</v>
      </c>
      <c r="P3609" s="25" t="s">
        <v>8868</v>
      </c>
      <c r="Q3609" s="25">
        <v>1419</v>
      </c>
      <c r="R3609" t="s">
        <v>436</v>
      </c>
    </row>
    <row r="3610" spans="1:18" hidden="1">
      <c r="A3610" t="s">
        <v>7187</v>
      </c>
      <c r="B3610" t="s">
        <v>7188</v>
      </c>
      <c r="D3610" t="s">
        <v>436</v>
      </c>
      <c r="I3610" s="3" t="str">
        <f>+IFERROR(VLOOKUP(C3610,'Mov 2023 hasta ahora '!$C$2:$D$314,2,FALSE),"NO")</f>
        <v>NO</v>
      </c>
      <c r="K3610">
        <v>5</v>
      </c>
      <c r="L3610" t="s">
        <v>836</v>
      </c>
      <c r="M3610">
        <v>18</v>
      </c>
    </row>
    <row r="3611" spans="1:18" s="13" customFormat="1" hidden="1">
      <c r="A3611" s="23" t="s">
        <v>7189</v>
      </c>
      <c r="B3611" s="23" t="s">
        <v>7190</v>
      </c>
      <c r="C3611" s="23">
        <v>3879</v>
      </c>
      <c r="D3611" s="13" t="s">
        <v>436</v>
      </c>
      <c r="G3611"/>
      <c r="I3611" s="14">
        <f>+IFERROR(VLOOKUP(C3611,'Mov 2023 hasta ahora '!$C$2:$D$314,2,FALSE),"NO")</f>
        <v>7</v>
      </c>
      <c r="K3611">
        <v>5</v>
      </c>
      <c r="L3611" t="s">
        <v>836</v>
      </c>
      <c r="M3611">
        <v>18</v>
      </c>
      <c r="O3611" s="29" t="s">
        <v>8861</v>
      </c>
      <c r="P3611" s="25" t="s">
        <v>8868</v>
      </c>
      <c r="Q3611" s="25">
        <v>1419</v>
      </c>
      <c r="R3611" t="s">
        <v>436</v>
      </c>
    </row>
    <row r="3612" spans="1:18" hidden="1">
      <c r="A3612" t="s">
        <v>7191</v>
      </c>
      <c r="B3612" t="s">
        <v>7192</v>
      </c>
      <c r="I3612" s="3" t="str">
        <f>+IFERROR(VLOOKUP(C3612,'Mov 2023 hasta ahora '!$C$2:$D$314,2,FALSE),"NO")</f>
        <v>NO</v>
      </c>
      <c r="K3612">
        <v>4</v>
      </c>
      <c r="L3612" t="s">
        <v>836</v>
      </c>
      <c r="M3612">
        <v>14</v>
      </c>
    </row>
    <row r="3613" spans="1:18" hidden="1">
      <c r="A3613" t="s">
        <v>7193</v>
      </c>
      <c r="B3613" t="s">
        <v>7194</v>
      </c>
      <c r="I3613" s="3" t="str">
        <f>+IFERROR(VLOOKUP(C3613,'Mov 2023 hasta ahora '!$C$2:$D$314,2,FALSE),"NO")</f>
        <v>NO</v>
      </c>
      <c r="K3613">
        <v>5</v>
      </c>
      <c r="L3613" t="s">
        <v>836</v>
      </c>
      <c r="M3613">
        <v>18</v>
      </c>
    </row>
    <row r="3614" spans="1:18" hidden="1">
      <c r="A3614" s="23" t="s">
        <v>7195</v>
      </c>
      <c r="B3614" s="23" t="s">
        <v>7196</v>
      </c>
      <c r="C3614" s="23">
        <v>1386</v>
      </c>
      <c r="D3614" t="s">
        <v>436</v>
      </c>
      <c r="I3614" s="3">
        <f>+IFERROR(VLOOKUP(C3614,'Mov 2023 hasta ahora '!$C$2:$D$314,2,FALSE),"NO")</f>
        <v>220</v>
      </c>
      <c r="K3614">
        <v>6</v>
      </c>
      <c r="L3614" t="s">
        <v>836</v>
      </c>
      <c r="M3614">
        <v>24</v>
      </c>
      <c r="O3614" s="29" t="s">
        <v>9015</v>
      </c>
      <c r="P3614" s="25" t="s">
        <v>8757</v>
      </c>
      <c r="Q3614" s="25">
        <v>1386</v>
      </c>
      <c r="R3614" t="s">
        <v>436</v>
      </c>
    </row>
    <row r="3615" spans="1:18" hidden="1">
      <c r="A3615" s="23" t="s">
        <v>7197</v>
      </c>
      <c r="B3615" s="23" t="s">
        <v>7198</v>
      </c>
      <c r="C3615" s="23">
        <v>1384</v>
      </c>
      <c r="D3615" t="s">
        <v>436</v>
      </c>
      <c r="I3615" s="3">
        <f>+IFERROR(VLOOKUP(C3615,'Mov 2023 hasta ahora '!$C$2:$D$314,2,FALSE),"NO")</f>
        <v>96</v>
      </c>
      <c r="K3615">
        <v>6</v>
      </c>
      <c r="L3615" t="s">
        <v>836</v>
      </c>
      <c r="M3615">
        <v>24</v>
      </c>
      <c r="O3615" s="29" t="s">
        <v>9016</v>
      </c>
      <c r="P3615" s="25" t="s">
        <v>8759</v>
      </c>
      <c r="Q3615" s="25">
        <v>1384</v>
      </c>
      <c r="R3615" t="s">
        <v>436</v>
      </c>
    </row>
    <row r="3616" spans="1:18" hidden="1">
      <c r="A3616" s="23" t="s">
        <v>7199</v>
      </c>
      <c r="B3616" s="23" t="s">
        <v>7200</v>
      </c>
      <c r="C3616" s="23">
        <v>1383</v>
      </c>
      <c r="D3616" t="s">
        <v>436</v>
      </c>
      <c r="I3616" s="3">
        <f>+IFERROR(VLOOKUP(C3616,'Mov 2023 hasta ahora '!$C$2:$D$314,2,FALSE),"NO")</f>
        <v>209</v>
      </c>
      <c r="K3616">
        <v>6</v>
      </c>
      <c r="L3616" t="s">
        <v>836</v>
      </c>
      <c r="M3616">
        <v>24</v>
      </c>
      <c r="O3616" s="29" t="s">
        <v>9017</v>
      </c>
      <c r="P3616" s="25" t="s">
        <v>8771</v>
      </c>
      <c r="Q3616" s="25">
        <v>1383</v>
      </c>
      <c r="R3616" t="s">
        <v>436</v>
      </c>
    </row>
    <row r="3617" spans="1:18" hidden="1">
      <c r="A3617" s="23" t="s">
        <v>7201</v>
      </c>
      <c r="B3617" s="23" t="s">
        <v>7202</v>
      </c>
      <c r="C3617" s="23">
        <v>1759</v>
      </c>
      <c r="D3617" t="s">
        <v>436</v>
      </c>
      <c r="I3617" s="3">
        <f>+IFERROR(VLOOKUP(C3617,'Mov 2023 hasta ahora '!$C$2:$D$314,2,FALSE),"NO")</f>
        <v>117</v>
      </c>
      <c r="K3617">
        <v>6</v>
      </c>
      <c r="L3617" t="s">
        <v>836</v>
      </c>
      <c r="M3617">
        <v>24</v>
      </c>
      <c r="O3617" s="29" t="s">
        <v>9018</v>
      </c>
      <c r="P3617" s="25" t="s">
        <v>8763</v>
      </c>
      <c r="Q3617" s="25">
        <v>1759</v>
      </c>
      <c r="R3617" t="s">
        <v>436</v>
      </c>
    </row>
    <row r="3618" spans="1:18" hidden="1">
      <c r="A3618" s="23" t="s">
        <v>7203</v>
      </c>
      <c r="B3618" s="23" t="s">
        <v>7204</v>
      </c>
      <c r="C3618" s="23">
        <v>1385</v>
      </c>
      <c r="D3618" t="s">
        <v>436</v>
      </c>
      <c r="I3618" s="3">
        <f>+IFERROR(VLOOKUP(C3618,'Mov 2023 hasta ahora '!$C$2:$D$314,2,FALSE),"NO")</f>
        <v>1</v>
      </c>
      <c r="K3618">
        <v>6</v>
      </c>
      <c r="L3618" t="s">
        <v>836</v>
      </c>
      <c r="M3618">
        <v>24</v>
      </c>
      <c r="O3618" s="29" t="s">
        <v>9019</v>
      </c>
      <c r="P3618" s="25" t="s">
        <v>8762</v>
      </c>
      <c r="Q3618" s="25">
        <v>1758</v>
      </c>
      <c r="R3618" t="s">
        <v>436</v>
      </c>
    </row>
    <row r="3619" spans="1:18" s="13" customFormat="1" hidden="1">
      <c r="A3619" s="23" t="s">
        <v>7205</v>
      </c>
      <c r="B3619" s="23" t="s">
        <v>7206</v>
      </c>
      <c r="C3619" s="23">
        <v>3801</v>
      </c>
      <c r="D3619" s="13" t="s">
        <v>436</v>
      </c>
      <c r="G3619"/>
      <c r="I3619" s="14">
        <f>+IFERROR(VLOOKUP(C3619,'Mov 2023 hasta ahora '!$C$2:$D$314,2,FALSE),"NO")</f>
        <v>43</v>
      </c>
      <c r="K3619">
        <v>6</v>
      </c>
      <c r="L3619" t="s">
        <v>836</v>
      </c>
      <c r="M3619">
        <v>24</v>
      </c>
      <c r="O3619" s="29" t="s">
        <v>9020</v>
      </c>
      <c r="P3619" s="25" t="s">
        <v>8758</v>
      </c>
      <c r="Q3619" s="25">
        <v>3801</v>
      </c>
      <c r="R3619" t="s">
        <v>436</v>
      </c>
    </row>
    <row r="3620" spans="1:18" s="13" customFormat="1" hidden="1">
      <c r="A3620" s="23" t="s">
        <v>7207</v>
      </c>
      <c r="B3620" s="23" t="s">
        <v>7208</v>
      </c>
      <c r="C3620" s="23">
        <v>3802</v>
      </c>
      <c r="D3620" s="13" t="s">
        <v>436</v>
      </c>
      <c r="G3620"/>
      <c r="I3620" s="14">
        <f>+IFERROR(VLOOKUP(C3620,'Mov 2023 hasta ahora '!$C$2:$D$314,2,FALSE),"NO")</f>
        <v>43</v>
      </c>
      <c r="K3620">
        <v>6</v>
      </c>
      <c r="L3620" t="s">
        <v>836</v>
      </c>
      <c r="M3620">
        <v>24</v>
      </c>
      <c r="O3620" s="29" t="s">
        <v>9021</v>
      </c>
      <c r="P3620" s="25" t="s">
        <v>8760</v>
      </c>
      <c r="Q3620" s="25">
        <v>3802</v>
      </c>
      <c r="R3620" t="s">
        <v>436</v>
      </c>
    </row>
    <row r="3621" spans="1:18" hidden="1">
      <c r="A3621" s="23" t="s">
        <v>7209</v>
      </c>
      <c r="B3621" s="23" t="s">
        <v>7210</v>
      </c>
      <c r="C3621" s="23">
        <v>1337</v>
      </c>
      <c r="D3621" t="s">
        <v>436</v>
      </c>
      <c r="I3621" s="3">
        <f>+IFERROR(VLOOKUP(C3621,'Mov 2023 hasta ahora '!$C$2:$D$314,2,FALSE),"NO")</f>
        <v>4</v>
      </c>
      <c r="K3621">
        <v>6</v>
      </c>
      <c r="L3621" t="s">
        <v>836</v>
      </c>
      <c r="M3621">
        <v>24</v>
      </c>
      <c r="O3621" s="29" t="s">
        <v>8691</v>
      </c>
      <c r="P3621" s="25" t="s">
        <v>8687</v>
      </c>
      <c r="Q3621" s="25">
        <v>1228</v>
      </c>
      <c r="R3621" t="s">
        <v>436</v>
      </c>
    </row>
    <row r="3622" spans="1:18" hidden="1">
      <c r="A3622" t="s">
        <v>7211</v>
      </c>
      <c r="B3622" t="s">
        <v>7212</v>
      </c>
      <c r="I3622" s="3" t="str">
        <f>+IFERROR(VLOOKUP(C3622,'Mov 2023 hasta ahora '!$C$2:$D$314,2,FALSE),"NO")</f>
        <v>NO</v>
      </c>
      <c r="K3622">
        <v>4</v>
      </c>
      <c r="L3622" t="s">
        <v>836</v>
      </c>
      <c r="M3622">
        <v>14</v>
      </c>
    </row>
    <row r="3623" spans="1:18" hidden="1">
      <c r="A3623" t="s">
        <v>7213</v>
      </c>
      <c r="B3623" t="s">
        <v>7214</v>
      </c>
      <c r="I3623" s="3" t="str">
        <f>+IFERROR(VLOOKUP(C3623,'Mov 2023 hasta ahora '!$C$2:$D$314,2,FALSE),"NO")</f>
        <v>NO</v>
      </c>
      <c r="K3623">
        <v>5</v>
      </c>
      <c r="L3623" t="s">
        <v>836</v>
      </c>
      <c r="M3623">
        <v>18</v>
      </c>
    </row>
    <row r="3624" spans="1:18" hidden="1">
      <c r="A3624" s="23" t="s">
        <v>7215</v>
      </c>
      <c r="B3624" s="23" t="s">
        <v>7216</v>
      </c>
      <c r="C3624" s="23">
        <v>1758</v>
      </c>
      <c r="D3624" t="s">
        <v>436</v>
      </c>
      <c r="I3624" s="3">
        <f>+IFERROR(VLOOKUP(C3624,'Mov 2023 hasta ahora '!$C$2:$D$314,2,FALSE),"NO")</f>
        <v>25</v>
      </c>
      <c r="K3624">
        <v>6</v>
      </c>
      <c r="L3624" t="s">
        <v>836</v>
      </c>
      <c r="M3624">
        <v>24</v>
      </c>
      <c r="O3624" s="29" t="s">
        <v>9019</v>
      </c>
      <c r="P3624" s="25" t="s">
        <v>8762</v>
      </c>
      <c r="Q3624" s="25">
        <v>1758</v>
      </c>
      <c r="R3624" t="s">
        <v>436</v>
      </c>
    </row>
    <row r="3625" spans="1:18" hidden="1">
      <c r="A3625" s="23" t="s">
        <v>7217</v>
      </c>
      <c r="B3625" s="23" t="s">
        <v>7218</v>
      </c>
      <c r="C3625" s="23">
        <v>1825</v>
      </c>
      <c r="D3625" t="s">
        <v>436</v>
      </c>
      <c r="I3625" s="3">
        <f>+IFERROR(VLOOKUP(C3625,'Mov 2023 hasta ahora '!$C$2:$D$314,2,FALSE),"NO")</f>
        <v>7</v>
      </c>
      <c r="K3625">
        <v>6</v>
      </c>
      <c r="L3625" t="s">
        <v>836</v>
      </c>
      <c r="M3625">
        <v>24</v>
      </c>
      <c r="O3625" s="29" t="s">
        <v>9022</v>
      </c>
      <c r="P3625" s="25" t="s">
        <v>8769</v>
      </c>
      <c r="Q3625" s="25">
        <v>1825</v>
      </c>
      <c r="R3625" t="s">
        <v>436</v>
      </c>
    </row>
    <row r="3626" spans="1:18" hidden="1">
      <c r="A3626" s="23" t="s">
        <v>7219</v>
      </c>
      <c r="B3626" s="23" t="s">
        <v>7220</v>
      </c>
      <c r="C3626" s="23">
        <v>1900</v>
      </c>
      <c r="I3626" s="3">
        <f>+IFERROR(VLOOKUP(C3626,'Mov 2023 hasta ahora '!$C$2:$D$314,2,FALSE),"NO")</f>
        <v>264</v>
      </c>
      <c r="K3626">
        <v>6</v>
      </c>
      <c r="L3626" t="s">
        <v>836</v>
      </c>
      <c r="M3626">
        <v>24</v>
      </c>
      <c r="O3626" s="29" t="s">
        <v>9023</v>
      </c>
      <c r="P3626" s="25" t="s">
        <v>8770</v>
      </c>
      <c r="Q3626" s="25">
        <v>1900</v>
      </c>
      <c r="R3626" t="s">
        <v>436</v>
      </c>
    </row>
    <row r="3627" spans="1:18" hidden="1">
      <c r="A3627" s="23" t="s">
        <v>7221</v>
      </c>
      <c r="B3627" s="23" t="s">
        <v>7222</v>
      </c>
      <c r="C3627" s="23">
        <v>2989</v>
      </c>
      <c r="I3627" s="3">
        <f>+IFERROR(VLOOKUP(C3627,'Mov 2023 hasta ahora '!$C$2:$D$314,2,FALSE),"NO")</f>
        <v>48</v>
      </c>
      <c r="K3627">
        <v>6</v>
      </c>
      <c r="L3627" t="s">
        <v>836</v>
      </c>
      <c r="M3627">
        <v>24</v>
      </c>
      <c r="O3627" s="29" t="s">
        <v>9024</v>
      </c>
      <c r="P3627" s="25" t="s">
        <v>8843</v>
      </c>
      <c r="Q3627" s="25">
        <v>2989</v>
      </c>
      <c r="R3627" t="s">
        <v>436</v>
      </c>
    </row>
    <row r="3628" spans="1:18" hidden="1">
      <c r="A3628" s="23" t="s">
        <v>7223</v>
      </c>
      <c r="B3628" s="23" t="s">
        <v>7224</v>
      </c>
      <c r="C3628" s="23">
        <v>1882</v>
      </c>
      <c r="D3628" t="s">
        <v>436</v>
      </c>
      <c r="I3628" s="3">
        <f>+IFERROR(VLOOKUP(C3628,'Mov 2023 hasta ahora '!$C$2:$D$314,2,FALSE),"NO")</f>
        <v>2</v>
      </c>
      <c r="K3628">
        <v>6</v>
      </c>
      <c r="L3628" t="s">
        <v>836</v>
      </c>
      <c r="M3628">
        <v>24</v>
      </c>
      <c r="O3628" s="29" t="s">
        <v>9025</v>
      </c>
      <c r="P3628" s="25" t="s">
        <v>8761</v>
      </c>
      <c r="Q3628" s="25">
        <v>1882</v>
      </c>
      <c r="R3628" t="s">
        <v>436</v>
      </c>
    </row>
    <row r="3629" spans="1:18" hidden="1">
      <c r="A3629">
        <v>5.21</v>
      </c>
      <c r="B3629" t="s">
        <v>456</v>
      </c>
      <c r="I3629" s="3" t="str">
        <f>+IFERROR(VLOOKUP(C3629,'Mov 2023 hasta ahora '!$C$2:$D$314,2,FALSE),"NO")</f>
        <v>NO</v>
      </c>
      <c r="K3629">
        <v>2</v>
      </c>
      <c r="L3629" t="s">
        <v>836</v>
      </c>
      <c r="M3629">
        <v>4</v>
      </c>
    </row>
    <row r="3630" spans="1:18" hidden="1">
      <c r="A3630" t="s">
        <v>7225</v>
      </c>
      <c r="B3630" t="s">
        <v>7226</v>
      </c>
      <c r="I3630" s="3" t="str">
        <f>+IFERROR(VLOOKUP(C3630,'Mov 2023 hasta ahora '!$C$2:$D$314,2,FALSE),"NO")</f>
        <v>NO</v>
      </c>
      <c r="K3630">
        <v>3</v>
      </c>
      <c r="L3630" t="s">
        <v>836</v>
      </c>
      <c r="M3630">
        <v>10</v>
      </c>
    </row>
    <row r="3631" spans="1:18" hidden="1">
      <c r="A3631" t="s">
        <v>7227</v>
      </c>
      <c r="B3631" t="s">
        <v>7228</v>
      </c>
      <c r="I3631" s="3" t="str">
        <f>+IFERROR(VLOOKUP(C3631,'Mov 2023 hasta ahora '!$C$2:$D$314,2,FALSE),"NO")</f>
        <v>NO</v>
      </c>
      <c r="K3631">
        <v>4</v>
      </c>
      <c r="L3631" t="s">
        <v>836</v>
      </c>
      <c r="M3631">
        <v>14</v>
      </c>
    </row>
    <row r="3632" spans="1:18" hidden="1">
      <c r="A3632" t="s">
        <v>7229</v>
      </c>
      <c r="B3632" t="s">
        <v>7230</v>
      </c>
      <c r="I3632" s="3" t="str">
        <f>+IFERROR(VLOOKUP(C3632,'Mov 2023 hasta ahora '!$C$2:$D$314,2,FALSE),"NO")</f>
        <v>NO</v>
      </c>
      <c r="K3632">
        <v>5</v>
      </c>
      <c r="L3632" t="s">
        <v>836</v>
      </c>
      <c r="M3632">
        <v>18</v>
      </c>
    </row>
    <row r="3633" spans="1:18" hidden="1">
      <c r="A3633" s="23" t="s">
        <v>7231</v>
      </c>
      <c r="B3633" s="23" t="s">
        <v>7232</v>
      </c>
      <c r="C3633" s="23">
        <v>1700</v>
      </c>
      <c r="D3633" t="s">
        <v>436</v>
      </c>
      <c r="I3633" s="3" t="str">
        <f>+IFERROR(VLOOKUP(C3633,'Mov 2023 hasta ahora '!$C$2:$D$314,2,FALSE),"NO")</f>
        <v>NO</v>
      </c>
      <c r="K3633">
        <v>6</v>
      </c>
      <c r="L3633" t="s">
        <v>836</v>
      </c>
      <c r="M3633">
        <v>24</v>
      </c>
      <c r="O3633" s="29" t="s">
        <v>8775</v>
      </c>
      <c r="P3633" s="25" t="s">
        <v>9039</v>
      </c>
      <c r="Q3633" s="25">
        <v>1704</v>
      </c>
      <c r="R3633" t="s">
        <v>436</v>
      </c>
    </row>
    <row r="3634" spans="1:18" hidden="1">
      <c r="A3634" s="23" t="s">
        <v>7233</v>
      </c>
      <c r="B3634" s="23" t="s">
        <v>7234</v>
      </c>
      <c r="C3634" s="23">
        <v>1704</v>
      </c>
      <c r="D3634" t="s">
        <v>436</v>
      </c>
      <c r="I3634" s="3" t="str">
        <f>+IFERROR(VLOOKUP(C3634,'Mov 2023 hasta ahora '!$C$2:$D$314,2,FALSE),"NO")</f>
        <v>NO</v>
      </c>
      <c r="K3634">
        <v>6</v>
      </c>
      <c r="L3634" t="s">
        <v>836</v>
      </c>
      <c r="M3634">
        <v>24</v>
      </c>
      <c r="O3634" s="29" t="s">
        <v>8775</v>
      </c>
      <c r="P3634" s="25" t="s">
        <v>9039</v>
      </c>
      <c r="Q3634" s="25">
        <v>1704</v>
      </c>
      <c r="R3634" t="s">
        <v>436</v>
      </c>
    </row>
    <row r="3635" spans="1:18" hidden="1">
      <c r="A3635" s="23" t="s">
        <v>7235</v>
      </c>
      <c r="B3635" s="23" t="s">
        <v>7236</v>
      </c>
      <c r="C3635" s="23">
        <v>1708</v>
      </c>
      <c r="D3635" t="s">
        <v>436</v>
      </c>
      <c r="I3635" s="3" t="str">
        <f>+IFERROR(VLOOKUP(C3635,'Mov 2023 hasta ahora '!$C$2:$D$314,2,FALSE),"NO")</f>
        <v>NO</v>
      </c>
      <c r="K3635">
        <v>6</v>
      </c>
      <c r="L3635" t="s">
        <v>836</v>
      </c>
      <c r="M3635">
        <v>24</v>
      </c>
      <c r="O3635" s="29" t="s">
        <v>9043</v>
      </c>
      <c r="P3635" s="25" t="s">
        <v>9044</v>
      </c>
      <c r="Q3635" s="25">
        <v>1708</v>
      </c>
      <c r="R3635" t="s">
        <v>436</v>
      </c>
    </row>
    <row r="3636" spans="1:18" hidden="1">
      <c r="A3636" s="23" t="s">
        <v>7237</v>
      </c>
      <c r="B3636" s="23" t="s">
        <v>7238</v>
      </c>
      <c r="C3636" s="23">
        <v>1712</v>
      </c>
      <c r="D3636" t="s">
        <v>436</v>
      </c>
      <c r="I3636" s="3" t="str">
        <f>+IFERROR(VLOOKUP(C3636,'Mov 2023 hasta ahora '!$C$2:$D$314,2,FALSE),"NO")</f>
        <v>NO</v>
      </c>
      <c r="K3636">
        <v>6</v>
      </c>
      <c r="L3636" t="s">
        <v>836</v>
      </c>
      <c r="M3636">
        <v>24</v>
      </c>
      <c r="O3636" s="29" t="s">
        <v>9045</v>
      </c>
      <c r="P3636" s="25" t="s">
        <v>9046</v>
      </c>
      <c r="Q3636" s="25">
        <v>1712</v>
      </c>
      <c r="R3636" t="s">
        <v>436</v>
      </c>
    </row>
    <row r="3637" spans="1:18" hidden="1">
      <c r="A3637" s="23" t="s">
        <v>7239</v>
      </c>
      <c r="B3637" s="23" t="s">
        <v>7240</v>
      </c>
      <c r="C3637" s="23">
        <v>1723</v>
      </c>
      <c r="D3637" t="s">
        <v>436</v>
      </c>
      <c r="I3637" s="3" t="str">
        <f>+IFERROR(VLOOKUP(C3637,'Mov 2023 hasta ahora '!$C$2:$D$314,2,FALSE),"NO")</f>
        <v>NO</v>
      </c>
      <c r="K3637">
        <v>6</v>
      </c>
      <c r="L3637" t="s">
        <v>836</v>
      </c>
      <c r="M3637">
        <v>24</v>
      </c>
      <c r="O3637" s="29" t="s">
        <v>9035</v>
      </c>
      <c r="P3637" s="25" t="s">
        <v>9036</v>
      </c>
      <c r="Q3637" s="25">
        <v>1723</v>
      </c>
      <c r="R3637" t="s">
        <v>436</v>
      </c>
    </row>
    <row r="3638" spans="1:18" hidden="1">
      <c r="A3638" s="23" t="s">
        <v>7241</v>
      </c>
      <c r="B3638" s="23" t="s">
        <v>7242</v>
      </c>
      <c r="C3638" s="23">
        <v>1719</v>
      </c>
      <c r="D3638" t="s">
        <v>436</v>
      </c>
      <c r="I3638" s="3" t="str">
        <f>+IFERROR(VLOOKUP(C3638,'Mov 2023 hasta ahora '!$C$2:$D$314,2,FALSE),"NO")</f>
        <v>NO</v>
      </c>
      <c r="K3638">
        <v>6</v>
      </c>
      <c r="L3638" t="s">
        <v>836</v>
      </c>
      <c r="M3638">
        <v>24</v>
      </c>
      <c r="O3638" s="29" t="s">
        <v>9047</v>
      </c>
      <c r="P3638" s="25" t="s">
        <v>9048</v>
      </c>
      <c r="Q3638" s="25">
        <v>1719</v>
      </c>
      <c r="R3638" t="s">
        <v>436</v>
      </c>
    </row>
    <row r="3639" spans="1:18" hidden="1">
      <c r="A3639" s="23" t="s">
        <v>7243</v>
      </c>
      <c r="B3639" s="23" t="s">
        <v>7244</v>
      </c>
      <c r="C3639" s="23">
        <v>1715</v>
      </c>
      <c r="D3639" t="s">
        <v>436</v>
      </c>
      <c r="I3639" s="3" t="str">
        <f>+IFERROR(VLOOKUP(C3639,'Mov 2023 hasta ahora '!$C$2:$D$314,2,FALSE),"NO")</f>
        <v>NO</v>
      </c>
      <c r="K3639">
        <v>6</v>
      </c>
      <c r="L3639" t="s">
        <v>836</v>
      </c>
      <c r="M3639">
        <v>24</v>
      </c>
      <c r="O3639" s="29" t="s">
        <v>9041</v>
      </c>
      <c r="P3639" s="25" t="s">
        <v>9042</v>
      </c>
      <c r="Q3639" s="25">
        <v>1715</v>
      </c>
      <c r="R3639" t="s">
        <v>436</v>
      </c>
    </row>
    <row r="3640" spans="1:18" hidden="1">
      <c r="A3640" s="23" t="s">
        <v>7245</v>
      </c>
      <c r="B3640" s="23" t="s">
        <v>7246</v>
      </c>
      <c r="C3640" s="23">
        <v>2947</v>
      </c>
      <c r="I3640" s="3" t="str">
        <f>+IFERROR(VLOOKUP(C3640,'Mov 2023 hasta ahora '!$C$2:$D$314,2,FALSE),"NO")</f>
        <v>NO</v>
      </c>
      <c r="K3640">
        <v>6</v>
      </c>
      <c r="L3640" t="s">
        <v>836</v>
      </c>
      <c r="M3640">
        <v>24</v>
      </c>
      <c r="O3640" s="29" t="s">
        <v>8774</v>
      </c>
      <c r="P3640" s="25" t="s">
        <v>9040</v>
      </c>
      <c r="Q3640" s="25">
        <v>2947</v>
      </c>
      <c r="R3640" t="s">
        <v>436</v>
      </c>
    </row>
    <row r="3641" spans="1:18" hidden="1">
      <c r="A3641" t="s">
        <v>7247</v>
      </c>
      <c r="B3641" t="s">
        <v>1980</v>
      </c>
      <c r="I3641" s="3" t="str">
        <f>+IFERROR(VLOOKUP(C3641,'Mov 2023 hasta ahora '!$C$2:$D$314,2,FALSE),"NO")</f>
        <v>NO</v>
      </c>
      <c r="K3641">
        <v>3</v>
      </c>
      <c r="L3641" t="s">
        <v>836</v>
      </c>
      <c r="M3641">
        <v>10</v>
      </c>
    </row>
    <row r="3642" spans="1:18" hidden="1">
      <c r="A3642" t="s">
        <v>7248</v>
      </c>
      <c r="B3642" t="s">
        <v>7249</v>
      </c>
      <c r="I3642" s="3" t="str">
        <f>+IFERROR(VLOOKUP(C3642,'Mov 2023 hasta ahora '!$C$2:$D$314,2,FALSE),"NO")</f>
        <v>NO</v>
      </c>
      <c r="K3642">
        <v>4</v>
      </c>
      <c r="L3642" t="s">
        <v>836</v>
      </c>
      <c r="M3642">
        <v>14</v>
      </c>
    </row>
    <row r="3643" spans="1:18" hidden="1">
      <c r="A3643" t="s">
        <v>7250</v>
      </c>
      <c r="B3643" t="s">
        <v>7251</v>
      </c>
      <c r="I3643" s="3" t="str">
        <f>+IFERROR(VLOOKUP(C3643,'Mov 2023 hasta ahora '!$C$2:$D$314,2,FALSE),"NO")</f>
        <v>NO</v>
      </c>
      <c r="K3643">
        <v>5</v>
      </c>
      <c r="L3643" t="s">
        <v>836</v>
      </c>
      <c r="M3643">
        <v>18</v>
      </c>
    </row>
    <row r="3644" spans="1:18" hidden="1">
      <c r="A3644" s="23" t="s">
        <v>7252</v>
      </c>
      <c r="B3644" s="23" t="s">
        <v>7253</v>
      </c>
      <c r="C3644" s="23">
        <v>1701</v>
      </c>
      <c r="D3644" t="s">
        <v>436</v>
      </c>
      <c r="I3644" s="3" t="str">
        <f>+IFERROR(VLOOKUP(C3644,'Mov 2023 hasta ahora '!$C$2:$D$314,2,FALSE),"NO")</f>
        <v>NO</v>
      </c>
      <c r="K3644">
        <v>6</v>
      </c>
      <c r="L3644" t="s">
        <v>836</v>
      </c>
      <c r="M3644">
        <v>24</v>
      </c>
      <c r="O3644" s="29" t="s">
        <v>8775</v>
      </c>
      <c r="P3644" s="25" t="s">
        <v>9039</v>
      </c>
      <c r="Q3644" s="25">
        <v>1704</v>
      </c>
      <c r="R3644" t="s">
        <v>436</v>
      </c>
    </row>
    <row r="3645" spans="1:18" hidden="1">
      <c r="A3645" s="23" t="s">
        <v>7254</v>
      </c>
      <c r="B3645" s="23" t="s">
        <v>7255</v>
      </c>
      <c r="C3645" s="23">
        <v>1705</v>
      </c>
      <c r="D3645" t="s">
        <v>436</v>
      </c>
      <c r="I3645" s="3" t="str">
        <f>+IFERROR(VLOOKUP(C3645,'Mov 2023 hasta ahora '!$C$2:$D$314,2,FALSE),"NO")</f>
        <v>NO</v>
      </c>
      <c r="K3645">
        <v>6</v>
      </c>
      <c r="L3645" t="s">
        <v>836</v>
      </c>
      <c r="M3645">
        <v>24</v>
      </c>
      <c r="O3645" s="29" t="s">
        <v>8775</v>
      </c>
      <c r="P3645" s="25" t="s">
        <v>9039</v>
      </c>
      <c r="Q3645" s="25">
        <v>1704</v>
      </c>
      <c r="R3645" t="s">
        <v>436</v>
      </c>
    </row>
    <row r="3646" spans="1:18" hidden="1">
      <c r="A3646" s="23" t="s">
        <v>7256</v>
      </c>
      <c r="B3646" s="23" t="s">
        <v>7257</v>
      </c>
      <c r="C3646" s="23">
        <v>1709</v>
      </c>
      <c r="D3646" t="s">
        <v>436</v>
      </c>
      <c r="I3646" s="3" t="str">
        <f>+IFERROR(VLOOKUP(C3646,'Mov 2023 hasta ahora '!$C$2:$D$314,2,FALSE),"NO")</f>
        <v>NO</v>
      </c>
      <c r="K3646">
        <v>6</v>
      </c>
      <c r="L3646" t="s">
        <v>836</v>
      </c>
      <c r="M3646">
        <v>24</v>
      </c>
      <c r="O3646" s="29" t="s">
        <v>9043</v>
      </c>
      <c r="P3646" s="25" t="s">
        <v>9044</v>
      </c>
      <c r="Q3646" s="25">
        <v>1708</v>
      </c>
      <c r="R3646" t="s">
        <v>436</v>
      </c>
    </row>
    <row r="3647" spans="1:18" hidden="1">
      <c r="A3647" s="23" t="s">
        <v>7258</v>
      </c>
      <c r="B3647" s="23" t="s">
        <v>7259</v>
      </c>
      <c r="C3647" s="23">
        <v>1713</v>
      </c>
      <c r="D3647" t="s">
        <v>436</v>
      </c>
      <c r="I3647" s="3" t="str">
        <f>+IFERROR(VLOOKUP(C3647,'Mov 2023 hasta ahora '!$C$2:$D$314,2,FALSE),"NO")</f>
        <v>NO</v>
      </c>
      <c r="K3647">
        <v>6</v>
      </c>
      <c r="L3647" t="s">
        <v>836</v>
      </c>
      <c r="M3647">
        <v>24</v>
      </c>
      <c r="O3647" s="29" t="s">
        <v>9045</v>
      </c>
      <c r="P3647" s="25" t="s">
        <v>9046</v>
      </c>
      <c r="Q3647" s="25">
        <v>1712</v>
      </c>
      <c r="R3647" t="s">
        <v>436</v>
      </c>
    </row>
    <row r="3648" spans="1:18" hidden="1">
      <c r="A3648" s="23" t="s">
        <v>7260</v>
      </c>
      <c r="B3648" s="23" t="s">
        <v>7261</v>
      </c>
      <c r="C3648" s="23">
        <v>1724</v>
      </c>
      <c r="D3648" t="s">
        <v>436</v>
      </c>
      <c r="I3648" s="3" t="str">
        <f>+IFERROR(VLOOKUP(C3648,'Mov 2023 hasta ahora '!$C$2:$D$314,2,FALSE),"NO")</f>
        <v>NO</v>
      </c>
      <c r="K3648">
        <v>6</v>
      </c>
      <c r="L3648" t="s">
        <v>836</v>
      </c>
      <c r="M3648">
        <v>24</v>
      </c>
      <c r="O3648" s="29" t="s">
        <v>9035</v>
      </c>
      <c r="P3648" s="25" t="s">
        <v>9036</v>
      </c>
      <c r="Q3648" s="25">
        <v>1723</v>
      </c>
      <c r="R3648" t="s">
        <v>436</v>
      </c>
    </row>
    <row r="3649" spans="1:18" hidden="1">
      <c r="A3649" s="23" t="s">
        <v>7262</v>
      </c>
      <c r="B3649" s="23" t="s">
        <v>7263</v>
      </c>
      <c r="C3649" s="23">
        <v>1720</v>
      </c>
      <c r="D3649" t="s">
        <v>436</v>
      </c>
      <c r="I3649" s="3" t="str">
        <f>+IFERROR(VLOOKUP(C3649,'Mov 2023 hasta ahora '!$C$2:$D$314,2,FALSE),"NO")</f>
        <v>NO</v>
      </c>
      <c r="K3649">
        <v>6</v>
      </c>
      <c r="L3649" t="s">
        <v>836</v>
      </c>
      <c r="M3649">
        <v>24</v>
      </c>
      <c r="O3649" s="29" t="s">
        <v>9047</v>
      </c>
      <c r="P3649" s="25" t="s">
        <v>9048</v>
      </c>
      <c r="Q3649" s="25">
        <v>1719</v>
      </c>
      <c r="R3649" t="s">
        <v>436</v>
      </c>
    </row>
    <row r="3650" spans="1:18" hidden="1">
      <c r="A3650" s="23" t="s">
        <v>7264</v>
      </c>
      <c r="B3650" s="23" t="s">
        <v>7265</v>
      </c>
      <c r="C3650" s="23">
        <v>1716</v>
      </c>
      <c r="D3650" t="s">
        <v>436</v>
      </c>
      <c r="I3650" s="3" t="str">
        <f>+IFERROR(VLOOKUP(C3650,'Mov 2023 hasta ahora '!$C$2:$D$314,2,FALSE),"NO")</f>
        <v>NO</v>
      </c>
      <c r="K3650">
        <v>6</v>
      </c>
      <c r="L3650" t="s">
        <v>836</v>
      </c>
      <c r="M3650">
        <v>24</v>
      </c>
      <c r="O3650" s="29" t="s">
        <v>9041</v>
      </c>
      <c r="P3650" s="25" t="s">
        <v>9042</v>
      </c>
      <c r="Q3650" s="25">
        <v>1715</v>
      </c>
      <c r="R3650" t="s">
        <v>436</v>
      </c>
    </row>
    <row r="3651" spans="1:18" hidden="1">
      <c r="A3651" s="23" t="s">
        <v>7266</v>
      </c>
      <c r="B3651" s="23" t="s">
        <v>7267</v>
      </c>
      <c r="C3651" s="23">
        <v>1918</v>
      </c>
      <c r="I3651" s="3" t="str">
        <f>+IFERROR(VLOOKUP(C3651,'Mov 2023 hasta ahora '!$C$2:$D$314,2,FALSE),"NO")</f>
        <v>NO</v>
      </c>
      <c r="K3651">
        <v>6</v>
      </c>
      <c r="L3651" t="s">
        <v>836</v>
      </c>
      <c r="M3651">
        <v>24</v>
      </c>
      <c r="O3651" s="29" t="s">
        <v>8774</v>
      </c>
      <c r="P3651" s="25" t="s">
        <v>9040</v>
      </c>
      <c r="Q3651" s="25">
        <v>2947</v>
      </c>
      <c r="R3651" t="s">
        <v>436</v>
      </c>
    </row>
    <row r="3652" spans="1:18" hidden="1">
      <c r="A3652" t="s">
        <v>7268</v>
      </c>
      <c r="B3652" t="s">
        <v>1996</v>
      </c>
      <c r="I3652" s="3" t="str">
        <f>+IFERROR(VLOOKUP(C3652,'Mov 2023 hasta ahora '!$C$2:$D$314,2,FALSE),"NO")</f>
        <v>NO</v>
      </c>
      <c r="K3652">
        <v>3</v>
      </c>
      <c r="L3652" t="s">
        <v>836</v>
      </c>
      <c r="M3652">
        <v>10</v>
      </c>
    </row>
    <row r="3653" spans="1:18" hidden="1">
      <c r="A3653" t="s">
        <v>7269</v>
      </c>
      <c r="B3653" t="s">
        <v>7270</v>
      </c>
      <c r="I3653" s="3" t="str">
        <f>+IFERROR(VLOOKUP(C3653,'Mov 2023 hasta ahora '!$C$2:$D$314,2,FALSE),"NO")</f>
        <v>NO</v>
      </c>
      <c r="K3653">
        <v>4</v>
      </c>
      <c r="L3653" t="s">
        <v>836</v>
      </c>
      <c r="M3653">
        <v>14</v>
      </c>
    </row>
    <row r="3654" spans="1:18" hidden="1">
      <c r="A3654" t="s">
        <v>7271</v>
      </c>
      <c r="B3654" t="s">
        <v>7272</v>
      </c>
      <c r="I3654" s="3" t="str">
        <f>+IFERROR(VLOOKUP(C3654,'Mov 2023 hasta ahora '!$C$2:$D$314,2,FALSE),"NO")</f>
        <v>NO</v>
      </c>
      <c r="K3654">
        <v>5</v>
      </c>
      <c r="L3654" t="s">
        <v>836</v>
      </c>
      <c r="M3654">
        <v>18</v>
      </c>
    </row>
    <row r="3655" spans="1:18" hidden="1">
      <c r="A3655" s="23" t="s">
        <v>7273</v>
      </c>
      <c r="B3655" s="23" t="s">
        <v>7274</v>
      </c>
      <c r="C3655" s="23">
        <v>1702</v>
      </c>
      <c r="D3655" t="s">
        <v>436</v>
      </c>
      <c r="I3655" s="3" t="str">
        <f>+IFERROR(VLOOKUP(C3655,'Mov 2023 hasta ahora '!$C$2:$D$314,2,FALSE),"NO")</f>
        <v>NO</v>
      </c>
      <c r="K3655">
        <v>6</v>
      </c>
      <c r="L3655" t="s">
        <v>836</v>
      </c>
      <c r="M3655">
        <v>24</v>
      </c>
      <c r="O3655" s="29" t="s">
        <v>8775</v>
      </c>
      <c r="P3655" s="25" t="s">
        <v>9039</v>
      </c>
      <c r="Q3655" s="25">
        <v>1704</v>
      </c>
      <c r="R3655" t="s">
        <v>436</v>
      </c>
    </row>
    <row r="3656" spans="1:18" hidden="1">
      <c r="A3656" s="23" t="s">
        <v>7275</v>
      </c>
      <c r="B3656" s="23" t="s">
        <v>7276</v>
      </c>
      <c r="C3656" s="23">
        <v>1706</v>
      </c>
      <c r="D3656" t="s">
        <v>436</v>
      </c>
      <c r="I3656" s="3">
        <f>+IFERROR(VLOOKUP(C3656,'Mov 2023 hasta ahora '!$C$2:$D$314,2,FALSE),"NO")</f>
        <v>1</v>
      </c>
      <c r="K3656">
        <v>6</v>
      </c>
      <c r="L3656" t="s">
        <v>836</v>
      </c>
      <c r="M3656">
        <v>24</v>
      </c>
      <c r="O3656" s="29" t="s">
        <v>8775</v>
      </c>
      <c r="P3656" s="25" t="s">
        <v>9039</v>
      </c>
      <c r="Q3656" s="25">
        <v>1704</v>
      </c>
      <c r="R3656" t="s">
        <v>436</v>
      </c>
    </row>
    <row r="3657" spans="1:18" hidden="1">
      <c r="A3657" s="23" t="s">
        <v>7277</v>
      </c>
      <c r="B3657" s="23" t="s">
        <v>7278</v>
      </c>
      <c r="C3657" s="23">
        <v>1710</v>
      </c>
      <c r="D3657" t="s">
        <v>436</v>
      </c>
      <c r="I3657" s="3" t="str">
        <f>+IFERROR(VLOOKUP(C3657,'Mov 2023 hasta ahora '!$C$2:$D$314,2,FALSE),"NO")</f>
        <v>NO</v>
      </c>
      <c r="K3657">
        <v>6</v>
      </c>
      <c r="L3657" t="s">
        <v>836</v>
      </c>
      <c r="M3657">
        <v>24</v>
      </c>
      <c r="O3657" s="29" t="s">
        <v>9043</v>
      </c>
      <c r="P3657" s="25" t="s">
        <v>9044</v>
      </c>
      <c r="Q3657" s="25">
        <v>1708</v>
      </c>
      <c r="R3657" t="s">
        <v>436</v>
      </c>
    </row>
    <row r="3658" spans="1:18" hidden="1">
      <c r="A3658" s="23" t="s">
        <v>7279</v>
      </c>
      <c r="B3658" s="23" t="s">
        <v>7280</v>
      </c>
      <c r="C3658" s="23">
        <v>1714</v>
      </c>
      <c r="D3658" t="s">
        <v>436</v>
      </c>
      <c r="I3658" s="3" t="str">
        <f>+IFERROR(VLOOKUP(C3658,'Mov 2023 hasta ahora '!$C$2:$D$314,2,FALSE),"NO")</f>
        <v>NO</v>
      </c>
      <c r="K3658">
        <v>6</v>
      </c>
      <c r="L3658" t="s">
        <v>836</v>
      </c>
      <c r="M3658">
        <v>24</v>
      </c>
      <c r="O3658" s="29" t="s">
        <v>9045</v>
      </c>
      <c r="P3658" s="25" t="s">
        <v>9046</v>
      </c>
      <c r="Q3658" s="25">
        <v>1712</v>
      </c>
      <c r="R3658" t="s">
        <v>436</v>
      </c>
    </row>
    <row r="3659" spans="1:18" hidden="1">
      <c r="A3659" s="23" t="s">
        <v>7281</v>
      </c>
      <c r="B3659" s="23" t="s">
        <v>7282</v>
      </c>
      <c r="C3659" s="23">
        <v>1725</v>
      </c>
      <c r="D3659" t="s">
        <v>436</v>
      </c>
      <c r="I3659" s="3" t="str">
        <f>+IFERROR(VLOOKUP(C3659,'Mov 2023 hasta ahora '!$C$2:$D$314,2,FALSE),"NO")</f>
        <v>NO</v>
      </c>
      <c r="K3659">
        <v>6</v>
      </c>
      <c r="L3659" t="s">
        <v>836</v>
      </c>
      <c r="M3659">
        <v>24</v>
      </c>
      <c r="O3659" s="29" t="s">
        <v>9035</v>
      </c>
      <c r="P3659" s="25" t="s">
        <v>9036</v>
      </c>
      <c r="Q3659" s="25">
        <v>1723</v>
      </c>
      <c r="R3659" t="s">
        <v>436</v>
      </c>
    </row>
    <row r="3660" spans="1:18" hidden="1">
      <c r="A3660" s="23" t="s">
        <v>7283</v>
      </c>
      <c r="B3660" s="23" t="s">
        <v>7284</v>
      </c>
      <c r="C3660" s="23">
        <v>1721</v>
      </c>
      <c r="D3660" t="s">
        <v>436</v>
      </c>
      <c r="I3660" s="3" t="str">
        <f>+IFERROR(VLOOKUP(C3660,'Mov 2023 hasta ahora '!$C$2:$D$314,2,FALSE),"NO")</f>
        <v>NO</v>
      </c>
      <c r="K3660">
        <v>6</v>
      </c>
      <c r="L3660" t="s">
        <v>836</v>
      </c>
      <c r="M3660">
        <v>24</v>
      </c>
      <c r="O3660" s="29" t="s">
        <v>9047</v>
      </c>
      <c r="P3660" s="25" t="s">
        <v>9048</v>
      </c>
      <c r="Q3660" s="25">
        <v>1719</v>
      </c>
      <c r="R3660" t="s">
        <v>436</v>
      </c>
    </row>
    <row r="3661" spans="1:18" hidden="1">
      <c r="A3661" s="23" t="s">
        <v>7285</v>
      </c>
      <c r="B3661" s="23" t="s">
        <v>7286</v>
      </c>
      <c r="C3661" s="23">
        <v>1717</v>
      </c>
      <c r="D3661" t="s">
        <v>436</v>
      </c>
      <c r="I3661" s="3" t="str">
        <f>+IFERROR(VLOOKUP(C3661,'Mov 2023 hasta ahora '!$C$2:$D$314,2,FALSE),"NO")</f>
        <v>NO</v>
      </c>
      <c r="K3661">
        <v>6</v>
      </c>
      <c r="L3661" t="s">
        <v>836</v>
      </c>
      <c r="M3661">
        <v>24</v>
      </c>
      <c r="O3661" s="29" t="s">
        <v>9041</v>
      </c>
      <c r="P3661" s="25" t="s">
        <v>9042</v>
      </c>
      <c r="Q3661" s="25">
        <v>1715</v>
      </c>
      <c r="R3661" t="s">
        <v>436</v>
      </c>
    </row>
    <row r="3662" spans="1:18" hidden="1">
      <c r="A3662" s="23" t="s">
        <v>7287</v>
      </c>
      <c r="B3662" s="23" t="s">
        <v>7288</v>
      </c>
      <c r="C3662" s="23">
        <v>2698</v>
      </c>
      <c r="I3662" s="3" t="str">
        <f>+IFERROR(VLOOKUP(C3662,'Mov 2023 hasta ahora '!$C$2:$D$314,2,FALSE),"NO")</f>
        <v>NO</v>
      </c>
      <c r="K3662">
        <v>6</v>
      </c>
      <c r="L3662" t="s">
        <v>836</v>
      </c>
      <c r="M3662">
        <v>24</v>
      </c>
      <c r="O3662" s="29" t="s">
        <v>8774</v>
      </c>
      <c r="P3662" s="25" t="s">
        <v>9040</v>
      </c>
      <c r="Q3662" s="25">
        <v>2947</v>
      </c>
      <c r="R3662" t="s">
        <v>436</v>
      </c>
    </row>
    <row r="3663" spans="1:18" hidden="1">
      <c r="A3663" t="s">
        <v>7289</v>
      </c>
      <c r="B3663" t="s">
        <v>2012</v>
      </c>
      <c r="I3663" s="3" t="str">
        <f>+IFERROR(VLOOKUP(C3663,'Mov 2023 hasta ahora '!$C$2:$D$314,2,FALSE),"NO")</f>
        <v>NO</v>
      </c>
      <c r="K3663">
        <v>3</v>
      </c>
      <c r="L3663" t="s">
        <v>836</v>
      </c>
      <c r="M3663">
        <v>10</v>
      </c>
    </row>
    <row r="3664" spans="1:18" hidden="1">
      <c r="A3664" t="s">
        <v>7290</v>
      </c>
      <c r="B3664" t="s">
        <v>7291</v>
      </c>
      <c r="I3664" s="3" t="str">
        <f>+IFERROR(VLOOKUP(C3664,'Mov 2023 hasta ahora '!$C$2:$D$314,2,FALSE),"NO")</f>
        <v>NO</v>
      </c>
      <c r="K3664">
        <v>4</v>
      </c>
      <c r="L3664" t="s">
        <v>836</v>
      </c>
      <c r="M3664">
        <v>14</v>
      </c>
    </row>
    <row r="3665" spans="1:18" hidden="1">
      <c r="A3665" t="s">
        <v>7292</v>
      </c>
      <c r="B3665" t="s">
        <v>7293</v>
      </c>
      <c r="I3665" s="3" t="str">
        <f>+IFERROR(VLOOKUP(C3665,'Mov 2023 hasta ahora '!$C$2:$D$314,2,FALSE),"NO")</f>
        <v>NO</v>
      </c>
      <c r="K3665">
        <v>5</v>
      </c>
      <c r="L3665" t="s">
        <v>836</v>
      </c>
      <c r="M3665">
        <v>18</v>
      </c>
    </row>
    <row r="3666" spans="1:18" hidden="1">
      <c r="A3666" s="23" t="s">
        <v>7294</v>
      </c>
      <c r="B3666" s="23" t="s">
        <v>7295</v>
      </c>
      <c r="C3666" s="23">
        <v>1703</v>
      </c>
      <c r="D3666" t="s">
        <v>436</v>
      </c>
      <c r="I3666" s="3" t="str">
        <f>+IFERROR(VLOOKUP(C3666,'Mov 2023 hasta ahora '!$C$2:$D$314,2,FALSE),"NO")</f>
        <v>NO</v>
      </c>
      <c r="K3666">
        <v>6</v>
      </c>
      <c r="L3666" t="s">
        <v>836</v>
      </c>
      <c r="M3666">
        <v>24</v>
      </c>
      <c r="O3666" s="29" t="s">
        <v>8775</v>
      </c>
      <c r="P3666" s="25" t="s">
        <v>9039</v>
      </c>
      <c r="Q3666" s="25">
        <v>1704</v>
      </c>
      <c r="R3666" t="s">
        <v>436</v>
      </c>
    </row>
    <row r="3667" spans="1:18" hidden="1">
      <c r="A3667" s="23" t="s">
        <v>7296</v>
      </c>
      <c r="B3667" s="23" t="s">
        <v>7297</v>
      </c>
      <c r="C3667" s="23">
        <v>1707</v>
      </c>
      <c r="D3667" t="s">
        <v>436</v>
      </c>
      <c r="I3667" s="3" t="str">
        <f>+IFERROR(VLOOKUP(C3667,'Mov 2023 hasta ahora '!$C$2:$D$314,2,FALSE),"NO")</f>
        <v>NO</v>
      </c>
      <c r="K3667">
        <v>6</v>
      </c>
      <c r="L3667" t="s">
        <v>836</v>
      </c>
      <c r="M3667">
        <v>24</v>
      </c>
      <c r="O3667" s="29" t="s">
        <v>8775</v>
      </c>
      <c r="P3667" s="25" t="s">
        <v>9039</v>
      </c>
      <c r="Q3667" s="25">
        <v>1704</v>
      </c>
      <c r="R3667" t="s">
        <v>436</v>
      </c>
    </row>
    <row r="3668" spans="1:18" hidden="1">
      <c r="A3668" s="23" t="s">
        <v>7298</v>
      </c>
      <c r="B3668" s="23" t="s">
        <v>7299</v>
      </c>
      <c r="C3668" s="23">
        <v>1916</v>
      </c>
      <c r="I3668" s="3" t="str">
        <f>+IFERROR(VLOOKUP(C3668,'Mov 2023 hasta ahora '!$C$2:$D$314,2,FALSE),"NO")</f>
        <v>NO</v>
      </c>
      <c r="K3668">
        <v>6</v>
      </c>
      <c r="L3668" t="s">
        <v>836</v>
      </c>
      <c r="M3668">
        <v>24</v>
      </c>
      <c r="O3668" s="29" t="s">
        <v>9031</v>
      </c>
      <c r="P3668" s="25" t="s">
        <v>9032</v>
      </c>
      <c r="Q3668" s="25">
        <v>3816</v>
      </c>
      <c r="R3668" t="s">
        <v>436</v>
      </c>
    </row>
    <row r="3669" spans="1:18" hidden="1">
      <c r="A3669" s="23" t="s">
        <v>7300</v>
      </c>
      <c r="B3669" s="23" t="s">
        <v>7301</v>
      </c>
      <c r="C3669" s="23">
        <v>1711</v>
      </c>
      <c r="D3669" t="s">
        <v>436</v>
      </c>
      <c r="I3669" s="3" t="str">
        <f>+IFERROR(VLOOKUP(C3669,'Mov 2023 hasta ahora '!$C$2:$D$314,2,FALSE),"NO")</f>
        <v>NO</v>
      </c>
      <c r="K3669">
        <v>6</v>
      </c>
      <c r="L3669" t="s">
        <v>836</v>
      </c>
      <c r="M3669">
        <v>24</v>
      </c>
      <c r="O3669" s="29" t="s">
        <v>9043</v>
      </c>
      <c r="P3669" s="25" t="s">
        <v>9044</v>
      </c>
      <c r="Q3669" s="25">
        <v>1708</v>
      </c>
      <c r="R3669" t="s">
        <v>436</v>
      </c>
    </row>
    <row r="3670" spans="1:18" hidden="1">
      <c r="A3670" s="23" t="s">
        <v>7302</v>
      </c>
      <c r="B3670" s="23" t="s">
        <v>7303</v>
      </c>
      <c r="C3670" s="23">
        <v>1732</v>
      </c>
      <c r="D3670" t="s">
        <v>436</v>
      </c>
      <c r="I3670" s="3" t="str">
        <f>+IFERROR(VLOOKUP(C3670,'Mov 2023 hasta ahora '!$C$2:$D$314,2,FALSE),"NO")</f>
        <v>NO</v>
      </c>
      <c r="K3670">
        <v>6</v>
      </c>
      <c r="L3670" t="s">
        <v>836</v>
      </c>
      <c r="M3670">
        <v>24</v>
      </c>
      <c r="O3670" s="29" t="s">
        <v>9045</v>
      </c>
      <c r="P3670" s="25" t="s">
        <v>9046</v>
      </c>
      <c r="Q3670" s="25">
        <v>1712</v>
      </c>
      <c r="R3670" t="s">
        <v>436</v>
      </c>
    </row>
    <row r="3671" spans="1:18" hidden="1">
      <c r="A3671" s="23" t="s">
        <v>7304</v>
      </c>
      <c r="B3671" s="23" t="s">
        <v>7305</v>
      </c>
      <c r="C3671" s="23">
        <v>1727</v>
      </c>
      <c r="D3671" t="s">
        <v>436</v>
      </c>
      <c r="I3671" s="3" t="str">
        <f>+IFERROR(VLOOKUP(C3671,'Mov 2023 hasta ahora '!$C$2:$D$314,2,FALSE),"NO")</f>
        <v>NO</v>
      </c>
      <c r="K3671">
        <v>6</v>
      </c>
      <c r="L3671" t="s">
        <v>836</v>
      </c>
      <c r="M3671">
        <v>24</v>
      </c>
      <c r="O3671" s="29" t="s">
        <v>8970</v>
      </c>
      <c r="P3671" s="25" t="s">
        <v>8971</v>
      </c>
      <c r="Q3671" s="25">
        <v>1727</v>
      </c>
      <c r="R3671" t="s">
        <v>436</v>
      </c>
    </row>
    <row r="3672" spans="1:18" hidden="1">
      <c r="A3672" s="23" t="s">
        <v>7306</v>
      </c>
      <c r="B3672" s="23" t="s">
        <v>7307</v>
      </c>
      <c r="C3672" s="23">
        <v>1726</v>
      </c>
      <c r="D3672" t="s">
        <v>436</v>
      </c>
      <c r="I3672" s="3" t="str">
        <f>+IFERROR(VLOOKUP(C3672,'Mov 2023 hasta ahora '!$C$2:$D$314,2,FALSE),"NO")</f>
        <v>NO</v>
      </c>
      <c r="K3672">
        <v>6</v>
      </c>
      <c r="L3672" t="s">
        <v>836</v>
      </c>
      <c r="M3672">
        <v>24</v>
      </c>
      <c r="O3672" s="29" t="s">
        <v>9035</v>
      </c>
      <c r="P3672" s="25" t="s">
        <v>9036</v>
      </c>
      <c r="Q3672" s="25">
        <v>1723</v>
      </c>
      <c r="R3672" t="s">
        <v>436</v>
      </c>
    </row>
    <row r="3673" spans="1:18" hidden="1">
      <c r="A3673" s="23" t="s">
        <v>7308</v>
      </c>
      <c r="B3673" s="23" t="s">
        <v>7309</v>
      </c>
      <c r="C3673" s="23">
        <v>1722</v>
      </c>
      <c r="D3673" t="s">
        <v>436</v>
      </c>
      <c r="I3673" s="3" t="str">
        <f>+IFERROR(VLOOKUP(C3673,'Mov 2023 hasta ahora '!$C$2:$D$314,2,FALSE),"NO")</f>
        <v>NO</v>
      </c>
      <c r="K3673">
        <v>6</v>
      </c>
      <c r="L3673" t="s">
        <v>836</v>
      </c>
      <c r="M3673">
        <v>24</v>
      </c>
      <c r="O3673" s="29" t="s">
        <v>9047</v>
      </c>
      <c r="P3673" s="25" t="s">
        <v>9048</v>
      </c>
      <c r="Q3673" s="25">
        <v>1719</v>
      </c>
      <c r="R3673" t="s">
        <v>436</v>
      </c>
    </row>
    <row r="3674" spans="1:18" hidden="1">
      <c r="A3674" s="23" t="s">
        <v>7310</v>
      </c>
      <c r="B3674" s="23" t="s">
        <v>7311</v>
      </c>
      <c r="C3674" s="23">
        <v>1718</v>
      </c>
      <c r="D3674" t="s">
        <v>436</v>
      </c>
      <c r="I3674" s="3" t="str">
        <f>+IFERROR(VLOOKUP(C3674,'Mov 2023 hasta ahora '!$C$2:$D$314,2,FALSE),"NO")</f>
        <v>NO</v>
      </c>
      <c r="K3674">
        <v>6</v>
      </c>
      <c r="L3674" t="s">
        <v>836</v>
      </c>
      <c r="M3674">
        <v>24</v>
      </c>
      <c r="O3674" s="29" t="s">
        <v>9041</v>
      </c>
      <c r="P3674" s="25" t="s">
        <v>9042</v>
      </c>
      <c r="Q3674" s="25">
        <v>1715</v>
      </c>
      <c r="R3674" t="s">
        <v>436</v>
      </c>
    </row>
    <row r="3675" spans="1:18" hidden="1">
      <c r="A3675" s="23" t="s">
        <v>7312</v>
      </c>
      <c r="B3675" s="23" t="s">
        <v>7313</v>
      </c>
      <c r="C3675" s="23">
        <v>2037</v>
      </c>
      <c r="I3675" s="3" t="str">
        <f>+IFERROR(VLOOKUP(C3675,'Mov 2023 hasta ahora '!$C$2:$D$314,2,FALSE),"NO")</f>
        <v>NO</v>
      </c>
      <c r="K3675">
        <v>6</v>
      </c>
      <c r="L3675" t="s">
        <v>836</v>
      </c>
      <c r="M3675">
        <v>24</v>
      </c>
      <c r="O3675" s="29" t="s">
        <v>8774</v>
      </c>
      <c r="P3675" s="25" t="s">
        <v>9040</v>
      </c>
      <c r="Q3675" s="25">
        <v>2947</v>
      </c>
      <c r="R3675" t="s">
        <v>436</v>
      </c>
    </row>
    <row r="3676" spans="1:18" hidden="1">
      <c r="A3676" t="s">
        <v>7314</v>
      </c>
      <c r="B3676" t="s">
        <v>2028</v>
      </c>
      <c r="I3676" s="3" t="str">
        <f>+IFERROR(VLOOKUP(C3676,'Mov 2023 hasta ahora '!$C$2:$D$314,2,FALSE),"NO")</f>
        <v>NO</v>
      </c>
      <c r="K3676">
        <v>3</v>
      </c>
      <c r="L3676" t="s">
        <v>836</v>
      </c>
      <c r="M3676">
        <v>10</v>
      </c>
    </row>
    <row r="3677" spans="1:18" hidden="1">
      <c r="A3677" t="s">
        <v>7315</v>
      </c>
      <c r="B3677" t="s">
        <v>7316</v>
      </c>
      <c r="I3677" s="3" t="str">
        <f>+IFERROR(VLOOKUP(C3677,'Mov 2023 hasta ahora '!$C$2:$D$314,2,FALSE),"NO")</f>
        <v>NO</v>
      </c>
      <c r="K3677">
        <v>4</v>
      </c>
      <c r="L3677" t="s">
        <v>836</v>
      </c>
      <c r="M3677">
        <v>14</v>
      </c>
    </row>
    <row r="3678" spans="1:18" hidden="1">
      <c r="A3678" t="s">
        <v>7317</v>
      </c>
      <c r="B3678" t="s">
        <v>7318</v>
      </c>
      <c r="I3678" s="3" t="str">
        <f>+IFERROR(VLOOKUP(C3678,'Mov 2023 hasta ahora '!$C$2:$D$314,2,FALSE),"NO")</f>
        <v>NO</v>
      </c>
      <c r="K3678">
        <v>5</v>
      </c>
      <c r="L3678" t="s">
        <v>836</v>
      </c>
      <c r="M3678">
        <v>18</v>
      </c>
    </row>
    <row r="3679" spans="1:18" hidden="1">
      <c r="A3679" t="s">
        <v>7319</v>
      </c>
      <c r="B3679" t="s">
        <v>7320</v>
      </c>
      <c r="I3679" s="3" t="str">
        <f>+IFERROR(VLOOKUP(C3679,'Mov 2023 hasta ahora '!$C$2:$D$314,2,FALSE),"NO")</f>
        <v>NO</v>
      </c>
      <c r="K3679">
        <v>3</v>
      </c>
      <c r="L3679" t="s">
        <v>836</v>
      </c>
      <c r="M3679">
        <v>10</v>
      </c>
    </row>
    <row r="3680" spans="1:18" hidden="1">
      <c r="A3680" t="s">
        <v>7321</v>
      </c>
      <c r="B3680" t="s">
        <v>7322</v>
      </c>
      <c r="I3680" s="3" t="str">
        <f>+IFERROR(VLOOKUP(C3680,'Mov 2023 hasta ahora '!$C$2:$D$314,2,FALSE),"NO")</f>
        <v>NO</v>
      </c>
      <c r="K3680">
        <v>4</v>
      </c>
      <c r="L3680" t="s">
        <v>836</v>
      </c>
      <c r="M3680">
        <v>14</v>
      </c>
    </row>
    <row r="3681" spans="1:18" hidden="1">
      <c r="A3681" t="s">
        <v>7323</v>
      </c>
      <c r="B3681" t="s">
        <v>7324</v>
      </c>
      <c r="I3681" s="3" t="str">
        <f>+IFERROR(VLOOKUP(C3681,'Mov 2023 hasta ahora '!$C$2:$D$314,2,FALSE),"NO")</f>
        <v>NO</v>
      </c>
      <c r="K3681">
        <v>5</v>
      </c>
      <c r="L3681" t="s">
        <v>836</v>
      </c>
      <c r="M3681">
        <v>18</v>
      </c>
    </row>
    <row r="3682" spans="1:18" hidden="1">
      <c r="A3682" s="23" t="s">
        <v>7325</v>
      </c>
      <c r="B3682" s="23" t="s">
        <v>7326</v>
      </c>
      <c r="C3682" s="23">
        <v>2936</v>
      </c>
      <c r="I3682" s="3" t="str">
        <f>+IFERROR(VLOOKUP(C3682,'Mov 2023 hasta ahora '!$C$2:$D$314,2,FALSE),"NO")</f>
        <v>NO</v>
      </c>
      <c r="K3682">
        <v>6</v>
      </c>
      <c r="L3682" t="s">
        <v>836</v>
      </c>
      <c r="M3682">
        <v>24</v>
      </c>
      <c r="O3682" s="29" t="s">
        <v>8775</v>
      </c>
      <c r="P3682" s="25" t="s">
        <v>9039</v>
      </c>
      <c r="Q3682" s="25">
        <v>1704</v>
      </c>
      <c r="R3682" t="s">
        <v>436</v>
      </c>
    </row>
    <row r="3683" spans="1:18" hidden="1">
      <c r="A3683" s="23" t="s">
        <v>7327</v>
      </c>
      <c r="B3683" s="23" t="s">
        <v>7328</v>
      </c>
      <c r="C3683" s="23">
        <v>2937</v>
      </c>
      <c r="I3683" s="3" t="str">
        <f>+IFERROR(VLOOKUP(C3683,'Mov 2023 hasta ahora '!$C$2:$D$314,2,FALSE),"NO")</f>
        <v>NO</v>
      </c>
      <c r="K3683">
        <v>6</v>
      </c>
      <c r="L3683" t="s">
        <v>836</v>
      </c>
      <c r="M3683">
        <v>24</v>
      </c>
      <c r="O3683" s="29" t="s">
        <v>8775</v>
      </c>
      <c r="P3683" s="25" t="s">
        <v>9039</v>
      </c>
      <c r="Q3683" s="25">
        <v>1704</v>
      </c>
      <c r="R3683" t="s">
        <v>436</v>
      </c>
    </row>
    <row r="3684" spans="1:18" hidden="1">
      <c r="A3684" s="23" t="s">
        <v>7329</v>
      </c>
      <c r="B3684" s="23" t="s">
        <v>7330</v>
      </c>
      <c r="C3684" s="23">
        <v>2938</v>
      </c>
      <c r="I3684" s="3" t="str">
        <f>+IFERROR(VLOOKUP(C3684,'Mov 2023 hasta ahora '!$C$2:$D$314,2,FALSE),"NO")</f>
        <v>NO</v>
      </c>
      <c r="K3684">
        <v>6</v>
      </c>
      <c r="L3684" t="s">
        <v>836</v>
      </c>
      <c r="M3684">
        <v>24</v>
      </c>
      <c r="O3684" s="29" t="s">
        <v>9043</v>
      </c>
      <c r="P3684" s="25" t="s">
        <v>9044</v>
      </c>
      <c r="Q3684" s="25">
        <v>1708</v>
      </c>
      <c r="R3684" t="s">
        <v>436</v>
      </c>
    </row>
    <row r="3685" spans="1:18" hidden="1">
      <c r="A3685" s="23" t="s">
        <v>7331</v>
      </c>
      <c r="B3685" s="23" t="s">
        <v>7332</v>
      </c>
      <c r="C3685" s="23">
        <v>2939</v>
      </c>
      <c r="I3685" s="3" t="str">
        <f>+IFERROR(VLOOKUP(C3685,'Mov 2023 hasta ahora '!$C$2:$D$314,2,FALSE),"NO")</f>
        <v>NO</v>
      </c>
      <c r="K3685">
        <v>6</v>
      </c>
      <c r="L3685" t="s">
        <v>836</v>
      </c>
      <c r="M3685">
        <v>24</v>
      </c>
      <c r="O3685" s="29" t="s">
        <v>9045</v>
      </c>
      <c r="P3685" s="25" t="s">
        <v>9046</v>
      </c>
      <c r="Q3685" s="25">
        <v>1712</v>
      </c>
      <c r="R3685" t="s">
        <v>436</v>
      </c>
    </row>
    <row r="3686" spans="1:18" hidden="1">
      <c r="A3686" s="23" t="s">
        <v>7333</v>
      </c>
      <c r="B3686" s="23" t="s">
        <v>7334</v>
      </c>
      <c r="C3686" s="23">
        <v>2940</v>
      </c>
      <c r="I3686" s="3" t="str">
        <f>+IFERROR(VLOOKUP(C3686,'Mov 2023 hasta ahora '!$C$2:$D$314,2,FALSE),"NO")</f>
        <v>NO</v>
      </c>
      <c r="K3686">
        <v>6</v>
      </c>
      <c r="L3686" t="s">
        <v>836</v>
      </c>
      <c r="M3686">
        <v>24</v>
      </c>
      <c r="O3686" s="29" t="s">
        <v>9035</v>
      </c>
      <c r="P3686" s="25" t="s">
        <v>9036</v>
      </c>
      <c r="Q3686" s="25">
        <v>1723</v>
      </c>
      <c r="R3686" t="s">
        <v>436</v>
      </c>
    </row>
    <row r="3687" spans="1:18" hidden="1">
      <c r="A3687" s="23" t="s">
        <v>7335</v>
      </c>
      <c r="B3687" s="23" t="s">
        <v>7336</v>
      </c>
      <c r="C3687" s="23">
        <v>2941</v>
      </c>
      <c r="I3687" s="3" t="str">
        <f>+IFERROR(VLOOKUP(C3687,'Mov 2023 hasta ahora '!$C$2:$D$314,2,FALSE),"NO")</f>
        <v>NO</v>
      </c>
      <c r="K3687">
        <v>6</v>
      </c>
      <c r="L3687" t="s">
        <v>836</v>
      </c>
      <c r="M3687">
        <v>24</v>
      </c>
      <c r="O3687" s="29" t="s">
        <v>9047</v>
      </c>
      <c r="P3687" s="25" t="s">
        <v>9048</v>
      </c>
      <c r="Q3687" s="25">
        <v>1719</v>
      </c>
      <c r="R3687" t="s">
        <v>436</v>
      </c>
    </row>
    <row r="3688" spans="1:18" hidden="1">
      <c r="A3688" s="23" t="s">
        <v>7337</v>
      </c>
      <c r="B3688" s="23" t="s">
        <v>7338</v>
      </c>
      <c r="C3688" s="23">
        <v>2942</v>
      </c>
      <c r="I3688" s="3" t="str">
        <f>+IFERROR(VLOOKUP(C3688,'Mov 2023 hasta ahora '!$C$2:$D$314,2,FALSE),"NO")</f>
        <v>NO</v>
      </c>
      <c r="K3688">
        <v>6</v>
      </c>
      <c r="L3688" t="s">
        <v>836</v>
      </c>
      <c r="M3688">
        <v>24</v>
      </c>
      <c r="O3688" s="29" t="s">
        <v>9041</v>
      </c>
      <c r="P3688" s="25" t="s">
        <v>9042</v>
      </c>
      <c r="Q3688" s="25">
        <v>1715</v>
      </c>
      <c r="R3688" t="s">
        <v>436</v>
      </c>
    </row>
    <row r="3689" spans="1:18" hidden="1">
      <c r="A3689" s="23" t="s">
        <v>7339</v>
      </c>
      <c r="B3689" s="23" t="s">
        <v>7340</v>
      </c>
      <c r="C3689" s="23">
        <v>2943</v>
      </c>
      <c r="I3689" s="3" t="str">
        <f>+IFERROR(VLOOKUP(C3689,'Mov 2023 hasta ahora '!$C$2:$D$314,2,FALSE),"NO")</f>
        <v>NO</v>
      </c>
      <c r="K3689">
        <v>6</v>
      </c>
      <c r="L3689" t="s">
        <v>836</v>
      </c>
      <c r="M3689">
        <v>24</v>
      </c>
      <c r="O3689" s="29" t="s">
        <v>8774</v>
      </c>
      <c r="P3689" s="25" t="s">
        <v>9040</v>
      </c>
      <c r="Q3689" s="25">
        <v>2947</v>
      </c>
      <c r="R3689" t="s">
        <v>436</v>
      </c>
    </row>
    <row r="3690" spans="1:18" hidden="1">
      <c r="A3690" t="s">
        <v>7341</v>
      </c>
      <c r="B3690" t="s">
        <v>7342</v>
      </c>
      <c r="I3690" s="3" t="str">
        <f>+IFERROR(VLOOKUP(C3690,'Mov 2023 hasta ahora '!$C$2:$D$314,2,FALSE),"NO")</f>
        <v>NO</v>
      </c>
      <c r="K3690">
        <v>3</v>
      </c>
      <c r="L3690" t="s">
        <v>836</v>
      </c>
      <c r="M3690">
        <v>10</v>
      </c>
    </row>
    <row r="3691" spans="1:18" hidden="1">
      <c r="A3691" t="s">
        <v>7343</v>
      </c>
      <c r="B3691" t="s">
        <v>7344</v>
      </c>
      <c r="I3691" s="3" t="str">
        <f>+IFERROR(VLOOKUP(C3691,'Mov 2023 hasta ahora '!$C$2:$D$314,2,FALSE),"NO")</f>
        <v>NO</v>
      </c>
      <c r="K3691">
        <v>4</v>
      </c>
      <c r="L3691" t="s">
        <v>836</v>
      </c>
      <c r="M3691">
        <v>14</v>
      </c>
    </row>
    <row r="3692" spans="1:18" hidden="1">
      <c r="A3692" t="s">
        <v>7345</v>
      </c>
      <c r="B3692" t="s">
        <v>7346</v>
      </c>
      <c r="I3692" s="3" t="str">
        <f>+IFERROR(VLOOKUP(C3692,'Mov 2023 hasta ahora '!$C$2:$D$314,2,FALSE),"NO")</f>
        <v>NO</v>
      </c>
      <c r="K3692">
        <v>5</v>
      </c>
      <c r="L3692" t="s">
        <v>836</v>
      </c>
      <c r="M3692">
        <v>18</v>
      </c>
    </row>
    <row r="3693" spans="1:18" hidden="1">
      <c r="A3693" s="23" t="s">
        <v>7347</v>
      </c>
      <c r="B3693" s="23" t="s">
        <v>7348</v>
      </c>
      <c r="C3693" s="23">
        <v>3503</v>
      </c>
      <c r="D3693" t="s">
        <v>436</v>
      </c>
      <c r="I3693" s="3">
        <f>+IFERROR(VLOOKUP(C3693,'Mov 2023 hasta ahora '!$C$2:$D$314,2,FALSE),"NO")</f>
        <v>575</v>
      </c>
      <c r="K3693">
        <v>6</v>
      </c>
      <c r="L3693" t="s">
        <v>836</v>
      </c>
      <c r="M3693">
        <v>22</v>
      </c>
      <c r="O3693" s="29" t="s">
        <v>9035</v>
      </c>
      <c r="P3693" s="25" t="s">
        <v>9036</v>
      </c>
      <c r="Q3693" s="25">
        <v>1723</v>
      </c>
      <c r="R3693" t="s">
        <v>436</v>
      </c>
    </row>
    <row r="3694" spans="1:18" hidden="1">
      <c r="A3694" s="23" t="s">
        <v>7349</v>
      </c>
      <c r="B3694" s="23" t="s">
        <v>7350</v>
      </c>
      <c r="C3694" s="23">
        <v>3499</v>
      </c>
      <c r="D3694" t="s">
        <v>436</v>
      </c>
      <c r="I3694" s="3" t="str">
        <f>+IFERROR(VLOOKUP(C3694,'Mov 2023 hasta ahora '!$C$2:$D$314,2,FALSE),"NO")</f>
        <v>NO</v>
      </c>
      <c r="K3694">
        <v>6</v>
      </c>
      <c r="L3694" t="s">
        <v>836</v>
      </c>
      <c r="M3694">
        <v>24</v>
      </c>
      <c r="O3694" s="29" t="s">
        <v>8774</v>
      </c>
      <c r="P3694" s="25" t="s">
        <v>9040</v>
      </c>
      <c r="Q3694" s="25">
        <v>2947</v>
      </c>
      <c r="R3694" t="s">
        <v>436</v>
      </c>
    </row>
    <row r="3695" spans="1:18" hidden="1">
      <c r="A3695" t="s">
        <v>7351</v>
      </c>
      <c r="B3695" t="s">
        <v>7342</v>
      </c>
      <c r="I3695" s="3" t="str">
        <f>+IFERROR(VLOOKUP(C3695,'Mov 2023 hasta ahora '!$C$2:$D$314,2,FALSE),"NO")</f>
        <v>NO</v>
      </c>
      <c r="K3695">
        <v>3</v>
      </c>
      <c r="L3695" t="s">
        <v>836</v>
      </c>
      <c r="M3695">
        <v>10</v>
      </c>
    </row>
    <row r="3696" spans="1:18" hidden="1">
      <c r="A3696" t="s">
        <v>7352</v>
      </c>
      <c r="B3696" t="s">
        <v>7344</v>
      </c>
      <c r="I3696" s="3" t="str">
        <f>+IFERROR(VLOOKUP(C3696,'Mov 2023 hasta ahora '!$C$2:$D$314,2,FALSE),"NO")</f>
        <v>NO</v>
      </c>
      <c r="K3696">
        <v>4</v>
      </c>
      <c r="L3696" t="s">
        <v>836</v>
      </c>
      <c r="M3696">
        <v>14</v>
      </c>
    </row>
    <row r="3697" spans="1:18" hidden="1">
      <c r="A3697" t="s">
        <v>7353</v>
      </c>
      <c r="B3697" t="s">
        <v>7346</v>
      </c>
      <c r="I3697" s="3" t="str">
        <f>+IFERROR(VLOOKUP(C3697,'Mov 2023 hasta ahora '!$C$2:$D$314,2,FALSE),"NO")</f>
        <v>NO</v>
      </c>
      <c r="K3697">
        <v>5</v>
      </c>
      <c r="L3697" t="s">
        <v>836</v>
      </c>
      <c r="M3697">
        <v>18</v>
      </c>
    </row>
    <row r="3698" spans="1:18" hidden="1">
      <c r="A3698" s="23" t="s">
        <v>7354</v>
      </c>
      <c r="B3698" s="23" t="s">
        <v>7355</v>
      </c>
      <c r="C3698" s="23">
        <v>3500</v>
      </c>
      <c r="D3698" t="s">
        <v>436</v>
      </c>
      <c r="I3698" s="3" t="str">
        <f>+IFERROR(VLOOKUP(C3698,'Mov 2023 hasta ahora '!$C$2:$D$314,2,FALSE),"NO")</f>
        <v>NO</v>
      </c>
      <c r="K3698">
        <v>6</v>
      </c>
      <c r="L3698" t="s">
        <v>836</v>
      </c>
      <c r="M3698">
        <v>24</v>
      </c>
      <c r="O3698" s="29" t="s">
        <v>8774</v>
      </c>
      <c r="P3698" s="25" t="s">
        <v>9040</v>
      </c>
      <c r="Q3698" s="25">
        <v>2947</v>
      </c>
      <c r="R3698" t="s">
        <v>436</v>
      </c>
    </row>
    <row r="3699" spans="1:18" hidden="1">
      <c r="A3699" t="s">
        <v>7356</v>
      </c>
      <c r="B3699" t="s">
        <v>7357</v>
      </c>
      <c r="I3699" s="3" t="str">
        <f>+IFERROR(VLOOKUP(C3699,'Mov 2023 hasta ahora '!$C$2:$D$314,2,FALSE),"NO")</f>
        <v>NO</v>
      </c>
      <c r="K3699">
        <v>3</v>
      </c>
      <c r="L3699" t="s">
        <v>836</v>
      </c>
      <c r="M3699">
        <v>10</v>
      </c>
    </row>
    <row r="3700" spans="1:18" hidden="1">
      <c r="A3700" t="s">
        <v>7358</v>
      </c>
      <c r="B3700" t="s">
        <v>7359</v>
      </c>
      <c r="I3700" s="3" t="str">
        <f>+IFERROR(VLOOKUP(C3700,'Mov 2023 hasta ahora '!$C$2:$D$314,2,FALSE),"NO")</f>
        <v>NO</v>
      </c>
      <c r="K3700">
        <v>4</v>
      </c>
      <c r="L3700" t="s">
        <v>836</v>
      </c>
      <c r="M3700">
        <v>14</v>
      </c>
    </row>
    <row r="3701" spans="1:18" hidden="1">
      <c r="A3701" t="s">
        <v>7360</v>
      </c>
      <c r="B3701" t="s">
        <v>7361</v>
      </c>
      <c r="I3701" s="3" t="str">
        <f>+IFERROR(VLOOKUP(C3701,'Mov 2023 hasta ahora '!$C$2:$D$314,2,FALSE),"NO")</f>
        <v>NO</v>
      </c>
      <c r="K3701">
        <v>5</v>
      </c>
      <c r="L3701" t="s">
        <v>836</v>
      </c>
      <c r="M3701">
        <v>18</v>
      </c>
    </row>
    <row r="3702" spans="1:18" hidden="1">
      <c r="A3702" s="23" t="s">
        <v>7362</v>
      </c>
      <c r="B3702" s="23" t="s">
        <v>7363</v>
      </c>
      <c r="C3702" s="23">
        <v>3814</v>
      </c>
      <c r="D3702" t="s">
        <v>436</v>
      </c>
      <c r="I3702" s="3" t="str">
        <f>+IFERROR(VLOOKUP(C3702,'Mov 2023 hasta ahora '!$C$2:$D$314,2,FALSE),"NO")</f>
        <v>NO</v>
      </c>
      <c r="K3702">
        <v>6</v>
      </c>
      <c r="L3702" t="s">
        <v>836</v>
      </c>
      <c r="M3702">
        <v>24</v>
      </c>
      <c r="O3702" s="29" t="s">
        <v>8775</v>
      </c>
      <c r="P3702" s="25" t="s">
        <v>9039</v>
      </c>
      <c r="Q3702" s="25">
        <v>1704</v>
      </c>
      <c r="R3702" t="s">
        <v>436</v>
      </c>
    </row>
    <row r="3703" spans="1:18" hidden="1">
      <c r="A3703" s="23" t="s">
        <v>7364</v>
      </c>
      <c r="B3703" s="23" t="s">
        <v>7365</v>
      </c>
      <c r="C3703" s="23">
        <v>3815</v>
      </c>
      <c r="D3703" t="s">
        <v>436</v>
      </c>
      <c r="I3703" s="3" t="str">
        <f>+IFERROR(VLOOKUP(C3703,'Mov 2023 hasta ahora '!$C$2:$D$314,2,FALSE),"NO")</f>
        <v>NO</v>
      </c>
      <c r="K3703">
        <v>6</v>
      </c>
      <c r="L3703" t="s">
        <v>836</v>
      </c>
      <c r="M3703">
        <v>24</v>
      </c>
      <c r="O3703" s="29" t="s">
        <v>8775</v>
      </c>
      <c r="P3703" s="25" t="s">
        <v>9039</v>
      </c>
      <c r="Q3703" s="25">
        <v>1704</v>
      </c>
      <c r="R3703" t="s">
        <v>436</v>
      </c>
    </row>
    <row r="3704" spans="1:18" hidden="1">
      <c r="A3704" s="23" t="s">
        <v>7366</v>
      </c>
      <c r="B3704" s="23" t="s">
        <v>7367</v>
      </c>
      <c r="C3704" s="23">
        <v>3816</v>
      </c>
      <c r="D3704" t="s">
        <v>436</v>
      </c>
      <c r="I3704" s="3" t="str">
        <f>+IFERROR(VLOOKUP(C3704,'Mov 2023 hasta ahora '!$C$2:$D$314,2,FALSE),"NO")</f>
        <v>NO</v>
      </c>
      <c r="K3704">
        <v>6</v>
      </c>
      <c r="L3704" t="s">
        <v>836</v>
      </c>
      <c r="M3704">
        <v>24</v>
      </c>
      <c r="O3704" s="29" t="s">
        <v>9031</v>
      </c>
      <c r="P3704" s="25" t="s">
        <v>9032</v>
      </c>
      <c r="Q3704" s="25">
        <v>3816</v>
      </c>
      <c r="R3704" t="s">
        <v>436</v>
      </c>
    </row>
    <row r="3705" spans="1:18" hidden="1">
      <c r="A3705">
        <v>5.33</v>
      </c>
      <c r="B3705" t="s">
        <v>7368</v>
      </c>
      <c r="I3705" s="3" t="str">
        <f>+IFERROR(VLOOKUP(C3705,'Mov 2023 hasta ahora '!$C$2:$D$314,2,FALSE),"NO")</f>
        <v>NO</v>
      </c>
      <c r="K3705">
        <v>2</v>
      </c>
      <c r="L3705" t="s">
        <v>836</v>
      </c>
      <c r="M3705">
        <v>4</v>
      </c>
    </row>
    <row r="3706" spans="1:18" hidden="1">
      <c r="A3706" t="s">
        <v>7369</v>
      </c>
      <c r="B3706" t="s">
        <v>2151</v>
      </c>
      <c r="I3706" s="3" t="str">
        <f>+IFERROR(VLOOKUP(C3706,'Mov 2023 hasta ahora '!$C$2:$D$314,2,FALSE),"NO")</f>
        <v>NO</v>
      </c>
      <c r="K3706">
        <v>3</v>
      </c>
      <c r="L3706" t="s">
        <v>836</v>
      </c>
      <c r="M3706">
        <v>10</v>
      </c>
    </row>
    <row r="3707" spans="1:18" hidden="1">
      <c r="A3707" t="s">
        <v>7370</v>
      </c>
      <c r="B3707" t="s">
        <v>2159</v>
      </c>
      <c r="I3707" s="3" t="str">
        <f>+IFERROR(VLOOKUP(C3707,'Mov 2023 hasta ahora '!$C$2:$D$314,2,FALSE),"NO")</f>
        <v>NO</v>
      </c>
      <c r="K3707">
        <v>4</v>
      </c>
      <c r="L3707" t="s">
        <v>836</v>
      </c>
      <c r="M3707">
        <v>14</v>
      </c>
    </row>
    <row r="3708" spans="1:18" hidden="1">
      <c r="A3708" t="s">
        <v>7371</v>
      </c>
      <c r="B3708" t="s">
        <v>2161</v>
      </c>
      <c r="I3708" s="3" t="str">
        <f>+IFERROR(VLOOKUP(C3708,'Mov 2023 hasta ahora '!$C$2:$D$314,2,FALSE),"NO")</f>
        <v>NO</v>
      </c>
      <c r="K3708">
        <v>5</v>
      </c>
      <c r="L3708" t="s">
        <v>836</v>
      </c>
      <c r="M3708">
        <v>18</v>
      </c>
    </row>
    <row r="3709" spans="1:18" hidden="1">
      <c r="A3709" s="23" t="s">
        <v>7372</v>
      </c>
      <c r="B3709" s="23" t="s">
        <v>7373</v>
      </c>
      <c r="C3709" s="23">
        <v>2456</v>
      </c>
      <c r="I3709" s="3" t="str">
        <f>+IFERROR(VLOOKUP(C3709,'Mov 2023 hasta ahora '!$C$2:$D$314,2,FALSE),"NO")</f>
        <v>NO</v>
      </c>
      <c r="K3709">
        <v>6</v>
      </c>
      <c r="L3709" t="s">
        <v>836</v>
      </c>
      <c r="M3709">
        <v>24</v>
      </c>
      <c r="O3709" s="29" t="s">
        <v>8941</v>
      </c>
      <c r="P3709" s="25" t="s">
        <v>8942</v>
      </c>
      <c r="Q3709" s="25">
        <v>1556</v>
      </c>
      <c r="R3709" t="s">
        <v>436</v>
      </c>
    </row>
    <row r="3710" spans="1:18" hidden="1">
      <c r="A3710" s="23" t="s">
        <v>7374</v>
      </c>
      <c r="B3710" s="23" t="s">
        <v>7375</v>
      </c>
      <c r="C3710" s="23">
        <v>2452</v>
      </c>
      <c r="I3710" s="3" t="str">
        <f>+IFERROR(VLOOKUP(C3710,'Mov 2023 hasta ahora '!$C$2:$D$314,2,FALSE),"NO")</f>
        <v>NO</v>
      </c>
      <c r="K3710">
        <v>6</v>
      </c>
      <c r="L3710" t="s">
        <v>836</v>
      </c>
      <c r="M3710">
        <v>24</v>
      </c>
      <c r="O3710" s="29" t="s">
        <v>8950</v>
      </c>
      <c r="P3710" s="25" t="s">
        <v>8951</v>
      </c>
      <c r="Q3710" s="25">
        <v>1270</v>
      </c>
      <c r="R3710" t="s">
        <v>436</v>
      </c>
    </row>
    <row r="3711" spans="1:18" hidden="1">
      <c r="A3711" s="23" t="s">
        <v>7376</v>
      </c>
      <c r="B3711" s="23" t="s">
        <v>7377</v>
      </c>
      <c r="C3711" s="23">
        <v>2453</v>
      </c>
      <c r="I3711" s="3" t="str">
        <f>+IFERROR(VLOOKUP(C3711,'Mov 2023 hasta ahora '!$C$2:$D$314,2,FALSE),"NO")</f>
        <v>NO</v>
      </c>
      <c r="K3711">
        <v>6</v>
      </c>
      <c r="L3711" t="s">
        <v>836</v>
      </c>
      <c r="M3711">
        <v>24</v>
      </c>
      <c r="O3711" s="29" t="s">
        <v>8954</v>
      </c>
      <c r="P3711" s="25" t="s">
        <v>8955</v>
      </c>
      <c r="Q3711" s="25">
        <v>1239</v>
      </c>
      <c r="R3711" t="s">
        <v>436</v>
      </c>
    </row>
    <row r="3712" spans="1:18" hidden="1">
      <c r="A3712" t="s">
        <v>7378</v>
      </c>
      <c r="B3712" t="s">
        <v>7379</v>
      </c>
      <c r="I3712" s="3" t="str">
        <f>+IFERROR(VLOOKUP(C3712,'Mov 2023 hasta ahora '!$C$2:$D$314,2,FALSE),"NO")</f>
        <v>NO</v>
      </c>
      <c r="K3712">
        <v>3</v>
      </c>
      <c r="L3712" t="s">
        <v>836</v>
      </c>
      <c r="M3712">
        <v>10</v>
      </c>
    </row>
    <row r="3713" spans="1:18" hidden="1">
      <c r="A3713" t="s">
        <v>7380</v>
      </c>
      <c r="B3713" t="s">
        <v>7381</v>
      </c>
      <c r="I3713" s="3" t="str">
        <f>+IFERROR(VLOOKUP(C3713,'Mov 2023 hasta ahora '!$C$2:$D$314,2,FALSE),"NO")</f>
        <v>NO</v>
      </c>
      <c r="K3713">
        <v>4</v>
      </c>
      <c r="L3713" t="s">
        <v>836</v>
      </c>
      <c r="M3713">
        <v>14</v>
      </c>
    </row>
    <row r="3714" spans="1:18" hidden="1">
      <c r="A3714" t="s">
        <v>7382</v>
      </c>
      <c r="B3714" t="s">
        <v>7383</v>
      </c>
      <c r="I3714" s="3" t="str">
        <f>+IFERROR(VLOOKUP(C3714,'Mov 2023 hasta ahora '!$C$2:$D$314,2,FALSE),"NO")</f>
        <v>NO</v>
      </c>
      <c r="K3714">
        <v>5</v>
      </c>
      <c r="L3714" t="s">
        <v>836</v>
      </c>
      <c r="M3714">
        <v>18</v>
      </c>
    </row>
    <row r="3715" spans="1:18" s="13" customFormat="1" hidden="1">
      <c r="A3715" s="23" t="s">
        <v>7384</v>
      </c>
      <c r="B3715" s="23" t="s">
        <v>7385</v>
      </c>
      <c r="C3715" s="23">
        <v>1394</v>
      </c>
      <c r="D3715" s="13" t="s">
        <v>436</v>
      </c>
      <c r="G3715"/>
      <c r="I3715" s="14" t="str">
        <f>+IFERROR(VLOOKUP(C3715,'Mov 2023 hasta ahora '!$C$2:$D$314,2,FALSE),"NO")</f>
        <v>NO</v>
      </c>
      <c r="K3715">
        <v>6</v>
      </c>
      <c r="L3715" t="s">
        <v>836</v>
      </c>
      <c r="M3715">
        <v>24</v>
      </c>
      <c r="O3715" s="29" t="s">
        <v>8865</v>
      </c>
      <c r="P3715" s="25" t="s">
        <v>8866</v>
      </c>
      <c r="Q3715" s="25">
        <v>1522</v>
      </c>
      <c r="R3715" t="s">
        <v>436</v>
      </c>
    </row>
    <row r="3716" spans="1:18" s="13" customFormat="1" hidden="1">
      <c r="A3716" s="23" t="s">
        <v>7386</v>
      </c>
      <c r="B3716" s="23" t="s">
        <v>7387</v>
      </c>
      <c r="C3716" s="23">
        <v>1395</v>
      </c>
      <c r="D3716" s="13" t="s">
        <v>436</v>
      </c>
      <c r="G3716"/>
      <c r="I3716" s="14" t="str">
        <f>+IFERROR(VLOOKUP(C3716,'Mov 2023 hasta ahora '!$C$2:$D$314,2,FALSE),"NO")</f>
        <v>NO</v>
      </c>
      <c r="K3716">
        <v>6</v>
      </c>
      <c r="L3716" t="s">
        <v>836</v>
      </c>
      <c r="M3716">
        <v>24</v>
      </c>
      <c r="O3716" s="29" t="s">
        <v>8855</v>
      </c>
      <c r="P3716" s="25" t="s">
        <v>8856</v>
      </c>
      <c r="Q3716" s="25">
        <v>1524</v>
      </c>
      <c r="R3716" t="s">
        <v>436</v>
      </c>
    </row>
    <row r="3717" spans="1:18" s="13" customFormat="1" hidden="1">
      <c r="A3717" s="23" t="s">
        <v>7388</v>
      </c>
      <c r="B3717" s="23" t="s">
        <v>7389</v>
      </c>
      <c r="C3717" s="23">
        <v>1396</v>
      </c>
      <c r="D3717" s="13" t="s">
        <v>436</v>
      </c>
      <c r="G3717"/>
      <c r="I3717" s="14" t="str">
        <f>+IFERROR(VLOOKUP(C3717,'Mov 2023 hasta ahora '!$C$2:$D$314,2,FALSE),"NO")</f>
        <v>NO</v>
      </c>
      <c r="K3717">
        <v>6</v>
      </c>
      <c r="L3717" t="s">
        <v>836</v>
      </c>
      <c r="M3717">
        <v>24</v>
      </c>
      <c r="O3717" s="29" t="s">
        <v>8855</v>
      </c>
      <c r="P3717" s="25" t="s">
        <v>8856</v>
      </c>
      <c r="Q3717" s="25">
        <v>1524</v>
      </c>
      <c r="R3717" t="s">
        <v>436</v>
      </c>
    </row>
    <row r="3718" spans="1:18" s="13" customFormat="1" hidden="1">
      <c r="A3718" s="23" t="s">
        <v>7390</v>
      </c>
      <c r="B3718" s="23" t="s">
        <v>7391</v>
      </c>
      <c r="C3718" s="23">
        <v>1397</v>
      </c>
      <c r="D3718" s="13" t="s">
        <v>436</v>
      </c>
      <c r="G3718"/>
      <c r="I3718" s="14" t="str">
        <f>+IFERROR(VLOOKUP(C3718,'Mov 2023 hasta ahora '!$C$2:$D$314,2,FALSE),"NO")</f>
        <v>NO</v>
      </c>
      <c r="K3718">
        <v>6</v>
      </c>
      <c r="L3718" t="s">
        <v>836</v>
      </c>
      <c r="M3718">
        <v>24</v>
      </c>
      <c r="O3718" s="29" t="s">
        <v>8797</v>
      </c>
      <c r="P3718" s="25" t="s">
        <v>8801</v>
      </c>
      <c r="Q3718" s="25">
        <v>1421</v>
      </c>
      <c r="R3718" t="s">
        <v>436</v>
      </c>
    </row>
    <row r="3719" spans="1:18" s="13" customFormat="1" hidden="1">
      <c r="A3719" s="23" t="s">
        <v>7392</v>
      </c>
      <c r="B3719" s="23" t="s">
        <v>7393</v>
      </c>
      <c r="C3719" s="23">
        <v>1398</v>
      </c>
      <c r="D3719" s="13" t="s">
        <v>436</v>
      </c>
      <c r="G3719"/>
      <c r="I3719" s="14" t="str">
        <f>+IFERROR(VLOOKUP(C3719,'Mov 2023 hasta ahora '!$C$2:$D$314,2,FALSE),"NO")</f>
        <v>NO</v>
      </c>
      <c r="K3719">
        <v>6</v>
      </c>
      <c r="L3719" t="s">
        <v>836</v>
      </c>
      <c r="M3719">
        <v>24</v>
      </c>
      <c r="O3719" s="29" t="s">
        <v>8807</v>
      </c>
      <c r="P3719" s="25" t="s">
        <v>8811</v>
      </c>
      <c r="Q3719" s="25">
        <v>1422</v>
      </c>
      <c r="R3719" t="s">
        <v>436</v>
      </c>
    </row>
    <row r="3720" spans="1:18" hidden="1">
      <c r="A3720" s="23" t="s">
        <v>7394</v>
      </c>
      <c r="B3720" s="23" t="s">
        <v>7395</v>
      </c>
      <c r="C3720" s="23">
        <v>1399</v>
      </c>
      <c r="D3720" t="s">
        <v>436</v>
      </c>
      <c r="I3720" s="3" t="str">
        <f>+IFERROR(VLOOKUP(C3720,'Mov 2023 hasta ahora '!$C$2:$D$314,2,FALSE),"NO")</f>
        <v>NO</v>
      </c>
      <c r="K3720">
        <v>6</v>
      </c>
      <c r="L3720" t="s">
        <v>836</v>
      </c>
      <c r="M3720">
        <v>24</v>
      </c>
      <c r="O3720" s="29" t="s">
        <v>8939</v>
      </c>
      <c r="P3720" s="25" t="s">
        <v>8940</v>
      </c>
      <c r="Q3720" s="25">
        <v>1433</v>
      </c>
      <c r="R3720" t="s">
        <v>436</v>
      </c>
    </row>
    <row r="3721" spans="1:18" hidden="1">
      <c r="A3721" s="23" t="s">
        <v>7396</v>
      </c>
      <c r="B3721" s="23" t="s">
        <v>7397</v>
      </c>
      <c r="C3721" s="23">
        <v>1433</v>
      </c>
      <c r="D3721" t="s">
        <v>436</v>
      </c>
      <c r="I3721" s="3" t="str">
        <f>+IFERROR(VLOOKUP(C3721,'Mov 2023 hasta ahora '!$C$2:$D$314,2,FALSE),"NO")</f>
        <v>NO</v>
      </c>
      <c r="K3721">
        <v>6</v>
      </c>
      <c r="L3721" t="s">
        <v>836</v>
      </c>
      <c r="M3721">
        <v>24</v>
      </c>
      <c r="O3721" s="29" t="s">
        <v>8939</v>
      </c>
      <c r="P3721" s="25" t="s">
        <v>8940</v>
      </c>
      <c r="Q3721" s="25">
        <v>1433</v>
      </c>
      <c r="R3721" t="s">
        <v>436</v>
      </c>
    </row>
    <row r="3722" spans="1:18" hidden="1">
      <c r="A3722" s="23" t="s">
        <v>7398</v>
      </c>
      <c r="B3722" s="23" t="s">
        <v>7399</v>
      </c>
      <c r="C3722" s="23">
        <v>1436</v>
      </c>
      <c r="D3722" t="s">
        <v>436</v>
      </c>
      <c r="I3722" s="3" t="str">
        <f>+IFERROR(VLOOKUP(C3722,'Mov 2023 hasta ahora '!$C$2:$D$314,2,FALSE),"NO")</f>
        <v>NO</v>
      </c>
      <c r="K3722">
        <v>6</v>
      </c>
      <c r="L3722" t="s">
        <v>836</v>
      </c>
      <c r="M3722">
        <v>24</v>
      </c>
      <c r="O3722" s="29" t="s">
        <v>8939</v>
      </c>
      <c r="P3722" s="25" t="s">
        <v>8940</v>
      </c>
      <c r="Q3722" s="25">
        <v>1433</v>
      </c>
      <c r="R3722" t="s">
        <v>436</v>
      </c>
    </row>
    <row r="3723" spans="1:18" hidden="1">
      <c r="A3723" s="23" t="s">
        <v>7400</v>
      </c>
      <c r="B3723" s="23" t="s">
        <v>7401</v>
      </c>
      <c r="C3723" s="23">
        <v>1556</v>
      </c>
      <c r="D3723" t="s">
        <v>436</v>
      </c>
      <c r="I3723" s="3" t="str">
        <f>+IFERROR(VLOOKUP(C3723,'Mov 2023 hasta ahora '!$C$2:$D$314,2,FALSE),"NO")</f>
        <v>NO</v>
      </c>
      <c r="K3723">
        <v>6</v>
      </c>
      <c r="L3723" t="s">
        <v>836</v>
      </c>
      <c r="M3723">
        <v>24</v>
      </c>
      <c r="O3723" s="29" t="s">
        <v>8941</v>
      </c>
      <c r="P3723" s="25" t="s">
        <v>8942</v>
      </c>
      <c r="Q3723" s="25">
        <v>1556</v>
      </c>
      <c r="R3723" t="s">
        <v>436</v>
      </c>
    </row>
    <row r="3724" spans="1:18" hidden="1">
      <c r="A3724" s="23" t="s">
        <v>7402</v>
      </c>
      <c r="B3724" s="23" t="s">
        <v>7403</v>
      </c>
      <c r="C3724" s="23">
        <v>1401</v>
      </c>
      <c r="D3724" t="s">
        <v>436</v>
      </c>
      <c r="I3724" s="3" t="str">
        <f>+IFERROR(VLOOKUP(C3724,'Mov 2023 hasta ahora '!$C$2:$D$314,2,FALSE),"NO")</f>
        <v>NO</v>
      </c>
      <c r="K3724">
        <v>6</v>
      </c>
      <c r="L3724" t="s">
        <v>836</v>
      </c>
      <c r="M3724">
        <v>24</v>
      </c>
      <c r="O3724" s="29" t="s">
        <v>9027</v>
      </c>
      <c r="P3724" s="25" t="s">
        <v>9028</v>
      </c>
      <c r="Q3724" s="25">
        <v>1400</v>
      </c>
      <c r="R3724" t="s">
        <v>436</v>
      </c>
    </row>
    <row r="3725" spans="1:18" hidden="1">
      <c r="A3725" s="23" t="s">
        <v>7404</v>
      </c>
      <c r="B3725" s="23" t="s">
        <v>7405</v>
      </c>
      <c r="C3725" s="23">
        <v>1400</v>
      </c>
      <c r="D3725" t="s">
        <v>436</v>
      </c>
      <c r="I3725" s="3" t="str">
        <f>+IFERROR(VLOOKUP(C3725,'Mov 2023 hasta ahora '!$C$2:$D$314,2,FALSE),"NO")</f>
        <v>NO</v>
      </c>
      <c r="K3725">
        <v>6</v>
      </c>
      <c r="L3725" t="s">
        <v>836</v>
      </c>
      <c r="M3725">
        <v>24</v>
      </c>
      <c r="O3725" s="29" t="s">
        <v>9027</v>
      </c>
      <c r="P3725" s="25" t="s">
        <v>9028</v>
      </c>
      <c r="Q3725" s="25">
        <v>1400</v>
      </c>
      <c r="R3725" t="s">
        <v>436</v>
      </c>
    </row>
    <row r="3726" spans="1:18" hidden="1">
      <c r="A3726" s="23" t="s">
        <v>7406</v>
      </c>
      <c r="B3726" s="23" t="s">
        <v>7407</v>
      </c>
      <c r="C3726" s="23">
        <v>1403</v>
      </c>
      <c r="D3726" t="s">
        <v>436</v>
      </c>
      <c r="I3726" s="3" t="str">
        <f>+IFERROR(VLOOKUP(C3726,'Mov 2023 hasta ahora '!$C$2:$D$314,2,FALSE),"NO")</f>
        <v>NO</v>
      </c>
      <c r="K3726">
        <v>6</v>
      </c>
      <c r="L3726" t="s">
        <v>836</v>
      </c>
      <c r="M3726">
        <v>24</v>
      </c>
      <c r="O3726" s="29" t="s">
        <v>9033</v>
      </c>
      <c r="P3726" s="25" t="s">
        <v>9034</v>
      </c>
      <c r="Q3726" s="25">
        <v>1274</v>
      </c>
      <c r="R3726" t="s">
        <v>436</v>
      </c>
    </row>
    <row r="3727" spans="1:18" hidden="1">
      <c r="A3727" t="s">
        <v>7408</v>
      </c>
      <c r="B3727" t="s">
        <v>7409</v>
      </c>
      <c r="I3727" s="3" t="str">
        <f>+IFERROR(VLOOKUP(C3727,'Mov 2023 hasta ahora '!$C$2:$D$314,2,FALSE),"NO")</f>
        <v>NO</v>
      </c>
      <c r="K3727">
        <v>4</v>
      </c>
      <c r="L3727" t="s">
        <v>836</v>
      </c>
      <c r="M3727">
        <v>14</v>
      </c>
    </row>
    <row r="3728" spans="1:18" hidden="1">
      <c r="A3728" t="s">
        <v>7410</v>
      </c>
      <c r="B3728" t="s">
        <v>7411</v>
      </c>
      <c r="I3728" s="3" t="str">
        <f>+IFERROR(VLOOKUP(C3728,'Mov 2023 hasta ahora '!$C$2:$D$314,2,FALSE),"NO")</f>
        <v>NO</v>
      </c>
      <c r="K3728">
        <v>5</v>
      </c>
      <c r="L3728" t="s">
        <v>836</v>
      </c>
      <c r="M3728">
        <v>18</v>
      </c>
    </row>
    <row r="3729" spans="1:18" s="13" customFormat="1" hidden="1">
      <c r="A3729" s="23" t="s">
        <v>7412</v>
      </c>
      <c r="B3729" s="23" t="s">
        <v>7413</v>
      </c>
      <c r="C3729" s="23">
        <v>1522</v>
      </c>
      <c r="D3729" s="13" t="s">
        <v>436</v>
      </c>
      <c r="G3729"/>
      <c r="I3729" s="14" t="str">
        <f>+IFERROR(VLOOKUP(C3729,'Mov 2023 hasta ahora '!$C$2:$D$314,2,FALSE),"NO")</f>
        <v>NO</v>
      </c>
      <c r="K3729">
        <v>6</v>
      </c>
      <c r="L3729" t="s">
        <v>836</v>
      </c>
      <c r="M3729">
        <v>24</v>
      </c>
      <c r="O3729" s="29" t="s">
        <v>8865</v>
      </c>
      <c r="P3729" s="25" t="s">
        <v>8866</v>
      </c>
      <c r="Q3729" s="25">
        <v>1522</v>
      </c>
      <c r="R3729" t="s">
        <v>436</v>
      </c>
    </row>
    <row r="3730" spans="1:18" s="13" customFormat="1" hidden="1">
      <c r="A3730" s="23" t="s">
        <v>7414</v>
      </c>
      <c r="B3730" s="23" t="s">
        <v>7415</v>
      </c>
      <c r="C3730" s="23">
        <v>1523</v>
      </c>
      <c r="D3730" s="13" t="s">
        <v>436</v>
      </c>
      <c r="G3730"/>
      <c r="I3730" s="14" t="str">
        <f>+IFERROR(VLOOKUP(C3730,'Mov 2023 hasta ahora '!$C$2:$D$314,2,FALSE),"NO")</f>
        <v>NO</v>
      </c>
      <c r="K3730">
        <v>6</v>
      </c>
      <c r="L3730" t="s">
        <v>836</v>
      </c>
      <c r="M3730">
        <v>24</v>
      </c>
      <c r="O3730" s="29" t="s">
        <v>8855</v>
      </c>
      <c r="P3730" s="25" t="s">
        <v>8856</v>
      </c>
      <c r="Q3730" s="25">
        <v>1524</v>
      </c>
      <c r="R3730" t="s">
        <v>436</v>
      </c>
    </row>
    <row r="3731" spans="1:18" s="13" customFormat="1" hidden="1">
      <c r="A3731" s="23" t="s">
        <v>7416</v>
      </c>
      <c r="B3731" s="23" t="s">
        <v>7417</v>
      </c>
      <c r="C3731" s="23">
        <v>1524</v>
      </c>
      <c r="D3731" s="13" t="s">
        <v>436</v>
      </c>
      <c r="G3731"/>
      <c r="I3731" s="14" t="str">
        <f>+IFERROR(VLOOKUP(C3731,'Mov 2023 hasta ahora '!$C$2:$D$314,2,FALSE),"NO")</f>
        <v>NO</v>
      </c>
      <c r="K3731">
        <v>6</v>
      </c>
      <c r="L3731" t="s">
        <v>836</v>
      </c>
      <c r="M3731">
        <v>24</v>
      </c>
      <c r="O3731" s="29" t="s">
        <v>8855</v>
      </c>
      <c r="P3731" s="25" t="s">
        <v>8856</v>
      </c>
      <c r="Q3731" s="25">
        <v>1524</v>
      </c>
      <c r="R3731" t="s">
        <v>436</v>
      </c>
    </row>
    <row r="3732" spans="1:18" hidden="1">
      <c r="A3732" s="23" t="s">
        <v>7418</v>
      </c>
      <c r="B3732" s="23" t="s">
        <v>7419</v>
      </c>
      <c r="C3732" s="23">
        <v>1525</v>
      </c>
      <c r="D3732" t="s">
        <v>436</v>
      </c>
      <c r="I3732" s="3" t="str">
        <f>+IFERROR(VLOOKUP(C3732,'Mov 2023 hasta ahora '!$C$2:$D$314,2,FALSE),"NO")</f>
        <v>NO</v>
      </c>
      <c r="K3732">
        <v>6</v>
      </c>
      <c r="L3732" t="s">
        <v>836</v>
      </c>
      <c r="M3732">
        <v>24</v>
      </c>
      <c r="O3732" s="29" t="s">
        <v>8939</v>
      </c>
      <c r="P3732" s="25" t="s">
        <v>8940</v>
      </c>
      <c r="Q3732" s="25">
        <v>1433</v>
      </c>
      <c r="R3732" t="s">
        <v>436</v>
      </c>
    </row>
    <row r="3733" spans="1:18" hidden="1">
      <c r="A3733" s="23" t="s">
        <v>7420</v>
      </c>
      <c r="B3733" s="23" t="s">
        <v>7421</v>
      </c>
      <c r="C3733" s="23">
        <v>1526</v>
      </c>
      <c r="D3733" t="s">
        <v>436</v>
      </c>
      <c r="I3733" s="3" t="str">
        <f>+IFERROR(VLOOKUP(C3733,'Mov 2023 hasta ahora '!$C$2:$D$314,2,FALSE),"NO")</f>
        <v>NO</v>
      </c>
      <c r="K3733">
        <v>6</v>
      </c>
      <c r="L3733" t="s">
        <v>836</v>
      </c>
      <c r="M3733">
        <v>24</v>
      </c>
      <c r="O3733" s="29" t="s">
        <v>8939</v>
      </c>
      <c r="P3733" s="25" t="s">
        <v>8940</v>
      </c>
      <c r="Q3733" s="25">
        <v>1433</v>
      </c>
      <c r="R3733" t="s">
        <v>436</v>
      </c>
    </row>
    <row r="3734" spans="1:18" hidden="1">
      <c r="A3734" s="23" t="s">
        <v>7422</v>
      </c>
      <c r="B3734" s="23" t="s">
        <v>7423</v>
      </c>
      <c r="C3734" s="23">
        <v>1527</v>
      </c>
      <c r="D3734" t="s">
        <v>436</v>
      </c>
      <c r="I3734" s="3" t="str">
        <f>+IFERROR(VLOOKUP(C3734,'Mov 2023 hasta ahora '!$C$2:$D$314,2,FALSE),"NO")</f>
        <v>NO</v>
      </c>
      <c r="K3734">
        <v>6</v>
      </c>
      <c r="L3734" t="s">
        <v>836</v>
      </c>
      <c r="M3734">
        <v>24</v>
      </c>
      <c r="O3734" s="29" t="s">
        <v>8939</v>
      </c>
      <c r="P3734" s="25" t="s">
        <v>8940</v>
      </c>
      <c r="Q3734" s="25">
        <v>1433</v>
      </c>
      <c r="R3734" t="s">
        <v>436</v>
      </c>
    </row>
    <row r="3735" spans="1:18" hidden="1">
      <c r="A3735" s="23" t="s">
        <v>7424</v>
      </c>
      <c r="B3735" s="23" t="s">
        <v>7425</v>
      </c>
      <c r="C3735" s="23">
        <v>1557</v>
      </c>
      <c r="D3735" t="s">
        <v>436</v>
      </c>
      <c r="I3735" s="3" t="str">
        <f>+IFERROR(VLOOKUP(C3735,'Mov 2023 hasta ahora '!$C$2:$D$314,2,FALSE),"NO")</f>
        <v>NO</v>
      </c>
      <c r="K3735">
        <v>6</v>
      </c>
      <c r="L3735" t="s">
        <v>836</v>
      </c>
      <c r="M3735">
        <v>24</v>
      </c>
      <c r="O3735" s="29" t="s">
        <v>8941</v>
      </c>
      <c r="P3735" s="25" t="s">
        <v>8942</v>
      </c>
      <c r="Q3735" s="25">
        <v>1556</v>
      </c>
      <c r="R3735" t="s">
        <v>436</v>
      </c>
    </row>
    <row r="3736" spans="1:18" hidden="1">
      <c r="A3736" s="23" t="s">
        <v>7426</v>
      </c>
      <c r="B3736" s="23" t="s">
        <v>7427</v>
      </c>
      <c r="C3736" s="23">
        <v>1402</v>
      </c>
      <c r="D3736" t="s">
        <v>436</v>
      </c>
      <c r="I3736" s="3" t="str">
        <f>+IFERROR(VLOOKUP(C3736,'Mov 2023 hasta ahora '!$C$2:$D$314,2,FALSE),"NO")</f>
        <v>NO</v>
      </c>
      <c r="K3736">
        <v>6</v>
      </c>
      <c r="L3736" t="s">
        <v>836</v>
      </c>
      <c r="M3736">
        <v>24</v>
      </c>
      <c r="O3736" s="29" t="s">
        <v>9037</v>
      </c>
      <c r="P3736" s="25" t="s">
        <v>9038</v>
      </c>
      <c r="Q3736" s="25">
        <v>1402</v>
      </c>
      <c r="R3736" t="s">
        <v>436</v>
      </c>
    </row>
    <row r="3737" spans="1:18" hidden="1">
      <c r="A3737" t="s">
        <v>7428</v>
      </c>
      <c r="B3737" t="s">
        <v>2185</v>
      </c>
      <c r="I3737" s="3" t="str">
        <f>+IFERROR(VLOOKUP(C3737,'Mov 2023 hasta ahora '!$C$2:$D$314,2,FALSE),"NO")</f>
        <v>NO</v>
      </c>
      <c r="K3737">
        <v>4</v>
      </c>
      <c r="L3737" t="s">
        <v>836</v>
      </c>
      <c r="M3737">
        <v>14</v>
      </c>
    </row>
    <row r="3738" spans="1:18" hidden="1">
      <c r="A3738" t="s">
        <v>7429</v>
      </c>
      <c r="B3738" t="s">
        <v>2187</v>
      </c>
      <c r="I3738" s="3" t="str">
        <f>+IFERROR(VLOOKUP(C3738,'Mov 2023 hasta ahora '!$C$2:$D$314,2,FALSE),"NO")</f>
        <v>NO</v>
      </c>
      <c r="K3738">
        <v>5</v>
      </c>
      <c r="L3738" t="s">
        <v>836</v>
      </c>
      <c r="M3738">
        <v>18</v>
      </c>
    </row>
    <row r="3739" spans="1:18" s="13" customFormat="1" hidden="1">
      <c r="A3739" s="23" t="s">
        <v>7430</v>
      </c>
      <c r="B3739" s="23" t="s">
        <v>7431</v>
      </c>
      <c r="C3739" s="23">
        <v>2286</v>
      </c>
      <c r="D3739" s="13" t="s">
        <v>436</v>
      </c>
      <c r="G3739"/>
      <c r="I3739" s="14" t="str">
        <f>+IFERROR(VLOOKUP(C3739,'Mov 2023 hasta ahora '!$C$2:$D$314,2,FALSE),"NO")</f>
        <v>NO</v>
      </c>
      <c r="K3739">
        <v>6</v>
      </c>
      <c r="L3739" t="s">
        <v>836</v>
      </c>
      <c r="M3739">
        <v>24</v>
      </c>
      <c r="O3739" s="29" t="s">
        <v>8865</v>
      </c>
      <c r="P3739" s="25" t="s">
        <v>8866</v>
      </c>
      <c r="Q3739" s="25">
        <v>1522</v>
      </c>
      <c r="R3739" t="s">
        <v>436</v>
      </c>
    </row>
    <row r="3740" spans="1:18" hidden="1">
      <c r="A3740" s="23" t="s">
        <v>7432</v>
      </c>
      <c r="B3740" s="23" t="s">
        <v>7433</v>
      </c>
      <c r="C3740" s="23">
        <v>2288</v>
      </c>
      <c r="D3740" t="s">
        <v>436</v>
      </c>
      <c r="I3740" s="3" t="str">
        <f>+IFERROR(VLOOKUP(C3740,'Mov 2023 hasta ahora '!$C$2:$D$314,2,FALSE),"NO")</f>
        <v>NO</v>
      </c>
      <c r="K3740">
        <v>6</v>
      </c>
      <c r="L3740" t="s">
        <v>836</v>
      </c>
      <c r="M3740">
        <v>24</v>
      </c>
      <c r="O3740" s="29" t="s">
        <v>8855</v>
      </c>
      <c r="P3740" s="25" t="s">
        <v>8856</v>
      </c>
      <c r="Q3740" s="25">
        <v>1524</v>
      </c>
      <c r="R3740" t="s">
        <v>436</v>
      </c>
    </row>
    <row r="3741" spans="1:18" hidden="1">
      <c r="A3741" s="23" t="s">
        <v>7434</v>
      </c>
      <c r="B3741" s="23" t="s">
        <v>7435</v>
      </c>
      <c r="C3741" s="23">
        <v>2290</v>
      </c>
      <c r="D3741" t="s">
        <v>436</v>
      </c>
      <c r="I3741" s="3" t="str">
        <f>+IFERROR(VLOOKUP(C3741,'Mov 2023 hasta ahora '!$C$2:$D$314,2,FALSE),"NO")</f>
        <v>NO</v>
      </c>
      <c r="K3741">
        <v>6</v>
      </c>
      <c r="L3741" t="s">
        <v>836</v>
      </c>
      <c r="M3741">
        <v>24</v>
      </c>
      <c r="O3741" s="29" t="s">
        <v>8855</v>
      </c>
      <c r="P3741" s="25" t="s">
        <v>8856</v>
      </c>
      <c r="Q3741" s="25">
        <v>1524</v>
      </c>
      <c r="R3741" t="s">
        <v>436</v>
      </c>
    </row>
    <row r="3742" spans="1:18" s="13" customFormat="1" hidden="1">
      <c r="A3742" s="23" t="s">
        <v>7436</v>
      </c>
      <c r="B3742" s="23" t="s">
        <v>7437</v>
      </c>
      <c r="C3742" s="23">
        <v>2292</v>
      </c>
      <c r="D3742" s="13" t="s">
        <v>436</v>
      </c>
      <c r="G3742"/>
      <c r="I3742" s="14" t="str">
        <f>+IFERROR(VLOOKUP(C3742,'Mov 2023 hasta ahora '!$C$2:$D$314,2,FALSE),"NO")</f>
        <v>NO</v>
      </c>
      <c r="K3742">
        <v>6</v>
      </c>
      <c r="L3742" t="s">
        <v>836</v>
      </c>
      <c r="M3742">
        <v>24</v>
      </c>
      <c r="O3742" s="29" t="s">
        <v>8797</v>
      </c>
      <c r="P3742" s="25" t="s">
        <v>8801</v>
      </c>
      <c r="Q3742" s="25">
        <v>1421</v>
      </c>
      <c r="R3742" t="s">
        <v>436</v>
      </c>
    </row>
    <row r="3743" spans="1:18" s="13" customFormat="1" hidden="1">
      <c r="A3743" s="23" t="s">
        <v>7438</v>
      </c>
      <c r="B3743" s="23" t="s">
        <v>7439</v>
      </c>
      <c r="C3743" s="23">
        <v>2294</v>
      </c>
      <c r="D3743" s="13" t="s">
        <v>436</v>
      </c>
      <c r="G3743"/>
      <c r="I3743" s="14" t="str">
        <f>+IFERROR(VLOOKUP(C3743,'Mov 2023 hasta ahora '!$C$2:$D$314,2,FALSE),"NO")</f>
        <v>NO</v>
      </c>
      <c r="K3743">
        <v>6</v>
      </c>
      <c r="L3743" t="s">
        <v>836</v>
      </c>
      <c r="M3743">
        <v>24</v>
      </c>
      <c r="O3743" s="29" t="s">
        <v>8807</v>
      </c>
      <c r="P3743" s="25" t="s">
        <v>8811</v>
      </c>
      <c r="Q3743" s="25">
        <v>1422</v>
      </c>
      <c r="R3743" t="s">
        <v>436</v>
      </c>
    </row>
    <row r="3744" spans="1:18" hidden="1">
      <c r="A3744" s="23" t="s">
        <v>7440</v>
      </c>
      <c r="B3744" s="23" t="s">
        <v>7441</v>
      </c>
      <c r="C3744" s="23">
        <v>2296</v>
      </c>
      <c r="D3744" t="s">
        <v>436</v>
      </c>
      <c r="I3744" s="3">
        <f>+IFERROR(VLOOKUP(C3744,'Mov 2023 hasta ahora '!$C$2:$D$314,2,FALSE),"NO")</f>
        <v>2</v>
      </c>
      <c r="K3744">
        <v>6</v>
      </c>
      <c r="L3744" t="s">
        <v>836</v>
      </c>
      <c r="M3744">
        <v>24</v>
      </c>
      <c r="O3744" s="29" t="s">
        <v>8939</v>
      </c>
      <c r="P3744" s="25" t="s">
        <v>8940</v>
      </c>
      <c r="Q3744" s="25">
        <v>1433</v>
      </c>
      <c r="R3744" t="s">
        <v>436</v>
      </c>
    </row>
    <row r="3745" spans="1:18" hidden="1">
      <c r="A3745" s="23" t="s">
        <v>7442</v>
      </c>
      <c r="B3745" s="23" t="s">
        <v>7443</v>
      </c>
      <c r="C3745" s="23">
        <v>2298</v>
      </c>
      <c r="D3745" t="s">
        <v>436</v>
      </c>
      <c r="I3745" s="3" t="str">
        <f>+IFERROR(VLOOKUP(C3745,'Mov 2023 hasta ahora '!$C$2:$D$314,2,FALSE),"NO")</f>
        <v>NO</v>
      </c>
      <c r="K3745">
        <v>6</v>
      </c>
      <c r="L3745" t="s">
        <v>836</v>
      </c>
      <c r="M3745">
        <v>24</v>
      </c>
      <c r="O3745" s="29" t="s">
        <v>8939</v>
      </c>
      <c r="P3745" s="25" t="s">
        <v>8940</v>
      </c>
      <c r="Q3745" s="25">
        <v>1433</v>
      </c>
      <c r="R3745" t="s">
        <v>436</v>
      </c>
    </row>
    <row r="3746" spans="1:18" hidden="1">
      <c r="A3746" s="23" t="s">
        <v>7444</v>
      </c>
      <c r="B3746" s="23" t="s">
        <v>7445</v>
      </c>
      <c r="C3746" s="23">
        <v>2300</v>
      </c>
      <c r="D3746" t="s">
        <v>436</v>
      </c>
      <c r="I3746" s="3" t="str">
        <f>+IFERROR(VLOOKUP(C3746,'Mov 2023 hasta ahora '!$C$2:$D$314,2,FALSE),"NO")</f>
        <v>NO</v>
      </c>
      <c r="K3746">
        <v>6</v>
      </c>
      <c r="L3746" t="s">
        <v>836</v>
      </c>
      <c r="M3746">
        <v>24</v>
      </c>
      <c r="O3746" s="29" t="s">
        <v>8939</v>
      </c>
      <c r="P3746" s="25" t="s">
        <v>8940</v>
      </c>
      <c r="Q3746" s="25">
        <v>1433</v>
      </c>
      <c r="R3746" t="s">
        <v>436</v>
      </c>
    </row>
    <row r="3747" spans="1:18" hidden="1">
      <c r="A3747" s="23" t="s">
        <v>7446</v>
      </c>
      <c r="B3747" s="23" t="s">
        <v>7447</v>
      </c>
      <c r="C3747" s="23">
        <v>2302</v>
      </c>
      <c r="D3747" t="s">
        <v>436</v>
      </c>
      <c r="I3747" s="3" t="str">
        <f>+IFERROR(VLOOKUP(C3747,'Mov 2023 hasta ahora '!$C$2:$D$314,2,FALSE),"NO")</f>
        <v>NO</v>
      </c>
      <c r="K3747">
        <v>6</v>
      </c>
      <c r="L3747" t="s">
        <v>836</v>
      </c>
      <c r="M3747">
        <v>24</v>
      </c>
      <c r="O3747" s="29" t="s">
        <v>8941</v>
      </c>
      <c r="P3747" s="25" t="s">
        <v>8942</v>
      </c>
      <c r="Q3747" s="25">
        <v>1556</v>
      </c>
      <c r="R3747" t="s">
        <v>436</v>
      </c>
    </row>
    <row r="3748" spans="1:18" hidden="1">
      <c r="A3748" s="23" t="s">
        <v>7448</v>
      </c>
      <c r="B3748" s="23" t="s">
        <v>7449</v>
      </c>
      <c r="C3748" s="23">
        <v>2304</v>
      </c>
      <c r="D3748" t="s">
        <v>436</v>
      </c>
      <c r="I3748" s="3" t="str">
        <f>+IFERROR(VLOOKUP(C3748,'Mov 2023 hasta ahora '!$C$2:$D$314,2,FALSE),"NO")</f>
        <v>NO</v>
      </c>
      <c r="K3748">
        <v>6</v>
      </c>
      <c r="L3748" t="s">
        <v>836</v>
      </c>
      <c r="M3748">
        <v>24</v>
      </c>
      <c r="O3748" s="29" t="s">
        <v>9027</v>
      </c>
      <c r="P3748" s="25" t="s">
        <v>9028</v>
      </c>
      <c r="Q3748" s="25">
        <v>1400</v>
      </c>
      <c r="R3748" t="s">
        <v>436</v>
      </c>
    </row>
    <row r="3749" spans="1:18" hidden="1">
      <c r="A3749" s="23" t="s">
        <v>7450</v>
      </c>
      <c r="B3749" s="23" t="s">
        <v>7451</v>
      </c>
      <c r="C3749" s="23">
        <v>2306</v>
      </c>
      <c r="D3749" t="s">
        <v>436</v>
      </c>
      <c r="I3749" s="3" t="str">
        <f>+IFERROR(VLOOKUP(C3749,'Mov 2023 hasta ahora '!$C$2:$D$314,2,FALSE),"NO")</f>
        <v>NO</v>
      </c>
      <c r="K3749">
        <v>6</v>
      </c>
      <c r="L3749" t="s">
        <v>836</v>
      </c>
      <c r="M3749">
        <v>24</v>
      </c>
      <c r="O3749" s="29" t="s">
        <v>9027</v>
      </c>
      <c r="P3749" s="25" t="s">
        <v>9028</v>
      </c>
      <c r="Q3749" s="25">
        <v>1400</v>
      </c>
      <c r="R3749" t="s">
        <v>436</v>
      </c>
    </row>
    <row r="3750" spans="1:18" hidden="1">
      <c r="A3750" s="23" t="s">
        <v>7452</v>
      </c>
      <c r="B3750" s="23" t="s">
        <v>7453</v>
      </c>
      <c r="C3750" s="23">
        <v>2317</v>
      </c>
      <c r="I3750" s="3" t="str">
        <f>+IFERROR(VLOOKUP(C3750,'Mov 2023 hasta ahora '!$C$2:$D$314,2,FALSE),"NO")</f>
        <v>NO</v>
      </c>
      <c r="K3750">
        <v>6</v>
      </c>
      <c r="L3750" t="s">
        <v>836</v>
      </c>
      <c r="M3750">
        <v>24</v>
      </c>
      <c r="O3750" s="29" t="s">
        <v>8950</v>
      </c>
      <c r="P3750" s="25" t="s">
        <v>8951</v>
      </c>
      <c r="Q3750" s="25">
        <v>1270</v>
      </c>
      <c r="R3750" t="s">
        <v>436</v>
      </c>
    </row>
    <row r="3751" spans="1:18" hidden="1">
      <c r="A3751" s="23" t="s">
        <v>7454</v>
      </c>
      <c r="B3751" s="23" t="s">
        <v>7455</v>
      </c>
      <c r="C3751" s="23">
        <v>2314</v>
      </c>
      <c r="I3751" s="3" t="str">
        <f>+IFERROR(VLOOKUP(C3751,'Mov 2023 hasta ahora '!$C$2:$D$314,2,FALSE),"NO")</f>
        <v>NO</v>
      </c>
      <c r="K3751">
        <v>6</v>
      </c>
      <c r="L3751" t="s">
        <v>836</v>
      </c>
      <c r="M3751">
        <v>24</v>
      </c>
      <c r="O3751" s="29" t="s">
        <v>8954</v>
      </c>
      <c r="P3751" s="25" t="s">
        <v>8955</v>
      </c>
      <c r="Q3751" s="25">
        <v>1239</v>
      </c>
      <c r="R3751" t="s">
        <v>436</v>
      </c>
    </row>
    <row r="3752" spans="1:18" hidden="1">
      <c r="A3752" s="23" t="s">
        <v>7456</v>
      </c>
      <c r="B3752" s="23" t="s">
        <v>7457</v>
      </c>
      <c r="C3752" s="23">
        <v>2308</v>
      </c>
      <c r="D3752" t="s">
        <v>436</v>
      </c>
      <c r="I3752" s="3" t="str">
        <f>+IFERROR(VLOOKUP(C3752,'Mov 2023 hasta ahora '!$C$2:$D$314,2,FALSE),"NO")</f>
        <v>NO</v>
      </c>
      <c r="K3752">
        <v>6</v>
      </c>
      <c r="L3752" t="s">
        <v>836</v>
      </c>
      <c r="M3752">
        <v>24</v>
      </c>
      <c r="O3752" s="29" t="s">
        <v>9037</v>
      </c>
      <c r="P3752" s="25" t="s">
        <v>9038</v>
      </c>
      <c r="Q3752" s="25">
        <v>1402</v>
      </c>
      <c r="R3752" t="s">
        <v>436</v>
      </c>
    </row>
    <row r="3753" spans="1:18" hidden="1">
      <c r="A3753" s="23" t="s">
        <v>7458</v>
      </c>
      <c r="B3753" s="23" t="s">
        <v>7459</v>
      </c>
      <c r="C3753" s="23">
        <v>2310</v>
      </c>
      <c r="D3753" t="s">
        <v>436</v>
      </c>
      <c r="I3753" s="3" t="str">
        <f>+IFERROR(VLOOKUP(C3753,'Mov 2023 hasta ahora '!$C$2:$D$314,2,FALSE),"NO")</f>
        <v>NO</v>
      </c>
      <c r="K3753">
        <v>6</v>
      </c>
      <c r="L3753" t="s">
        <v>836</v>
      </c>
      <c r="M3753">
        <v>24</v>
      </c>
      <c r="O3753" s="29" t="s">
        <v>9033</v>
      </c>
      <c r="P3753" s="25" t="s">
        <v>9034</v>
      </c>
      <c r="Q3753" s="25">
        <v>1274</v>
      </c>
      <c r="R3753" t="s">
        <v>436</v>
      </c>
    </row>
    <row r="3754" spans="1:18" hidden="1">
      <c r="A3754" t="s">
        <v>7460</v>
      </c>
      <c r="B3754" t="s">
        <v>7461</v>
      </c>
      <c r="I3754" s="3" t="str">
        <f>+IFERROR(VLOOKUP(C3754,'Mov 2023 hasta ahora '!$C$2:$D$314,2,FALSE),"NO")</f>
        <v>NO</v>
      </c>
      <c r="K3754">
        <v>3</v>
      </c>
      <c r="L3754" t="s">
        <v>836</v>
      </c>
      <c r="M3754">
        <v>10</v>
      </c>
    </row>
    <row r="3755" spans="1:18" hidden="1">
      <c r="A3755" t="s">
        <v>7462</v>
      </c>
      <c r="B3755" t="s">
        <v>7463</v>
      </c>
      <c r="I3755" s="3" t="str">
        <f>+IFERROR(VLOOKUP(C3755,'Mov 2023 hasta ahora '!$C$2:$D$314,2,FALSE),"NO")</f>
        <v>NO</v>
      </c>
      <c r="K3755">
        <v>4</v>
      </c>
      <c r="L3755" t="s">
        <v>836</v>
      </c>
      <c r="M3755">
        <v>14</v>
      </c>
    </row>
    <row r="3756" spans="1:18" hidden="1">
      <c r="A3756" t="s">
        <v>7464</v>
      </c>
      <c r="B3756" t="s">
        <v>7465</v>
      </c>
      <c r="I3756" s="3" t="str">
        <f>+IFERROR(VLOOKUP(C3756,'Mov 2023 hasta ahora '!$C$2:$D$314,2,FALSE),"NO")</f>
        <v>NO</v>
      </c>
      <c r="K3756">
        <v>5</v>
      </c>
      <c r="L3756" t="s">
        <v>836</v>
      </c>
      <c r="M3756">
        <v>18</v>
      </c>
    </row>
    <row r="3757" spans="1:18" s="13" customFormat="1" hidden="1">
      <c r="A3757" s="23" t="s">
        <v>7466</v>
      </c>
      <c r="B3757" s="23" t="s">
        <v>7467</v>
      </c>
      <c r="C3757" s="23">
        <v>1404</v>
      </c>
      <c r="D3757" s="13" t="s">
        <v>436</v>
      </c>
      <c r="G3757"/>
      <c r="I3757" s="14" t="str">
        <f>+IFERROR(VLOOKUP(C3757,'Mov 2023 hasta ahora '!$C$2:$D$314,2,FALSE),"NO")</f>
        <v>NO</v>
      </c>
      <c r="K3757">
        <v>6</v>
      </c>
      <c r="L3757" t="s">
        <v>836</v>
      </c>
      <c r="M3757">
        <v>24</v>
      </c>
      <c r="O3757" s="29" t="s">
        <v>8865</v>
      </c>
      <c r="P3757" s="25" t="s">
        <v>8866</v>
      </c>
      <c r="Q3757" s="25">
        <v>1522</v>
      </c>
      <c r="R3757" t="s">
        <v>436</v>
      </c>
    </row>
    <row r="3758" spans="1:18" s="13" customFormat="1" hidden="1">
      <c r="A3758" s="23" t="s">
        <v>7468</v>
      </c>
      <c r="B3758" s="23" t="s">
        <v>7469</v>
      </c>
      <c r="C3758" s="23">
        <v>1405</v>
      </c>
      <c r="D3758" s="13" t="s">
        <v>436</v>
      </c>
      <c r="G3758"/>
      <c r="I3758" s="14" t="str">
        <f>+IFERROR(VLOOKUP(C3758,'Mov 2023 hasta ahora '!$C$2:$D$314,2,FALSE),"NO")</f>
        <v>NO</v>
      </c>
      <c r="K3758">
        <v>6</v>
      </c>
      <c r="L3758" t="s">
        <v>836</v>
      </c>
      <c r="M3758">
        <v>24</v>
      </c>
      <c r="O3758" s="29" t="s">
        <v>8855</v>
      </c>
      <c r="P3758" s="25" t="s">
        <v>8856</v>
      </c>
      <c r="Q3758" s="25">
        <v>1524</v>
      </c>
      <c r="R3758" t="s">
        <v>436</v>
      </c>
    </row>
    <row r="3759" spans="1:18" s="13" customFormat="1" hidden="1">
      <c r="A3759" s="23" t="s">
        <v>7470</v>
      </c>
      <c r="B3759" s="23" t="s">
        <v>7471</v>
      </c>
      <c r="C3759" s="23">
        <v>1406</v>
      </c>
      <c r="D3759" s="13" t="s">
        <v>436</v>
      </c>
      <c r="G3759"/>
      <c r="I3759" s="14" t="str">
        <f>+IFERROR(VLOOKUP(C3759,'Mov 2023 hasta ahora '!$C$2:$D$314,2,FALSE),"NO")</f>
        <v>NO</v>
      </c>
      <c r="K3759">
        <v>6</v>
      </c>
      <c r="L3759" t="s">
        <v>836</v>
      </c>
      <c r="M3759">
        <v>24</v>
      </c>
      <c r="O3759" s="29" t="s">
        <v>8855</v>
      </c>
      <c r="P3759" s="25" t="s">
        <v>8856</v>
      </c>
      <c r="Q3759" s="25">
        <v>1524</v>
      </c>
      <c r="R3759" t="s">
        <v>436</v>
      </c>
    </row>
    <row r="3760" spans="1:18" s="13" customFormat="1" hidden="1">
      <c r="A3760" s="23" t="s">
        <v>7472</v>
      </c>
      <c r="B3760" s="23" t="s">
        <v>7473</v>
      </c>
      <c r="C3760" s="23">
        <v>1407</v>
      </c>
      <c r="D3760" s="13" t="s">
        <v>436</v>
      </c>
      <c r="G3760"/>
      <c r="I3760" s="14" t="str">
        <f>+IFERROR(VLOOKUP(C3760,'Mov 2023 hasta ahora '!$C$2:$D$314,2,FALSE),"NO")</f>
        <v>NO</v>
      </c>
      <c r="K3760">
        <v>6</v>
      </c>
      <c r="L3760" t="s">
        <v>836</v>
      </c>
      <c r="M3760">
        <v>24</v>
      </c>
      <c r="O3760" s="29" t="s">
        <v>8797</v>
      </c>
      <c r="P3760" s="25" t="s">
        <v>8801</v>
      </c>
      <c r="Q3760" s="25">
        <v>1421</v>
      </c>
      <c r="R3760" t="s">
        <v>436</v>
      </c>
    </row>
    <row r="3761" spans="1:18" s="13" customFormat="1" hidden="1">
      <c r="A3761" s="23" t="s">
        <v>7474</v>
      </c>
      <c r="B3761" s="23" t="s">
        <v>7475</v>
      </c>
      <c r="C3761" s="23">
        <v>1408</v>
      </c>
      <c r="D3761" s="13" t="s">
        <v>436</v>
      </c>
      <c r="G3761"/>
      <c r="I3761" s="14" t="str">
        <f>+IFERROR(VLOOKUP(C3761,'Mov 2023 hasta ahora '!$C$2:$D$314,2,FALSE),"NO")</f>
        <v>NO</v>
      </c>
      <c r="K3761">
        <v>6</v>
      </c>
      <c r="L3761" t="s">
        <v>836</v>
      </c>
      <c r="M3761">
        <v>24</v>
      </c>
      <c r="O3761" s="29" t="s">
        <v>8807</v>
      </c>
      <c r="P3761" s="25" t="s">
        <v>8811</v>
      </c>
      <c r="Q3761" s="25">
        <v>1422</v>
      </c>
      <c r="R3761" t="s">
        <v>436</v>
      </c>
    </row>
    <row r="3762" spans="1:18" hidden="1">
      <c r="A3762" s="23" t="s">
        <v>7476</v>
      </c>
      <c r="B3762" s="23" t="s">
        <v>7477</v>
      </c>
      <c r="C3762" s="23">
        <v>1409</v>
      </c>
      <c r="D3762" t="s">
        <v>436</v>
      </c>
      <c r="I3762" s="3" t="str">
        <f>+IFERROR(VLOOKUP(C3762,'Mov 2023 hasta ahora '!$C$2:$D$314,2,FALSE),"NO")</f>
        <v>NO</v>
      </c>
      <c r="K3762">
        <v>6</v>
      </c>
      <c r="L3762" t="s">
        <v>836</v>
      </c>
      <c r="M3762">
        <v>24</v>
      </c>
      <c r="O3762" s="29" t="s">
        <v>8939</v>
      </c>
      <c r="P3762" s="25" t="s">
        <v>8940</v>
      </c>
      <c r="Q3762" s="25">
        <v>1433</v>
      </c>
      <c r="R3762" t="s">
        <v>436</v>
      </c>
    </row>
    <row r="3763" spans="1:18" hidden="1">
      <c r="A3763" s="23" t="s">
        <v>7478</v>
      </c>
      <c r="B3763" s="23" t="s">
        <v>7479</v>
      </c>
      <c r="C3763" s="23">
        <v>1434</v>
      </c>
      <c r="D3763" t="s">
        <v>436</v>
      </c>
      <c r="I3763" s="3" t="str">
        <f>+IFERROR(VLOOKUP(C3763,'Mov 2023 hasta ahora '!$C$2:$D$314,2,FALSE),"NO")</f>
        <v>NO</v>
      </c>
      <c r="K3763">
        <v>6</v>
      </c>
      <c r="L3763" t="s">
        <v>836</v>
      </c>
      <c r="M3763">
        <v>24</v>
      </c>
      <c r="O3763" s="29" t="s">
        <v>8939</v>
      </c>
      <c r="P3763" s="25" t="s">
        <v>8940</v>
      </c>
      <c r="Q3763" s="25">
        <v>1433</v>
      </c>
      <c r="R3763" t="s">
        <v>436</v>
      </c>
    </row>
    <row r="3764" spans="1:18" hidden="1">
      <c r="A3764" s="23" t="s">
        <v>7480</v>
      </c>
      <c r="B3764" s="23" t="s">
        <v>7481</v>
      </c>
      <c r="C3764" s="23">
        <v>1435</v>
      </c>
      <c r="D3764" t="s">
        <v>436</v>
      </c>
      <c r="I3764" s="3" t="str">
        <f>+IFERROR(VLOOKUP(C3764,'Mov 2023 hasta ahora '!$C$2:$D$314,2,FALSE),"NO")</f>
        <v>NO</v>
      </c>
      <c r="K3764">
        <v>6</v>
      </c>
      <c r="L3764" t="s">
        <v>836</v>
      </c>
      <c r="M3764">
        <v>24</v>
      </c>
      <c r="O3764" s="29" t="s">
        <v>8939</v>
      </c>
      <c r="P3764" s="25" t="s">
        <v>8940</v>
      </c>
      <c r="Q3764" s="25">
        <v>1433</v>
      </c>
      <c r="R3764" t="s">
        <v>436</v>
      </c>
    </row>
    <row r="3765" spans="1:18" hidden="1">
      <c r="A3765" s="23" t="s">
        <v>7482</v>
      </c>
      <c r="B3765" s="23" t="s">
        <v>7483</v>
      </c>
      <c r="C3765" s="23">
        <v>1558</v>
      </c>
      <c r="D3765" t="s">
        <v>436</v>
      </c>
      <c r="I3765" s="3" t="str">
        <f>+IFERROR(VLOOKUP(C3765,'Mov 2023 hasta ahora '!$C$2:$D$314,2,FALSE),"NO")</f>
        <v>NO</v>
      </c>
      <c r="K3765">
        <v>6</v>
      </c>
      <c r="L3765" t="s">
        <v>836</v>
      </c>
      <c r="M3765">
        <v>24</v>
      </c>
      <c r="O3765" s="29" t="s">
        <v>8941</v>
      </c>
      <c r="P3765" s="25" t="s">
        <v>8942</v>
      </c>
      <c r="Q3765" s="25">
        <v>1556</v>
      </c>
      <c r="R3765" t="s">
        <v>436</v>
      </c>
    </row>
    <row r="3766" spans="1:18" hidden="1">
      <c r="A3766" s="23" t="s">
        <v>7484</v>
      </c>
      <c r="B3766" s="23" t="s">
        <v>7485</v>
      </c>
      <c r="C3766" s="23">
        <v>1410</v>
      </c>
      <c r="D3766" t="s">
        <v>436</v>
      </c>
      <c r="I3766" s="3" t="str">
        <f>+IFERROR(VLOOKUP(C3766,'Mov 2023 hasta ahora '!$C$2:$D$314,2,FALSE),"NO")</f>
        <v>NO</v>
      </c>
      <c r="K3766">
        <v>6</v>
      </c>
      <c r="L3766" t="s">
        <v>836</v>
      </c>
      <c r="M3766">
        <v>24</v>
      </c>
      <c r="O3766" s="29" t="s">
        <v>9027</v>
      </c>
      <c r="P3766" s="25" t="s">
        <v>9028</v>
      </c>
      <c r="Q3766" s="25">
        <v>1400</v>
      </c>
      <c r="R3766" t="s">
        <v>436</v>
      </c>
    </row>
    <row r="3767" spans="1:18" hidden="1">
      <c r="A3767" s="23" t="s">
        <v>7486</v>
      </c>
      <c r="B3767" s="23" t="s">
        <v>7487</v>
      </c>
      <c r="C3767" s="23">
        <v>1411</v>
      </c>
      <c r="D3767" t="s">
        <v>436</v>
      </c>
      <c r="I3767" s="3" t="str">
        <f>+IFERROR(VLOOKUP(C3767,'Mov 2023 hasta ahora '!$C$2:$D$314,2,FALSE),"NO")</f>
        <v>NO</v>
      </c>
      <c r="K3767">
        <v>6</v>
      </c>
      <c r="L3767" t="s">
        <v>836</v>
      </c>
      <c r="M3767">
        <v>24</v>
      </c>
      <c r="O3767" s="29" t="s">
        <v>9027</v>
      </c>
      <c r="P3767" s="25" t="s">
        <v>9028</v>
      </c>
      <c r="Q3767" s="25">
        <v>1400</v>
      </c>
      <c r="R3767" t="s">
        <v>436</v>
      </c>
    </row>
    <row r="3768" spans="1:18" hidden="1">
      <c r="A3768" s="23" t="s">
        <v>7488</v>
      </c>
      <c r="B3768" s="23" t="s">
        <v>7489</v>
      </c>
      <c r="C3768" s="23">
        <v>1413</v>
      </c>
      <c r="D3768" t="s">
        <v>436</v>
      </c>
      <c r="I3768" s="3" t="str">
        <f>+IFERROR(VLOOKUP(C3768,'Mov 2023 hasta ahora '!$C$2:$D$314,2,FALSE),"NO")</f>
        <v>NO</v>
      </c>
      <c r="K3768">
        <v>6</v>
      </c>
      <c r="L3768" t="s">
        <v>836</v>
      </c>
      <c r="M3768">
        <v>24</v>
      </c>
      <c r="O3768" s="29" t="s">
        <v>9033</v>
      </c>
      <c r="P3768" s="25" t="s">
        <v>9034</v>
      </c>
      <c r="Q3768" s="25">
        <v>1274</v>
      </c>
      <c r="R3768" t="s">
        <v>436</v>
      </c>
    </row>
    <row r="3769" spans="1:18" hidden="1">
      <c r="A3769" t="s">
        <v>7490</v>
      </c>
      <c r="B3769" t="s">
        <v>7491</v>
      </c>
      <c r="I3769" s="3" t="str">
        <f>+IFERROR(VLOOKUP(C3769,'Mov 2023 hasta ahora '!$C$2:$D$314,2,FALSE),"NO")</f>
        <v>NO</v>
      </c>
      <c r="K3769">
        <v>4</v>
      </c>
      <c r="L3769" t="s">
        <v>836</v>
      </c>
      <c r="M3769">
        <v>14</v>
      </c>
    </row>
    <row r="3770" spans="1:18" hidden="1">
      <c r="A3770" t="s">
        <v>7492</v>
      </c>
      <c r="B3770" t="s">
        <v>7493</v>
      </c>
      <c r="I3770" s="3" t="str">
        <f>+IFERROR(VLOOKUP(C3770,'Mov 2023 hasta ahora '!$C$2:$D$314,2,FALSE),"NO")</f>
        <v>NO</v>
      </c>
      <c r="K3770">
        <v>5</v>
      </c>
      <c r="L3770" t="s">
        <v>836</v>
      </c>
      <c r="M3770">
        <v>18</v>
      </c>
    </row>
    <row r="3771" spans="1:18" s="13" customFormat="1" hidden="1">
      <c r="A3771" s="23" t="s">
        <v>7494</v>
      </c>
      <c r="B3771" s="23" t="s">
        <v>7495</v>
      </c>
      <c r="C3771" s="23">
        <v>1531</v>
      </c>
      <c r="D3771" s="13" t="s">
        <v>436</v>
      </c>
      <c r="G3771"/>
      <c r="I3771" s="14" t="str">
        <f>+IFERROR(VLOOKUP(C3771,'Mov 2023 hasta ahora '!$C$2:$D$314,2,FALSE),"NO")</f>
        <v>NO</v>
      </c>
      <c r="K3771">
        <v>6</v>
      </c>
      <c r="L3771" t="s">
        <v>836</v>
      </c>
      <c r="M3771">
        <v>24</v>
      </c>
      <c r="O3771" s="29" t="s">
        <v>8865</v>
      </c>
      <c r="P3771" s="25" t="s">
        <v>8866</v>
      </c>
      <c r="Q3771" s="25">
        <v>1522</v>
      </c>
      <c r="R3771" t="s">
        <v>436</v>
      </c>
    </row>
    <row r="3772" spans="1:18" s="13" customFormat="1" hidden="1">
      <c r="A3772" s="23" t="s">
        <v>7496</v>
      </c>
      <c r="B3772" s="23" t="s">
        <v>7497</v>
      </c>
      <c r="C3772" s="23">
        <v>1532</v>
      </c>
      <c r="D3772" s="13" t="s">
        <v>436</v>
      </c>
      <c r="G3772"/>
      <c r="I3772" s="14" t="str">
        <f>+IFERROR(VLOOKUP(C3772,'Mov 2023 hasta ahora '!$C$2:$D$314,2,FALSE),"NO")</f>
        <v>NO</v>
      </c>
      <c r="K3772">
        <v>6</v>
      </c>
      <c r="L3772" t="s">
        <v>836</v>
      </c>
      <c r="M3772">
        <v>24</v>
      </c>
      <c r="O3772" s="29" t="s">
        <v>8855</v>
      </c>
      <c r="P3772" s="25" t="s">
        <v>8856</v>
      </c>
      <c r="Q3772" s="25">
        <v>1524</v>
      </c>
      <c r="R3772" t="s">
        <v>436</v>
      </c>
    </row>
    <row r="3773" spans="1:18" s="13" customFormat="1" hidden="1">
      <c r="A3773" s="23" t="s">
        <v>7498</v>
      </c>
      <c r="B3773" s="23" t="s">
        <v>7499</v>
      </c>
      <c r="C3773" s="23">
        <v>1533</v>
      </c>
      <c r="D3773" s="13" t="s">
        <v>436</v>
      </c>
      <c r="G3773"/>
      <c r="I3773" s="14" t="str">
        <f>+IFERROR(VLOOKUP(C3773,'Mov 2023 hasta ahora '!$C$2:$D$314,2,FALSE),"NO")</f>
        <v>NO</v>
      </c>
      <c r="K3773">
        <v>6</v>
      </c>
      <c r="L3773" t="s">
        <v>836</v>
      </c>
      <c r="M3773">
        <v>24</v>
      </c>
      <c r="O3773" s="29" t="s">
        <v>8855</v>
      </c>
      <c r="P3773" s="25" t="s">
        <v>8856</v>
      </c>
      <c r="Q3773" s="25">
        <v>1524</v>
      </c>
      <c r="R3773" t="s">
        <v>436</v>
      </c>
    </row>
    <row r="3774" spans="1:18" hidden="1">
      <c r="A3774" s="23" t="s">
        <v>7500</v>
      </c>
      <c r="B3774" s="23" t="s">
        <v>7501</v>
      </c>
      <c r="C3774" s="23">
        <v>1530</v>
      </c>
      <c r="D3774" t="s">
        <v>436</v>
      </c>
      <c r="I3774" s="3" t="str">
        <f>+IFERROR(VLOOKUP(C3774,'Mov 2023 hasta ahora '!$C$2:$D$314,2,FALSE),"NO")</f>
        <v>NO</v>
      </c>
      <c r="K3774">
        <v>6</v>
      </c>
      <c r="L3774" t="s">
        <v>836</v>
      </c>
      <c r="M3774">
        <v>24</v>
      </c>
      <c r="O3774" s="29" t="s">
        <v>8939</v>
      </c>
      <c r="P3774" s="25" t="s">
        <v>8940</v>
      </c>
      <c r="Q3774" s="25">
        <v>1433</v>
      </c>
      <c r="R3774" t="s">
        <v>436</v>
      </c>
    </row>
    <row r="3775" spans="1:18" hidden="1">
      <c r="A3775" s="23" t="s">
        <v>7502</v>
      </c>
      <c r="B3775" s="23" t="s">
        <v>7503</v>
      </c>
      <c r="C3775" s="23">
        <v>1529</v>
      </c>
      <c r="D3775" t="s">
        <v>436</v>
      </c>
      <c r="I3775" s="3" t="str">
        <f>+IFERROR(VLOOKUP(C3775,'Mov 2023 hasta ahora '!$C$2:$D$314,2,FALSE),"NO")</f>
        <v>NO</v>
      </c>
      <c r="K3775">
        <v>6</v>
      </c>
      <c r="L3775" t="s">
        <v>836</v>
      </c>
      <c r="M3775">
        <v>24</v>
      </c>
      <c r="O3775" s="29" t="s">
        <v>8939</v>
      </c>
      <c r="P3775" s="25" t="s">
        <v>8940</v>
      </c>
      <c r="Q3775" s="25">
        <v>1433</v>
      </c>
      <c r="R3775" t="s">
        <v>436</v>
      </c>
    </row>
    <row r="3776" spans="1:18" hidden="1">
      <c r="A3776" s="23" t="s">
        <v>7504</v>
      </c>
      <c r="B3776" s="23" t="s">
        <v>7505</v>
      </c>
      <c r="C3776" s="23">
        <v>1528</v>
      </c>
      <c r="D3776" t="s">
        <v>436</v>
      </c>
      <c r="I3776" s="3" t="str">
        <f>+IFERROR(VLOOKUP(C3776,'Mov 2023 hasta ahora '!$C$2:$D$314,2,FALSE),"NO")</f>
        <v>NO</v>
      </c>
      <c r="K3776">
        <v>6</v>
      </c>
      <c r="L3776" t="s">
        <v>836</v>
      </c>
      <c r="M3776">
        <v>24</v>
      </c>
      <c r="O3776" s="29" t="s">
        <v>8939</v>
      </c>
      <c r="P3776" s="25" t="s">
        <v>8940</v>
      </c>
      <c r="Q3776" s="25">
        <v>1433</v>
      </c>
      <c r="R3776" t="s">
        <v>436</v>
      </c>
    </row>
    <row r="3777" spans="1:18" hidden="1">
      <c r="A3777" s="23" t="s">
        <v>7506</v>
      </c>
      <c r="B3777" s="23" t="s">
        <v>7507</v>
      </c>
      <c r="C3777" s="23">
        <v>1559</v>
      </c>
      <c r="D3777" t="s">
        <v>436</v>
      </c>
      <c r="I3777" s="3" t="str">
        <f>+IFERROR(VLOOKUP(C3777,'Mov 2023 hasta ahora '!$C$2:$D$314,2,FALSE),"NO")</f>
        <v>NO</v>
      </c>
      <c r="K3777">
        <v>6</v>
      </c>
      <c r="L3777" t="s">
        <v>836</v>
      </c>
      <c r="M3777">
        <v>24</v>
      </c>
      <c r="O3777" s="29" t="s">
        <v>8941</v>
      </c>
      <c r="P3777" s="25" t="s">
        <v>8942</v>
      </c>
      <c r="Q3777" s="25">
        <v>1556</v>
      </c>
      <c r="R3777" t="s">
        <v>436</v>
      </c>
    </row>
    <row r="3778" spans="1:18" hidden="1">
      <c r="A3778" s="23" t="s">
        <v>7508</v>
      </c>
      <c r="B3778" s="23" t="s">
        <v>7509</v>
      </c>
      <c r="C3778" s="23">
        <v>1412</v>
      </c>
      <c r="D3778" t="s">
        <v>436</v>
      </c>
      <c r="I3778" s="3" t="str">
        <f>+IFERROR(VLOOKUP(C3778,'Mov 2023 hasta ahora '!$C$2:$D$314,2,FALSE),"NO")</f>
        <v>NO</v>
      </c>
      <c r="K3778">
        <v>6</v>
      </c>
      <c r="L3778" t="s">
        <v>836</v>
      </c>
      <c r="M3778">
        <v>24</v>
      </c>
      <c r="O3778" s="29" t="s">
        <v>9037</v>
      </c>
      <c r="P3778" s="25" t="s">
        <v>9038</v>
      </c>
      <c r="Q3778" s="25">
        <v>1402</v>
      </c>
      <c r="R3778" t="s">
        <v>436</v>
      </c>
    </row>
    <row r="3779" spans="1:18" hidden="1">
      <c r="A3779" t="s">
        <v>7510</v>
      </c>
      <c r="B3779" t="s">
        <v>7511</v>
      </c>
      <c r="I3779" s="3" t="str">
        <f>+IFERROR(VLOOKUP(C3779,'Mov 2023 hasta ahora '!$C$2:$D$314,2,FALSE),"NO")</f>
        <v>NO</v>
      </c>
      <c r="K3779">
        <v>4</v>
      </c>
      <c r="L3779" t="s">
        <v>836</v>
      </c>
      <c r="M3779">
        <v>14</v>
      </c>
    </row>
    <row r="3780" spans="1:18" hidden="1">
      <c r="A3780" t="s">
        <v>7512</v>
      </c>
      <c r="B3780" t="s">
        <v>7513</v>
      </c>
      <c r="I3780" s="3" t="str">
        <f>+IFERROR(VLOOKUP(C3780,'Mov 2023 hasta ahora '!$C$2:$D$314,2,FALSE),"NO")</f>
        <v>NO</v>
      </c>
      <c r="K3780">
        <v>5</v>
      </c>
      <c r="L3780" t="s">
        <v>836</v>
      </c>
      <c r="M3780">
        <v>18</v>
      </c>
    </row>
    <row r="3781" spans="1:18" s="13" customFormat="1" hidden="1">
      <c r="A3781" s="23" t="s">
        <v>7514</v>
      </c>
      <c r="B3781" s="23" t="s">
        <v>7515</v>
      </c>
      <c r="C3781" s="23">
        <v>2287</v>
      </c>
      <c r="D3781" s="13" t="s">
        <v>436</v>
      </c>
      <c r="G3781"/>
      <c r="I3781" s="14" t="str">
        <f>+IFERROR(VLOOKUP(C3781,'Mov 2023 hasta ahora '!$C$2:$D$314,2,FALSE),"NO")</f>
        <v>NO</v>
      </c>
      <c r="K3781">
        <v>6</v>
      </c>
      <c r="L3781" t="s">
        <v>836</v>
      </c>
      <c r="M3781">
        <v>24</v>
      </c>
      <c r="O3781" s="29" t="s">
        <v>8865</v>
      </c>
      <c r="P3781" s="25" t="s">
        <v>8866</v>
      </c>
      <c r="Q3781" s="25">
        <v>1522</v>
      </c>
      <c r="R3781" t="s">
        <v>436</v>
      </c>
    </row>
    <row r="3782" spans="1:18" hidden="1">
      <c r="A3782" s="23" t="s">
        <v>7516</v>
      </c>
      <c r="B3782" s="23" t="s">
        <v>7517</v>
      </c>
      <c r="C3782" s="23">
        <v>2289</v>
      </c>
      <c r="D3782" t="s">
        <v>436</v>
      </c>
      <c r="I3782" s="3" t="str">
        <f>+IFERROR(VLOOKUP(C3782,'Mov 2023 hasta ahora '!$C$2:$D$314,2,FALSE),"NO")</f>
        <v>NO</v>
      </c>
      <c r="K3782">
        <v>6</v>
      </c>
      <c r="L3782" t="s">
        <v>836</v>
      </c>
      <c r="M3782">
        <v>24</v>
      </c>
      <c r="O3782" s="29" t="s">
        <v>8855</v>
      </c>
      <c r="P3782" s="25" t="s">
        <v>8856</v>
      </c>
      <c r="Q3782" s="25">
        <v>1524</v>
      </c>
      <c r="R3782" t="s">
        <v>436</v>
      </c>
    </row>
    <row r="3783" spans="1:18" hidden="1">
      <c r="A3783" s="23" t="s">
        <v>7518</v>
      </c>
      <c r="B3783" s="23" t="s">
        <v>7519</v>
      </c>
      <c r="C3783" s="23">
        <v>2291</v>
      </c>
      <c r="D3783" t="s">
        <v>436</v>
      </c>
      <c r="I3783" s="3" t="str">
        <f>+IFERROR(VLOOKUP(C3783,'Mov 2023 hasta ahora '!$C$2:$D$314,2,FALSE),"NO")</f>
        <v>NO</v>
      </c>
      <c r="K3783">
        <v>6</v>
      </c>
      <c r="L3783" t="s">
        <v>836</v>
      </c>
      <c r="M3783">
        <v>24</v>
      </c>
      <c r="O3783" s="29" t="s">
        <v>8855</v>
      </c>
      <c r="P3783" s="25" t="s">
        <v>8856</v>
      </c>
      <c r="Q3783" s="25">
        <v>1524</v>
      </c>
      <c r="R3783" t="s">
        <v>436</v>
      </c>
    </row>
    <row r="3784" spans="1:18" s="13" customFormat="1" hidden="1">
      <c r="A3784" s="23" t="s">
        <v>7520</v>
      </c>
      <c r="B3784" s="23" t="s">
        <v>7521</v>
      </c>
      <c r="C3784" s="23">
        <v>2293</v>
      </c>
      <c r="D3784" s="13" t="s">
        <v>436</v>
      </c>
      <c r="G3784"/>
      <c r="I3784" s="14" t="str">
        <f>+IFERROR(VLOOKUP(C3784,'Mov 2023 hasta ahora '!$C$2:$D$314,2,FALSE),"NO")</f>
        <v>NO</v>
      </c>
      <c r="K3784">
        <v>6</v>
      </c>
      <c r="L3784" t="s">
        <v>836</v>
      </c>
      <c r="M3784">
        <v>24</v>
      </c>
      <c r="O3784" s="29" t="s">
        <v>8812</v>
      </c>
      <c r="P3784" s="25" t="s">
        <v>8813</v>
      </c>
      <c r="Q3784" s="25">
        <v>2625</v>
      </c>
      <c r="R3784" t="s">
        <v>436</v>
      </c>
    </row>
    <row r="3785" spans="1:18" s="13" customFormat="1" hidden="1">
      <c r="A3785" s="23" t="s">
        <v>7522</v>
      </c>
      <c r="B3785" s="23" t="s">
        <v>7523</v>
      </c>
      <c r="C3785" s="23">
        <v>2295</v>
      </c>
      <c r="D3785" s="13" t="s">
        <v>436</v>
      </c>
      <c r="G3785"/>
      <c r="I3785" s="14" t="str">
        <f>+IFERROR(VLOOKUP(C3785,'Mov 2023 hasta ahora '!$C$2:$D$314,2,FALSE),"NO")</f>
        <v>NO</v>
      </c>
      <c r="K3785">
        <v>6</v>
      </c>
      <c r="L3785" t="s">
        <v>836</v>
      </c>
      <c r="M3785">
        <v>24</v>
      </c>
      <c r="O3785" s="29" t="s">
        <v>8817</v>
      </c>
      <c r="P3785" s="25" t="s">
        <v>8818</v>
      </c>
      <c r="Q3785" s="25">
        <v>2295</v>
      </c>
      <c r="R3785" t="s">
        <v>436</v>
      </c>
    </row>
    <row r="3786" spans="1:18" hidden="1">
      <c r="A3786" s="23" t="s">
        <v>7524</v>
      </c>
      <c r="B3786" s="23" t="s">
        <v>7525</v>
      </c>
      <c r="C3786" s="23">
        <v>2297</v>
      </c>
      <c r="D3786" t="s">
        <v>436</v>
      </c>
      <c r="I3786" s="3" t="str">
        <f>+IFERROR(VLOOKUP(C3786,'Mov 2023 hasta ahora '!$C$2:$D$314,2,FALSE),"NO")</f>
        <v>NO</v>
      </c>
      <c r="K3786">
        <v>6</v>
      </c>
      <c r="L3786" t="s">
        <v>836</v>
      </c>
      <c r="M3786">
        <v>24</v>
      </c>
      <c r="O3786" s="29" t="s">
        <v>8939</v>
      </c>
      <c r="P3786" s="25" t="s">
        <v>8940</v>
      </c>
      <c r="Q3786" s="25">
        <v>1433</v>
      </c>
      <c r="R3786" t="s">
        <v>436</v>
      </c>
    </row>
    <row r="3787" spans="1:18" hidden="1">
      <c r="A3787" s="23" t="s">
        <v>7526</v>
      </c>
      <c r="B3787" s="23" t="s">
        <v>7527</v>
      </c>
      <c r="C3787" s="23">
        <v>2299</v>
      </c>
      <c r="D3787" t="s">
        <v>436</v>
      </c>
      <c r="I3787" s="3" t="str">
        <f>+IFERROR(VLOOKUP(C3787,'Mov 2023 hasta ahora '!$C$2:$D$314,2,FALSE),"NO")</f>
        <v>NO</v>
      </c>
      <c r="K3787">
        <v>6</v>
      </c>
      <c r="L3787" t="s">
        <v>836</v>
      </c>
      <c r="M3787">
        <v>24</v>
      </c>
      <c r="O3787" s="29" t="s">
        <v>8939</v>
      </c>
      <c r="P3787" s="25" t="s">
        <v>8940</v>
      </c>
      <c r="Q3787" s="25">
        <v>1433</v>
      </c>
      <c r="R3787" t="s">
        <v>436</v>
      </c>
    </row>
    <row r="3788" spans="1:18" hidden="1">
      <c r="A3788" s="23" t="s">
        <v>7528</v>
      </c>
      <c r="B3788" s="23" t="s">
        <v>7529</v>
      </c>
      <c r="C3788" s="23">
        <v>2301</v>
      </c>
      <c r="D3788" t="s">
        <v>436</v>
      </c>
      <c r="I3788" s="3" t="str">
        <f>+IFERROR(VLOOKUP(C3788,'Mov 2023 hasta ahora '!$C$2:$D$314,2,FALSE),"NO")</f>
        <v>NO</v>
      </c>
      <c r="K3788">
        <v>6</v>
      </c>
      <c r="L3788" t="s">
        <v>836</v>
      </c>
      <c r="M3788">
        <v>24</v>
      </c>
      <c r="O3788" s="29" t="s">
        <v>8939</v>
      </c>
      <c r="P3788" s="25" t="s">
        <v>8940</v>
      </c>
      <c r="Q3788" s="25">
        <v>1433</v>
      </c>
      <c r="R3788" t="s">
        <v>436</v>
      </c>
    </row>
    <row r="3789" spans="1:18" hidden="1">
      <c r="A3789" s="23" t="s">
        <v>7530</v>
      </c>
      <c r="B3789" s="23" t="s">
        <v>7531</v>
      </c>
      <c r="C3789" s="23">
        <v>2303</v>
      </c>
      <c r="D3789" t="s">
        <v>436</v>
      </c>
      <c r="I3789" s="3" t="str">
        <f>+IFERROR(VLOOKUP(C3789,'Mov 2023 hasta ahora '!$C$2:$D$314,2,FALSE),"NO")</f>
        <v>NO</v>
      </c>
      <c r="K3789">
        <v>6</v>
      </c>
      <c r="L3789" t="s">
        <v>836</v>
      </c>
      <c r="M3789">
        <v>24</v>
      </c>
      <c r="O3789" s="29" t="s">
        <v>8941</v>
      </c>
      <c r="P3789" s="25" t="s">
        <v>8942</v>
      </c>
      <c r="Q3789" s="25">
        <v>1556</v>
      </c>
      <c r="R3789" t="s">
        <v>436</v>
      </c>
    </row>
    <row r="3790" spans="1:18" hidden="1">
      <c r="A3790" s="23" t="s">
        <v>7532</v>
      </c>
      <c r="B3790" s="23" t="s">
        <v>7533</v>
      </c>
      <c r="C3790" s="23">
        <v>2305</v>
      </c>
      <c r="D3790" t="s">
        <v>436</v>
      </c>
      <c r="I3790" s="3" t="str">
        <f>+IFERROR(VLOOKUP(C3790,'Mov 2023 hasta ahora '!$C$2:$D$314,2,FALSE),"NO")</f>
        <v>NO</v>
      </c>
      <c r="K3790">
        <v>6</v>
      </c>
      <c r="L3790" t="s">
        <v>836</v>
      </c>
      <c r="M3790">
        <v>24</v>
      </c>
      <c r="O3790" s="29" t="s">
        <v>9027</v>
      </c>
      <c r="P3790" s="25" t="s">
        <v>9028</v>
      </c>
      <c r="Q3790" s="25">
        <v>1400</v>
      </c>
      <c r="R3790" t="s">
        <v>436</v>
      </c>
    </row>
    <row r="3791" spans="1:18" hidden="1">
      <c r="A3791" s="23" t="s">
        <v>7534</v>
      </c>
      <c r="B3791" s="23" t="s">
        <v>7535</v>
      </c>
      <c r="C3791" s="23">
        <v>2307</v>
      </c>
      <c r="D3791" t="s">
        <v>436</v>
      </c>
      <c r="I3791" s="3" t="str">
        <f>+IFERROR(VLOOKUP(C3791,'Mov 2023 hasta ahora '!$C$2:$D$314,2,FALSE),"NO")</f>
        <v>NO</v>
      </c>
      <c r="K3791">
        <v>6</v>
      </c>
      <c r="L3791" t="s">
        <v>836</v>
      </c>
      <c r="M3791">
        <v>24</v>
      </c>
      <c r="O3791" s="29" t="s">
        <v>9027</v>
      </c>
      <c r="P3791" s="25" t="s">
        <v>9028</v>
      </c>
      <c r="Q3791" s="25">
        <v>1400</v>
      </c>
      <c r="R3791" t="s">
        <v>436</v>
      </c>
    </row>
    <row r="3792" spans="1:18" hidden="1">
      <c r="A3792" s="23" t="s">
        <v>7536</v>
      </c>
      <c r="B3792" s="23" t="s">
        <v>7537</v>
      </c>
      <c r="C3792" s="23">
        <v>2316</v>
      </c>
      <c r="I3792" s="3" t="str">
        <f>+IFERROR(VLOOKUP(C3792,'Mov 2023 hasta ahora '!$C$2:$D$314,2,FALSE),"NO")</f>
        <v>NO</v>
      </c>
      <c r="K3792">
        <v>6</v>
      </c>
      <c r="L3792" t="s">
        <v>836</v>
      </c>
      <c r="M3792">
        <v>24</v>
      </c>
      <c r="O3792" s="29" t="s">
        <v>8950</v>
      </c>
      <c r="P3792" s="25" t="s">
        <v>8951</v>
      </c>
      <c r="Q3792" s="25">
        <v>1270</v>
      </c>
      <c r="R3792" t="s">
        <v>436</v>
      </c>
    </row>
    <row r="3793" spans="1:18" hidden="1">
      <c r="A3793" s="23" t="s">
        <v>7538</v>
      </c>
      <c r="B3793" s="23" t="s">
        <v>7539</v>
      </c>
      <c r="C3793" s="23">
        <v>2313</v>
      </c>
      <c r="I3793" s="3" t="str">
        <f>+IFERROR(VLOOKUP(C3793,'Mov 2023 hasta ahora '!$C$2:$D$314,2,FALSE),"NO")</f>
        <v>NO</v>
      </c>
      <c r="K3793">
        <v>6</v>
      </c>
      <c r="L3793" t="s">
        <v>836</v>
      </c>
      <c r="M3793">
        <v>24</v>
      </c>
      <c r="O3793" s="29" t="s">
        <v>8954</v>
      </c>
      <c r="P3793" s="25" t="s">
        <v>8955</v>
      </c>
      <c r="Q3793" s="25">
        <v>1239</v>
      </c>
      <c r="R3793" t="s">
        <v>436</v>
      </c>
    </row>
    <row r="3794" spans="1:18" hidden="1">
      <c r="A3794" s="23" t="s">
        <v>7540</v>
      </c>
      <c r="B3794" s="23" t="s">
        <v>7541</v>
      </c>
      <c r="C3794" s="23">
        <v>2309</v>
      </c>
      <c r="D3794" t="s">
        <v>436</v>
      </c>
      <c r="I3794" s="3" t="str">
        <f>+IFERROR(VLOOKUP(C3794,'Mov 2023 hasta ahora '!$C$2:$D$314,2,FALSE),"NO")</f>
        <v>NO</v>
      </c>
      <c r="K3794">
        <v>6</v>
      </c>
      <c r="L3794" t="s">
        <v>836</v>
      </c>
      <c r="M3794">
        <v>24</v>
      </c>
      <c r="O3794" s="29" t="s">
        <v>9037</v>
      </c>
      <c r="P3794" s="25" t="s">
        <v>9038</v>
      </c>
      <c r="Q3794" s="25">
        <v>1402</v>
      </c>
      <c r="R3794" t="s">
        <v>436</v>
      </c>
    </row>
    <row r="3795" spans="1:18" hidden="1">
      <c r="A3795" s="23" t="s">
        <v>7542</v>
      </c>
      <c r="B3795" s="23" t="s">
        <v>7543</v>
      </c>
      <c r="C3795" s="23">
        <v>2311</v>
      </c>
      <c r="D3795" t="s">
        <v>436</v>
      </c>
      <c r="I3795" s="3" t="str">
        <f>+IFERROR(VLOOKUP(C3795,'Mov 2023 hasta ahora '!$C$2:$D$314,2,FALSE),"NO")</f>
        <v>NO</v>
      </c>
      <c r="K3795">
        <v>6</v>
      </c>
      <c r="L3795" t="s">
        <v>836</v>
      </c>
      <c r="M3795">
        <v>24</v>
      </c>
      <c r="O3795" s="29" t="s">
        <v>9033</v>
      </c>
      <c r="P3795" s="25" t="s">
        <v>9034</v>
      </c>
      <c r="Q3795" s="25">
        <v>1274</v>
      </c>
      <c r="R3795" t="s">
        <v>436</v>
      </c>
    </row>
    <row r="3796" spans="1:18" hidden="1">
      <c r="A3796" t="s">
        <v>7544</v>
      </c>
      <c r="B3796" t="s">
        <v>2225</v>
      </c>
      <c r="I3796" s="3" t="str">
        <f>+IFERROR(VLOOKUP(C3796,'Mov 2023 hasta ahora '!$C$2:$D$314,2,FALSE),"NO")</f>
        <v>NO</v>
      </c>
      <c r="K3796">
        <v>3</v>
      </c>
      <c r="L3796" t="s">
        <v>836</v>
      </c>
      <c r="M3796">
        <v>10</v>
      </c>
    </row>
    <row r="3797" spans="1:18" hidden="1">
      <c r="A3797" t="s">
        <v>7545</v>
      </c>
      <c r="B3797" t="s">
        <v>7546</v>
      </c>
      <c r="I3797" s="3" t="str">
        <f>+IFERROR(VLOOKUP(C3797,'Mov 2023 hasta ahora '!$C$2:$D$314,2,FALSE),"NO")</f>
        <v>NO</v>
      </c>
      <c r="K3797">
        <v>4</v>
      </c>
      <c r="L3797" t="s">
        <v>836</v>
      </c>
      <c r="M3797">
        <v>14</v>
      </c>
    </row>
    <row r="3798" spans="1:18" hidden="1">
      <c r="A3798" t="s">
        <v>7547</v>
      </c>
      <c r="B3798" t="s">
        <v>7548</v>
      </c>
      <c r="I3798" s="3" t="str">
        <f>+IFERROR(VLOOKUP(C3798,'Mov 2023 hasta ahora '!$C$2:$D$314,2,FALSE),"NO")</f>
        <v>NO</v>
      </c>
      <c r="K3798">
        <v>5</v>
      </c>
      <c r="L3798" t="s">
        <v>836</v>
      </c>
      <c r="M3798">
        <v>18</v>
      </c>
    </row>
    <row r="3799" spans="1:18" hidden="1">
      <c r="A3799" s="23" t="s">
        <v>7549</v>
      </c>
      <c r="B3799" s="23" t="s">
        <v>7550</v>
      </c>
      <c r="C3799" s="23">
        <v>2563</v>
      </c>
      <c r="I3799" s="3" t="str">
        <f>+IFERROR(VLOOKUP(C3799,'Mov 2023 hasta ahora '!$C$2:$D$314,2,FALSE),"NO")</f>
        <v>NO</v>
      </c>
      <c r="K3799">
        <v>6</v>
      </c>
      <c r="L3799" t="s">
        <v>836</v>
      </c>
      <c r="M3799">
        <v>24</v>
      </c>
      <c r="O3799" s="29" t="s">
        <v>8941</v>
      </c>
      <c r="P3799" s="25" t="s">
        <v>8942</v>
      </c>
      <c r="Q3799" s="25">
        <v>1556</v>
      </c>
      <c r="R3799" t="s">
        <v>436</v>
      </c>
    </row>
    <row r="3800" spans="1:18" hidden="1">
      <c r="A3800" s="23" t="s">
        <v>7551</v>
      </c>
      <c r="B3800" s="23" t="s">
        <v>7552</v>
      </c>
      <c r="C3800" s="23">
        <v>2564</v>
      </c>
      <c r="I3800" s="3" t="str">
        <f>+IFERROR(VLOOKUP(C3800,'Mov 2023 hasta ahora '!$C$2:$D$314,2,FALSE),"NO")</f>
        <v>NO</v>
      </c>
      <c r="K3800">
        <v>6</v>
      </c>
      <c r="L3800" t="s">
        <v>836</v>
      </c>
      <c r="M3800">
        <v>24</v>
      </c>
      <c r="O3800" s="29" t="s">
        <v>8950</v>
      </c>
      <c r="P3800" s="25" t="s">
        <v>8951</v>
      </c>
      <c r="Q3800" s="25">
        <v>1270</v>
      </c>
      <c r="R3800" t="s">
        <v>436</v>
      </c>
    </row>
    <row r="3801" spans="1:18" hidden="1">
      <c r="A3801" s="23" t="s">
        <v>7553</v>
      </c>
      <c r="B3801" s="23" t="s">
        <v>7554</v>
      </c>
      <c r="C3801" s="23">
        <v>2565</v>
      </c>
      <c r="I3801" s="3" t="str">
        <f>+IFERROR(VLOOKUP(C3801,'Mov 2023 hasta ahora '!$C$2:$D$314,2,FALSE),"NO")</f>
        <v>NO</v>
      </c>
      <c r="K3801">
        <v>6</v>
      </c>
      <c r="L3801" t="s">
        <v>836</v>
      </c>
      <c r="M3801">
        <v>24</v>
      </c>
      <c r="O3801" s="29" t="s">
        <v>8954</v>
      </c>
      <c r="P3801" s="25" t="s">
        <v>8955</v>
      </c>
      <c r="Q3801" s="25">
        <v>1239</v>
      </c>
      <c r="R3801" t="s">
        <v>436</v>
      </c>
    </row>
    <row r="3802" spans="1:18" hidden="1">
      <c r="A3802" t="s">
        <v>7555</v>
      </c>
      <c r="B3802" t="s">
        <v>2235</v>
      </c>
      <c r="I3802" s="3" t="str">
        <f>+IFERROR(VLOOKUP(C3802,'Mov 2023 hasta ahora '!$C$2:$D$314,2,FALSE),"NO")</f>
        <v>NO</v>
      </c>
      <c r="K3802">
        <v>3</v>
      </c>
      <c r="L3802" t="s">
        <v>836</v>
      </c>
      <c r="M3802">
        <v>10</v>
      </c>
    </row>
    <row r="3803" spans="1:18" hidden="1">
      <c r="A3803" t="s">
        <v>7556</v>
      </c>
      <c r="B3803" t="s">
        <v>2237</v>
      </c>
      <c r="I3803" s="3" t="str">
        <f>+IFERROR(VLOOKUP(C3803,'Mov 2023 hasta ahora '!$C$2:$D$314,2,FALSE),"NO")</f>
        <v>NO</v>
      </c>
      <c r="K3803">
        <v>4</v>
      </c>
      <c r="L3803" t="s">
        <v>836</v>
      </c>
      <c r="M3803">
        <v>14</v>
      </c>
    </row>
    <row r="3804" spans="1:18" hidden="1">
      <c r="A3804" t="s">
        <v>7557</v>
      </c>
      <c r="B3804" t="s">
        <v>2239</v>
      </c>
      <c r="I3804" s="3" t="str">
        <f>+IFERROR(VLOOKUP(C3804,'Mov 2023 hasta ahora '!$C$2:$D$314,2,FALSE),"NO")</f>
        <v>NO</v>
      </c>
      <c r="K3804">
        <v>5</v>
      </c>
      <c r="L3804" t="s">
        <v>836</v>
      </c>
      <c r="M3804">
        <v>18</v>
      </c>
    </row>
    <row r="3805" spans="1:18" s="13" customFormat="1" hidden="1">
      <c r="A3805" s="23" t="s">
        <v>7558</v>
      </c>
      <c r="B3805" s="23" t="s">
        <v>7559</v>
      </c>
      <c r="C3805" s="23">
        <v>2949</v>
      </c>
      <c r="G3805"/>
      <c r="I3805" s="14" t="str">
        <f>+IFERROR(VLOOKUP(C3805,'Mov 2023 hasta ahora '!$C$2:$D$314,2,FALSE),"NO")</f>
        <v>NO</v>
      </c>
      <c r="K3805">
        <v>6</v>
      </c>
      <c r="L3805" t="s">
        <v>836</v>
      </c>
      <c r="M3805">
        <v>24</v>
      </c>
      <c r="O3805" s="29" t="s">
        <v>8865</v>
      </c>
      <c r="P3805" s="25" t="s">
        <v>8866</v>
      </c>
      <c r="Q3805" s="25">
        <v>1522</v>
      </c>
      <c r="R3805" t="s">
        <v>436</v>
      </c>
    </row>
    <row r="3806" spans="1:18" s="13" customFormat="1" hidden="1">
      <c r="A3806" s="23" t="s">
        <v>7560</v>
      </c>
      <c r="B3806" s="23" t="s">
        <v>7561</v>
      </c>
      <c r="C3806" s="23">
        <v>2950</v>
      </c>
      <c r="G3806"/>
      <c r="I3806" s="14" t="str">
        <f>+IFERROR(VLOOKUP(C3806,'Mov 2023 hasta ahora '!$C$2:$D$314,2,FALSE),"NO")</f>
        <v>NO</v>
      </c>
      <c r="K3806">
        <v>6</v>
      </c>
      <c r="L3806" t="s">
        <v>836</v>
      </c>
      <c r="M3806">
        <v>24</v>
      </c>
      <c r="O3806" s="29" t="s">
        <v>8855</v>
      </c>
      <c r="P3806" s="25" t="s">
        <v>8856</v>
      </c>
      <c r="Q3806" s="25">
        <v>1524</v>
      </c>
      <c r="R3806" t="s">
        <v>436</v>
      </c>
    </row>
    <row r="3807" spans="1:18" s="13" customFormat="1" hidden="1">
      <c r="A3807" s="23" t="s">
        <v>7562</v>
      </c>
      <c r="B3807" s="23" t="s">
        <v>7563</v>
      </c>
      <c r="C3807" s="23">
        <v>2951</v>
      </c>
      <c r="G3807"/>
      <c r="I3807" s="14" t="str">
        <f>+IFERROR(VLOOKUP(C3807,'Mov 2023 hasta ahora '!$C$2:$D$314,2,FALSE),"NO")</f>
        <v>NO</v>
      </c>
      <c r="K3807">
        <v>6</v>
      </c>
      <c r="L3807" t="s">
        <v>836</v>
      </c>
      <c r="M3807">
        <v>24</v>
      </c>
      <c r="O3807" s="29" t="s">
        <v>8855</v>
      </c>
      <c r="P3807" s="25" t="s">
        <v>8856</v>
      </c>
      <c r="Q3807" s="25">
        <v>1524</v>
      </c>
      <c r="R3807" t="s">
        <v>436</v>
      </c>
    </row>
    <row r="3808" spans="1:18" s="13" customFormat="1" hidden="1">
      <c r="A3808" s="23" t="s">
        <v>7564</v>
      </c>
      <c r="B3808" s="23" t="s">
        <v>7565</v>
      </c>
      <c r="C3808" s="23">
        <v>2952</v>
      </c>
      <c r="G3808"/>
      <c r="I3808" s="14" t="str">
        <f>+IFERROR(VLOOKUP(C3808,'Mov 2023 hasta ahora '!$C$2:$D$314,2,FALSE),"NO")</f>
        <v>NO</v>
      </c>
      <c r="K3808">
        <v>6</v>
      </c>
      <c r="L3808" t="s">
        <v>836</v>
      </c>
      <c r="M3808">
        <v>24</v>
      </c>
      <c r="O3808" s="29" t="s">
        <v>8812</v>
      </c>
      <c r="P3808" s="25" t="s">
        <v>8813</v>
      </c>
      <c r="Q3808" s="25">
        <v>2625</v>
      </c>
      <c r="R3808" t="s">
        <v>436</v>
      </c>
    </row>
    <row r="3809" spans="1:18" s="13" customFormat="1" hidden="1">
      <c r="A3809" s="23" t="s">
        <v>7566</v>
      </c>
      <c r="B3809" s="23" t="s">
        <v>7567</v>
      </c>
      <c r="C3809" s="23">
        <v>2953</v>
      </c>
      <c r="G3809"/>
      <c r="I3809" s="14" t="str">
        <f>+IFERROR(VLOOKUP(C3809,'Mov 2023 hasta ahora '!$C$2:$D$314,2,FALSE),"NO")</f>
        <v>NO</v>
      </c>
      <c r="K3809">
        <v>6</v>
      </c>
      <c r="L3809" t="s">
        <v>836</v>
      </c>
      <c r="M3809">
        <v>24</v>
      </c>
      <c r="O3809" s="29" t="s">
        <v>8817</v>
      </c>
      <c r="P3809" s="25" t="s">
        <v>8818</v>
      </c>
      <c r="Q3809" s="25">
        <v>2295</v>
      </c>
      <c r="R3809" t="s">
        <v>436</v>
      </c>
    </row>
    <row r="3810" spans="1:18" hidden="1">
      <c r="A3810" s="23" t="s">
        <v>7568</v>
      </c>
      <c r="B3810" s="23" t="s">
        <v>7569</v>
      </c>
      <c r="C3810" s="23">
        <v>2954</v>
      </c>
      <c r="I3810" s="3" t="str">
        <f>+IFERROR(VLOOKUP(C3810,'Mov 2023 hasta ahora '!$C$2:$D$314,2,FALSE),"NO")</f>
        <v>NO</v>
      </c>
      <c r="K3810">
        <v>6</v>
      </c>
      <c r="L3810" t="s">
        <v>836</v>
      </c>
      <c r="M3810">
        <v>24</v>
      </c>
      <c r="O3810" s="29" t="s">
        <v>8939</v>
      </c>
      <c r="P3810" s="25" t="s">
        <v>8940</v>
      </c>
      <c r="Q3810" s="25">
        <v>1433</v>
      </c>
      <c r="R3810" t="s">
        <v>436</v>
      </c>
    </row>
    <row r="3811" spans="1:18" hidden="1">
      <c r="A3811" s="23" t="s">
        <v>7570</v>
      </c>
      <c r="B3811" s="23" t="s">
        <v>7571</v>
      </c>
      <c r="C3811" s="23">
        <v>2955</v>
      </c>
      <c r="I3811" s="3" t="str">
        <f>+IFERROR(VLOOKUP(C3811,'Mov 2023 hasta ahora '!$C$2:$D$314,2,FALSE),"NO")</f>
        <v>NO</v>
      </c>
      <c r="K3811">
        <v>6</v>
      </c>
      <c r="L3811" t="s">
        <v>836</v>
      </c>
      <c r="M3811">
        <v>24</v>
      </c>
      <c r="O3811" s="29" t="s">
        <v>8939</v>
      </c>
      <c r="P3811" s="25" t="s">
        <v>8940</v>
      </c>
      <c r="Q3811" s="25">
        <v>1433</v>
      </c>
      <c r="R3811" t="s">
        <v>436</v>
      </c>
    </row>
    <row r="3812" spans="1:18" hidden="1">
      <c r="A3812" s="23" t="s">
        <v>7572</v>
      </c>
      <c r="B3812" s="23" t="s">
        <v>7573</v>
      </c>
      <c r="C3812" s="23">
        <v>2956</v>
      </c>
      <c r="I3812" s="3" t="str">
        <f>+IFERROR(VLOOKUP(C3812,'Mov 2023 hasta ahora '!$C$2:$D$314,2,FALSE),"NO")</f>
        <v>NO</v>
      </c>
      <c r="K3812">
        <v>6</v>
      </c>
      <c r="L3812" t="s">
        <v>836</v>
      </c>
      <c r="M3812">
        <v>24</v>
      </c>
      <c r="O3812" s="29" t="s">
        <v>8939</v>
      </c>
      <c r="P3812" s="25" t="s">
        <v>8940</v>
      </c>
      <c r="Q3812" s="25">
        <v>1433</v>
      </c>
      <c r="R3812" t="s">
        <v>436</v>
      </c>
    </row>
    <row r="3813" spans="1:18" hidden="1">
      <c r="A3813" s="23" t="s">
        <v>7574</v>
      </c>
      <c r="B3813" s="23" t="s">
        <v>7575</v>
      </c>
      <c r="C3813" s="23">
        <v>2957</v>
      </c>
      <c r="I3813" s="3" t="str">
        <f>+IFERROR(VLOOKUP(C3813,'Mov 2023 hasta ahora '!$C$2:$D$314,2,FALSE),"NO")</f>
        <v>NO</v>
      </c>
      <c r="K3813">
        <v>6</v>
      </c>
      <c r="L3813" t="s">
        <v>836</v>
      </c>
      <c r="M3813">
        <v>24</v>
      </c>
      <c r="O3813" s="29" t="s">
        <v>8941</v>
      </c>
      <c r="P3813" s="25" t="s">
        <v>8942</v>
      </c>
      <c r="Q3813" s="25">
        <v>1556</v>
      </c>
      <c r="R3813" t="s">
        <v>436</v>
      </c>
    </row>
    <row r="3814" spans="1:18" hidden="1">
      <c r="A3814" s="23" t="s">
        <v>7576</v>
      </c>
      <c r="B3814" s="23" t="s">
        <v>7577</v>
      </c>
      <c r="C3814" s="23">
        <v>2958</v>
      </c>
      <c r="I3814" s="3" t="str">
        <f>+IFERROR(VLOOKUP(C3814,'Mov 2023 hasta ahora '!$C$2:$D$314,2,FALSE),"NO")</f>
        <v>NO</v>
      </c>
      <c r="K3814">
        <v>6</v>
      </c>
      <c r="L3814" t="s">
        <v>836</v>
      </c>
      <c r="M3814">
        <v>24</v>
      </c>
      <c r="O3814" s="29" t="s">
        <v>9027</v>
      </c>
      <c r="P3814" s="25" t="s">
        <v>9028</v>
      </c>
      <c r="Q3814" s="25">
        <v>1400</v>
      </c>
      <c r="R3814" t="s">
        <v>436</v>
      </c>
    </row>
    <row r="3815" spans="1:18" hidden="1">
      <c r="A3815" s="23" t="s">
        <v>7578</v>
      </c>
      <c r="B3815" s="23" t="s">
        <v>7579</v>
      </c>
      <c r="C3815" s="23">
        <v>2959</v>
      </c>
      <c r="I3815" s="3" t="str">
        <f>+IFERROR(VLOOKUP(C3815,'Mov 2023 hasta ahora '!$C$2:$D$314,2,FALSE),"NO")</f>
        <v>NO</v>
      </c>
      <c r="K3815">
        <v>6</v>
      </c>
      <c r="L3815" t="s">
        <v>836</v>
      </c>
      <c r="M3815">
        <v>24</v>
      </c>
      <c r="O3815" s="29" t="s">
        <v>9027</v>
      </c>
      <c r="P3815" s="25" t="s">
        <v>9028</v>
      </c>
      <c r="Q3815" s="25">
        <v>1400</v>
      </c>
      <c r="R3815" t="s">
        <v>436</v>
      </c>
    </row>
    <row r="3816" spans="1:18" hidden="1">
      <c r="A3816" s="23" t="s">
        <v>7580</v>
      </c>
      <c r="B3816" s="23" t="s">
        <v>7581</v>
      </c>
      <c r="C3816" s="23">
        <v>2960</v>
      </c>
      <c r="I3816" s="3" t="str">
        <f>+IFERROR(VLOOKUP(C3816,'Mov 2023 hasta ahora '!$C$2:$D$314,2,FALSE),"NO")</f>
        <v>NO</v>
      </c>
      <c r="K3816">
        <v>6</v>
      </c>
      <c r="L3816" t="s">
        <v>836</v>
      </c>
      <c r="M3816">
        <v>24</v>
      </c>
      <c r="O3816" s="29" t="s">
        <v>9051</v>
      </c>
      <c r="P3816" s="25" t="s">
        <v>9052</v>
      </c>
      <c r="Q3816" s="25">
        <v>2960</v>
      </c>
      <c r="R3816" t="s">
        <v>436</v>
      </c>
    </row>
    <row r="3817" spans="1:18" hidden="1">
      <c r="A3817" s="23" t="s">
        <v>7582</v>
      </c>
      <c r="B3817" s="23" t="s">
        <v>7583</v>
      </c>
      <c r="C3817" s="23">
        <v>2961</v>
      </c>
      <c r="I3817" s="3" t="str">
        <f>+IFERROR(VLOOKUP(C3817,'Mov 2023 hasta ahora '!$C$2:$D$314,2,FALSE),"NO")</f>
        <v>NO</v>
      </c>
      <c r="K3817">
        <v>6</v>
      </c>
      <c r="L3817" t="s">
        <v>836</v>
      </c>
      <c r="M3817">
        <v>24</v>
      </c>
      <c r="O3817" s="29" t="s">
        <v>8950</v>
      </c>
      <c r="P3817" s="25" t="s">
        <v>8951</v>
      </c>
      <c r="Q3817" s="25">
        <v>1270</v>
      </c>
      <c r="R3817" t="s">
        <v>436</v>
      </c>
    </row>
    <row r="3818" spans="1:18" hidden="1">
      <c r="A3818" s="23" t="s">
        <v>7584</v>
      </c>
      <c r="B3818" s="23" t="s">
        <v>7585</v>
      </c>
      <c r="C3818" s="23">
        <v>2962</v>
      </c>
      <c r="I3818" s="3" t="str">
        <f>+IFERROR(VLOOKUP(C3818,'Mov 2023 hasta ahora '!$C$2:$D$314,2,FALSE),"NO")</f>
        <v>NO</v>
      </c>
      <c r="K3818">
        <v>6</v>
      </c>
      <c r="L3818" t="s">
        <v>836</v>
      </c>
      <c r="M3818">
        <v>24</v>
      </c>
      <c r="O3818" s="29" t="s">
        <v>8954</v>
      </c>
      <c r="P3818" s="25" t="s">
        <v>8955</v>
      </c>
      <c r="Q3818" s="25">
        <v>1239</v>
      </c>
      <c r="R3818" t="s">
        <v>436</v>
      </c>
    </row>
    <row r="3819" spans="1:18" hidden="1">
      <c r="A3819" s="23" t="s">
        <v>7586</v>
      </c>
      <c r="B3819" s="23" t="s">
        <v>7587</v>
      </c>
      <c r="C3819" s="23">
        <v>2963</v>
      </c>
      <c r="I3819" s="3" t="str">
        <f>+IFERROR(VLOOKUP(C3819,'Mov 2023 hasta ahora '!$C$2:$D$314,2,FALSE),"NO")</f>
        <v>NO</v>
      </c>
      <c r="K3819">
        <v>6</v>
      </c>
      <c r="L3819" t="s">
        <v>836</v>
      </c>
      <c r="M3819">
        <v>24</v>
      </c>
      <c r="O3819" s="29" t="s">
        <v>9037</v>
      </c>
      <c r="P3819" s="25" t="s">
        <v>9038</v>
      </c>
      <c r="Q3819" s="25">
        <v>1402</v>
      </c>
      <c r="R3819" t="s">
        <v>436</v>
      </c>
    </row>
    <row r="3820" spans="1:18" hidden="1">
      <c r="A3820" s="23" t="s">
        <v>7588</v>
      </c>
      <c r="B3820" s="23" t="s">
        <v>7589</v>
      </c>
      <c r="C3820" s="23">
        <v>2964</v>
      </c>
      <c r="I3820" s="3" t="str">
        <f>+IFERROR(VLOOKUP(C3820,'Mov 2023 hasta ahora '!$C$2:$D$314,2,FALSE),"NO")</f>
        <v>NO</v>
      </c>
      <c r="K3820">
        <v>6</v>
      </c>
      <c r="L3820" t="s">
        <v>836</v>
      </c>
      <c r="M3820">
        <v>24</v>
      </c>
      <c r="O3820" s="29" t="s">
        <v>9033</v>
      </c>
      <c r="P3820" s="25" t="s">
        <v>9034</v>
      </c>
      <c r="Q3820" s="25">
        <v>1274</v>
      </c>
      <c r="R3820" t="s">
        <v>436</v>
      </c>
    </row>
    <row r="3821" spans="1:18" hidden="1">
      <c r="A3821" t="s">
        <v>7590</v>
      </c>
      <c r="B3821" t="s">
        <v>7591</v>
      </c>
      <c r="I3821" s="3" t="str">
        <f>+IFERROR(VLOOKUP(C3821,'Mov 2023 hasta ahora '!$C$2:$D$314,2,FALSE),"NO")</f>
        <v>NO</v>
      </c>
      <c r="K3821">
        <v>3</v>
      </c>
      <c r="L3821" t="s">
        <v>836</v>
      </c>
      <c r="M3821">
        <v>10</v>
      </c>
    </row>
    <row r="3822" spans="1:18" hidden="1">
      <c r="A3822" t="s">
        <v>7592</v>
      </c>
      <c r="B3822" t="s">
        <v>7593</v>
      </c>
      <c r="I3822" s="3" t="str">
        <f>+IFERROR(VLOOKUP(C3822,'Mov 2023 hasta ahora '!$C$2:$D$314,2,FALSE),"NO")</f>
        <v>NO</v>
      </c>
      <c r="K3822">
        <v>4</v>
      </c>
      <c r="L3822" t="s">
        <v>836</v>
      </c>
      <c r="M3822">
        <v>14</v>
      </c>
    </row>
    <row r="3823" spans="1:18" hidden="1">
      <c r="A3823" t="s">
        <v>7594</v>
      </c>
      <c r="B3823" t="s">
        <v>7595</v>
      </c>
      <c r="I3823" s="3" t="str">
        <f>+IFERROR(VLOOKUP(C3823,'Mov 2023 hasta ahora '!$C$2:$D$314,2,FALSE),"NO")</f>
        <v>NO</v>
      </c>
      <c r="K3823">
        <v>5</v>
      </c>
      <c r="L3823" t="s">
        <v>836</v>
      </c>
      <c r="M3823">
        <v>18</v>
      </c>
    </row>
    <row r="3824" spans="1:18" hidden="1">
      <c r="A3824" s="23" t="s">
        <v>7596</v>
      </c>
      <c r="B3824" s="23" t="s">
        <v>7597</v>
      </c>
      <c r="C3824" s="23">
        <v>1978</v>
      </c>
      <c r="I3824" s="3" t="str">
        <f>+IFERROR(VLOOKUP(C3824,'Mov 2023 hasta ahora '!$C$2:$D$314,2,FALSE),"NO")</f>
        <v>NO</v>
      </c>
      <c r="K3824">
        <v>6</v>
      </c>
      <c r="L3824" t="s">
        <v>836</v>
      </c>
      <c r="M3824">
        <v>24</v>
      </c>
      <c r="O3824" s="29" t="s">
        <v>9174</v>
      </c>
      <c r="P3824" s="25" t="s">
        <v>9053</v>
      </c>
      <c r="Q3824" s="25">
        <v>1978</v>
      </c>
      <c r="R3824" t="s">
        <v>436</v>
      </c>
    </row>
    <row r="3825" spans="1:18" hidden="1">
      <c r="A3825" t="s">
        <v>7598</v>
      </c>
      <c r="B3825" t="s">
        <v>2287</v>
      </c>
      <c r="I3825" s="3" t="str">
        <f>+IFERROR(VLOOKUP(C3825,'Mov 2023 hasta ahora '!$C$2:$D$314,2,FALSE),"NO")</f>
        <v>NO</v>
      </c>
      <c r="K3825">
        <v>3</v>
      </c>
      <c r="L3825" t="s">
        <v>836</v>
      </c>
      <c r="M3825">
        <v>10</v>
      </c>
    </row>
    <row r="3826" spans="1:18" hidden="1">
      <c r="A3826" t="s">
        <v>7599</v>
      </c>
      <c r="B3826" t="s">
        <v>2289</v>
      </c>
      <c r="I3826" s="3" t="str">
        <f>+IFERROR(VLOOKUP(C3826,'Mov 2023 hasta ahora '!$C$2:$D$314,2,FALSE),"NO")</f>
        <v>NO</v>
      </c>
      <c r="K3826">
        <v>4</v>
      </c>
      <c r="L3826" t="s">
        <v>836</v>
      </c>
      <c r="M3826">
        <v>14</v>
      </c>
    </row>
    <row r="3827" spans="1:18" hidden="1">
      <c r="A3827" t="s">
        <v>7600</v>
      </c>
      <c r="B3827" t="s">
        <v>2291</v>
      </c>
      <c r="I3827" s="3" t="str">
        <f>+IFERROR(VLOOKUP(C3827,'Mov 2023 hasta ahora '!$C$2:$D$314,2,FALSE),"NO")</f>
        <v>NO</v>
      </c>
      <c r="K3827">
        <v>5</v>
      </c>
      <c r="L3827" t="s">
        <v>836</v>
      </c>
      <c r="M3827">
        <v>18</v>
      </c>
    </row>
    <row r="3828" spans="1:18" s="13" customFormat="1" hidden="1">
      <c r="A3828" s="23" t="s">
        <v>7601</v>
      </c>
      <c r="B3828" s="23" t="s">
        <v>7602</v>
      </c>
      <c r="C3828" s="23">
        <v>2921</v>
      </c>
      <c r="G3828"/>
      <c r="I3828" s="14" t="str">
        <f>+IFERROR(VLOOKUP(C3828,'Mov 2023 hasta ahora '!$C$2:$D$314,2,FALSE),"NO")</f>
        <v>NO</v>
      </c>
      <c r="K3828">
        <v>6</v>
      </c>
      <c r="L3828" t="s">
        <v>836</v>
      </c>
      <c r="M3828">
        <v>24</v>
      </c>
      <c r="O3828" s="29" t="s">
        <v>8865</v>
      </c>
      <c r="P3828" s="25" t="s">
        <v>8866</v>
      </c>
      <c r="Q3828" s="25">
        <v>1522</v>
      </c>
      <c r="R3828" t="s">
        <v>436</v>
      </c>
    </row>
    <row r="3829" spans="1:18" s="13" customFormat="1" hidden="1">
      <c r="A3829" s="23" t="s">
        <v>7603</v>
      </c>
      <c r="B3829" s="23" t="s">
        <v>7604</v>
      </c>
      <c r="C3829" s="23">
        <v>2922</v>
      </c>
      <c r="G3829"/>
      <c r="I3829" s="14" t="str">
        <f>+IFERROR(VLOOKUP(C3829,'Mov 2023 hasta ahora '!$C$2:$D$314,2,FALSE),"NO")</f>
        <v>NO</v>
      </c>
      <c r="K3829">
        <v>6</v>
      </c>
      <c r="L3829" t="s">
        <v>836</v>
      </c>
      <c r="M3829">
        <v>24</v>
      </c>
      <c r="O3829" s="29" t="s">
        <v>8855</v>
      </c>
      <c r="P3829" s="25" t="s">
        <v>8856</v>
      </c>
      <c r="Q3829" s="25">
        <v>1524</v>
      </c>
      <c r="R3829" t="s">
        <v>436</v>
      </c>
    </row>
    <row r="3830" spans="1:18" s="13" customFormat="1" hidden="1">
      <c r="A3830" s="23" t="s">
        <v>7605</v>
      </c>
      <c r="B3830" s="23" t="s">
        <v>7606</v>
      </c>
      <c r="C3830" s="23">
        <v>2923</v>
      </c>
      <c r="G3830"/>
      <c r="I3830" s="14" t="str">
        <f>+IFERROR(VLOOKUP(C3830,'Mov 2023 hasta ahora '!$C$2:$D$314,2,FALSE),"NO")</f>
        <v>NO</v>
      </c>
      <c r="K3830">
        <v>6</v>
      </c>
      <c r="L3830" t="s">
        <v>836</v>
      </c>
      <c r="M3830">
        <v>24</v>
      </c>
      <c r="O3830" s="29" t="s">
        <v>8855</v>
      </c>
      <c r="P3830" s="25" t="s">
        <v>8856</v>
      </c>
      <c r="Q3830" s="25">
        <v>1524</v>
      </c>
      <c r="R3830" t="s">
        <v>436</v>
      </c>
    </row>
    <row r="3831" spans="1:18" s="13" customFormat="1" hidden="1">
      <c r="A3831" s="23" t="s">
        <v>7607</v>
      </c>
      <c r="B3831" s="23" t="s">
        <v>7608</v>
      </c>
      <c r="C3831" s="23">
        <v>2924</v>
      </c>
      <c r="G3831"/>
      <c r="I3831" s="14" t="str">
        <f>+IFERROR(VLOOKUP(C3831,'Mov 2023 hasta ahora '!$C$2:$D$314,2,FALSE),"NO")</f>
        <v>NO</v>
      </c>
      <c r="K3831">
        <v>6</v>
      </c>
      <c r="L3831" t="s">
        <v>836</v>
      </c>
      <c r="M3831">
        <v>24</v>
      </c>
      <c r="O3831" s="29" t="s">
        <v>8812</v>
      </c>
      <c r="P3831" s="25" t="s">
        <v>8813</v>
      </c>
      <c r="Q3831" s="25">
        <v>2625</v>
      </c>
      <c r="R3831" t="s">
        <v>436</v>
      </c>
    </row>
    <row r="3832" spans="1:18" s="13" customFormat="1" hidden="1">
      <c r="A3832" s="23" t="s">
        <v>7609</v>
      </c>
      <c r="B3832" s="23" t="s">
        <v>7610</v>
      </c>
      <c r="C3832" s="23">
        <v>2925</v>
      </c>
      <c r="G3832"/>
      <c r="I3832" s="14" t="str">
        <f>+IFERROR(VLOOKUP(C3832,'Mov 2023 hasta ahora '!$C$2:$D$314,2,FALSE),"NO")</f>
        <v>NO</v>
      </c>
      <c r="K3832">
        <v>6</v>
      </c>
      <c r="L3832" t="s">
        <v>836</v>
      </c>
      <c r="M3832">
        <v>24</v>
      </c>
      <c r="O3832" s="29" t="s">
        <v>8817</v>
      </c>
      <c r="P3832" s="25" t="s">
        <v>8818</v>
      </c>
      <c r="Q3832" s="25">
        <v>2295</v>
      </c>
      <c r="R3832" t="s">
        <v>436</v>
      </c>
    </row>
    <row r="3833" spans="1:18" hidden="1">
      <c r="A3833" s="23" t="s">
        <v>7611</v>
      </c>
      <c r="B3833" s="23" t="s">
        <v>7612</v>
      </c>
      <c r="C3833" s="23">
        <v>2926</v>
      </c>
      <c r="I3833" s="3" t="str">
        <f>+IFERROR(VLOOKUP(C3833,'Mov 2023 hasta ahora '!$C$2:$D$314,2,FALSE),"NO")</f>
        <v>NO</v>
      </c>
      <c r="K3833">
        <v>6</v>
      </c>
      <c r="L3833" t="s">
        <v>836</v>
      </c>
      <c r="M3833">
        <v>24</v>
      </c>
      <c r="O3833" s="29" t="s">
        <v>8939</v>
      </c>
      <c r="P3833" s="25" t="s">
        <v>8940</v>
      </c>
      <c r="Q3833" s="25">
        <v>1433</v>
      </c>
      <c r="R3833" t="s">
        <v>436</v>
      </c>
    </row>
    <row r="3834" spans="1:18" hidden="1">
      <c r="A3834" s="23" t="s">
        <v>7613</v>
      </c>
      <c r="B3834" s="23" t="s">
        <v>7614</v>
      </c>
      <c r="C3834" s="23">
        <v>2931</v>
      </c>
      <c r="I3834" s="3" t="str">
        <f>+IFERROR(VLOOKUP(C3834,'Mov 2023 hasta ahora '!$C$2:$D$314,2,FALSE),"NO")</f>
        <v>NO</v>
      </c>
      <c r="K3834">
        <v>6</v>
      </c>
      <c r="L3834" t="s">
        <v>836</v>
      </c>
      <c r="M3834">
        <v>24</v>
      </c>
      <c r="O3834" s="29" t="s">
        <v>8939</v>
      </c>
      <c r="P3834" s="25" t="s">
        <v>8940</v>
      </c>
      <c r="Q3834" s="25">
        <v>1433</v>
      </c>
      <c r="R3834" t="s">
        <v>436</v>
      </c>
    </row>
    <row r="3835" spans="1:18" hidden="1">
      <c r="A3835" s="23" t="s">
        <v>7615</v>
      </c>
      <c r="B3835" s="23" t="s">
        <v>7616</v>
      </c>
      <c r="C3835" s="23">
        <v>2932</v>
      </c>
      <c r="I3835" s="3" t="str">
        <f>+IFERROR(VLOOKUP(C3835,'Mov 2023 hasta ahora '!$C$2:$D$314,2,FALSE),"NO")</f>
        <v>NO</v>
      </c>
      <c r="K3835">
        <v>6</v>
      </c>
      <c r="L3835" t="s">
        <v>836</v>
      </c>
      <c r="M3835">
        <v>24</v>
      </c>
      <c r="O3835" s="29" t="s">
        <v>8939</v>
      </c>
      <c r="P3835" s="25" t="s">
        <v>8940</v>
      </c>
      <c r="Q3835" s="25">
        <v>1433</v>
      </c>
      <c r="R3835" t="s">
        <v>436</v>
      </c>
    </row>
    <row r="3836" spans="1:18" hidden="1">
      <c r="A3836" s="23" t="s">
        <v>7617</v>
      </c>
      <c r="B3836" s="23" t="s">
        <v>7618</v>
      </c>
      <c r="C3836" s="23">
        <v>2933</v>
      </c>
      <c r="I3836" s="3" t="str">
        <f>+IFERROR(VLOOKUP(C3836,'Mov 2023 hasta ahora '!$C$2:$D$314,2,FALSE),"NO")</f>
        <v>NO</v>
      </c>
      <c r="K3836">
        <v>6</v>
      </c>
      <c r="L3836" t="s">
        <v>836</v>
      </c>
      <c r="M3836">
        <v>24</v>
      </c>
      <c r="O3836" s="29" t="s">
        <v>8941</v>
      </c>
      <c r="P3836" s="25" t="s">
        <v>8942</v>
      </c>
      <c r="Q3836" s="25">
        <v>1556</v>
      </c>
      <c r="R3836" t="s">
        <v>436</v>
      </c>
    </row>
    <row r="3837" spans="1:18" hidden="1">
      <c r="A3837" s="23" t="s">
        <v>7619</v>
      </c>
      <c r="B3837" s="23" t="s">
        <v>7620</v>
      </c>
      <c r="C3837" s="23">
        <v>2934</v>
      </c>
      <c r="I3837" s="3" t="str">
        <f>+IFERROR(VLOOKUP(C3837,'Mov 2023 hasta ahora '!$C$2:$D$314,2,FALSE),"NO")</f>
        <v>NO</v>
      </c>
      <c r="K3837">
        <v>6</v>
      </c>
      <c r="L3837" t="s">
        <v>836</v>
      </c>
      <c r="M3837">
        <v>24</v>
      </c>
      <c r="O3837" s="29" t="s">
        <v>9027</v>
      </c>
      <c r="P3837" s="25" t="s">
        <v>9028</v>
      </c>
      <c r="Q3837" s="25">
        <v>1400</v>
      </c>
      <c r="R3837" t="s">
        <v>436</v>
      </c>
    </row>
    <row r="3838" spans="1:18" hidden="1">
      <c r="A3838" s="23" t="s">
        <v>7621</v>
      </c>
      <c r="B3838" s="23" t="s">
        <v>7622</v>
      </c>
      <c r="C3838" s="23">
        <v>2935</v>
      </c>
      <c r="I3838" s="3" t="str">
        <f>+IFERROR(VLOOKUP(C3838,'Mov 2023 hasta ahora '!$C$2:$D$314,2,FALSE),"NO")</f>
        <v>NO</v>
      </c>
      <c r="K3838">
        <v>6</v>
      </c>
      <c r="L3838" t="s">
        <v>836</v>
      </c>
      <c r="M3838">
        <v>24</v>
      </c>
      <c r="O3838" s="29" t="s">
        <v>9027</v>
      </c>
      <c r="P3838" s="25" t="s">
        <v>9028</v>
      </c>
      <c r="Q3838" s="25">
        <v>1400</v>
      </c>
      <c r="R3838" t="s">
        <v>436</v>
      </c>
    </row>
    <row r="3839" spans="1:18" hidden="1">
      <c r="A3839" s="23" t="s">
        <v>7623</v>
      </c>
      <c r="B3839" s="23" t="s">
        <v>7624</v>
      </c>
      <c r="C3839" s="23">
        <v>2946</v>
      </c>
      <c r="I3839" s="3" t="str">
        <f>+IFERROR(VLOOKUP(C3839,'Mov 2023 hasta ahora '!$C$2:$D$314,2,FALSE),"NO")</f>
        <v>NO</v>
      </c>
      <c r="K3839">
        <v>6</v>
      </c>
      <c r="L3839" t="s">
        <v>836</v>
      </c>
      <c r="M3839">
        <v>24</v>
      </c>
      <c r="O3839" s="29" t="s">
        <v>9051</v>
      </c>
      <c r="P3839" s="25" t="s">
        <v>9052</v>
      </c>
      <c r="Q3839" s="25">
        <v>2960</v>
      </c>
      <c r="R3839" t="s">
        <v>436</v>
      </c>
    </row>
    <row r="3840" spans="1:18" hidden="1">
      <c r="A3840" s="23" t="s">
        <v>7625</v>
      </c>
      <c r="B3840" s="23" t="s">
        <v>7626</v>
      </c>
      <c r="C3840" s="23">
        <v>2930</v>
      </c>
      <c r="I3840" s="3" t="str">
        <f>+IFERROR(VLOOKUP(C3840,'Mov 2023 hasta ahora '!$C$2:$D$314,2,FALSE),"NO")</f>
        <v>NO</v>
      </c>
      <c r="K3840">
        <v>6</v>
      </c>
      <c r="L3840" t="s">
        <v>836</v>
      </c>
      <c r="M3840">
        <v>24</v>
      </c>
      <c r="O3840" s="29" t="s">
        <v>8950</v>
      </c>
      <c r="P3840" s="25" t="s">
        <v>8951</v>
      </c>
      <c r="Q3840" s="25">
        <v>1270</v>
      </c>
      <c r="R3840" t="s">
        <v>436</v>
      </c>
    </row>
    <row r="3841" spans="1:18" hidden="1">
      <c r="A3841" s="23" t="s">
        <v>7627</v>
      </c>
      <c r="B3841" s="23" t="s">
        <v>7628</v>
      </c>
      <c r="C3841" s="23">
        <v>2929</v>
      </c>
      <c r="I3841" s="3" t="str">
        <f>+IFERROR(VLOOKUP(C3841,'Mov 2023 hasta ahora '!$C$2:$D$314,2,FALSE),"NO")</f>
        <v>NO</v>
      </c>
      <c r="K3841">
        <v>6</v>
      </c>
      <c r="L3841" t="s">
        <v>836</v>
      </c>
      <c r="M3841">
        <v>24</v>
      </c>
      <c r="O3841" s="29" t="s">
        <v>8954</v>
      </c>
      <c r="P3841" s="25" t="s">
        <v>8955</v>
      </c>
      <c r="Q3841" s="25">
        <v>1239</v>
      </c>
      <c r="R3841" t="s">
        <v>436</v>
      </c>
    </row>
    <row r="3842" spans="1:18" hidden="1">
      <c r="A3842" s="23" t="s">
        <v>7629</v>
      </c>
      <c r="B3842" s="23" t="s">
        <v>7630</v>
      </c>
      <c r="C3842" s="23">
        <v>2928</v>
      </c>
      <c r="I3842" s="3" t="str">
        <f>+IFERROR(VLOOKUP(C3842,'Mov 2023 hasta ahora '!$C$2:$D$314,2,FALSE),"NO")</f>
        <v>NO</v>
      </c>
      <c r="K3842">
        <v>6</v>
      </c>
      <c r="L3842" t="s">
        <v>836</v>
      </c>
      <c r="M3842">
        <v>24</v>
      </c>
      <c r="O3842" s="29" t="s">
        <v>9037</v>
      </c>
      <c r="P3842" s="25" t="s">
        <v>9038</v>
      </c>
      <c r="Q3842" s="25">
        <v>1402</v>
      </c>
      <c r="R3842" t="s">
        <v>436</v>
      </c>
    </row>
    <row r="3843" spans="1:18" hidden="1">
      <c r="A3843" s="23" t="s">
        <v>7631</v>
      </c>
      <c r="B3843" s="23" t="s">
        <v>7632</v>
      </c>
      <c r="C3843" s="23">
        <v>2927</v>
      </c>
      <c r="I3843" s="3" t="str">
        <f>+IFERROR(VLOOKUP(C3843,'Mov 2023 hasta ahora '!$C$2:$D$314,2,FALSE),"NO")</f>
        <v>NO</v>
      </c>
      <c r="K3843">
        <v>6</v>
      </c>
      <c r="L3843" t="s">
        <v>836</v>
      </c>
      <c r="M3843">
        <v>24</v>
      </c>
      <c r="O3843" s="29" t="s">
        <v>9033</v>
      </c>
      <c r="P3843" s="25" t="s">
        <v>9034</v>
      </c>
      <c r="Q3843" s="25">
        <v>1274</v>
      </c>
      <c r="R3843" t="s">
        <v>436</v>
      </c>
    </row>
    <row r="3844" spans="1:18" hidden="1">
      <c r="A3844" t="s">
        <v>7633</v>
      </c>
      <c r="B3844" t="s">
        <v>2299</v>
      </c>
      <c r="I3844" s="3" t="str">
        <f>+IFERROR(VLOOKUP(C3844,'Mov 2023 hasta ahora '!$C$2:$D$314,2,FALSE),"NO")</f>
        <v>NO</v>
      </c>
      <c r="K3844">
        <v>3</v>
      </c>
      <c r="L3844" t="s">
        <v>836</v>
      </c>
      <c r="M3844">
        <v>10</v>
      </c>
    </row>
    <row r="3845" spans="1:18" hidden="1">
      <c r="A3845" t="s">
        <v>7634</v>
      </c>
      <c r="B3845" t="s">
        <v>7635</v>
      </c>
      <c r="I3845" s="3" t="str">
        <f>+IFERROR(VLOOKUP(C3845,'Mov 2023 hasta ahora '!$C$2:$D$314,2,FALSE),"NO")</f>
        <v>NO</v>
      </c>
      <c r="K3845">
        <v>4</v>
      </c>
      <c r="L3845" t="s">
        <v>836</v>
      </c>
      <c r="M3845">
        <v>14</v>
      </c>
    </row>
    <row r="3846" spans="1:18" hidden="1">
      <c r="A3846" t="s">
        <v>7636</v>
      </c>
      <c r="B3846" t="s">
        <v>7637</v>
      </c>
      <c r="I3846" s="3" t="str">
        <f>+IFERROR(VLOOKUP(C3846,'Mov 2023 hasta ahora '!$C$2:$D$314,2,FALSE),"NO")</f>
        <v>NO</v>
      </c>
      <c r="K3846">
        <v>5</v>
      </c>
      <c r="L3846" t="s">
        <v>836</v>
      </c>
      <c r="M3846">
        <v>18</v>
      </c>
    </row>
    <row r="3847" spans="1:18" hidden="1">
      <c r="A3847" s="23" t="s">
        <v>7638</v>
      </c>
      <c r="B3847" s="23" t="s">
        <v>7639</v>
      </c>
      <c r="C3847" s="23">
        <v>2623</v>
      </c>
      <c r="I3847" s="3" t="str">
        <f>+IFERROR(VLOOKUP(C3847,'Mov 2023 hasta ahora '!$C$2:$D$314,2,FALSE),"NO")</f>
        <v>NO</v>
      </c>
      <c r="K3847">
        <v>6</v>
      </c>
      <c r="L3847" t="s">
        <v>836</v>
      </c>
      <c r="M3847">
        <v>24</v>
      </c>
      <c r="O3847" s="29" t="s">
        <v>8901</v>
      </c>
      <c r="P3847" s="25" t="s">
        <v>8902</v>
      </c>
      <c r="Q3847" s="25">
        <v>1252</v>
      </c>
      <c r="R3847" t="s">
        <v>436</v>
      </c>
    </row>
    <row r="3848" spans="1:18" hidden="1">
      <c r="A3848" t="s">
        <v>7640</v>
      </c>
      <c r="B3848" t="s">
        <v>7641</v>
      </c>
      <c r="I3848" s="3" t="str">
        <f>+IFERROR(VLOOKUP(C3848,'Mov 2023 hasta ahora '!$C$2:$D$314,2,FALSE),"NO")</f>
        <v>NO</v>
      </c>
      <c r="K3848">
        <v>5</v>
      </c>
      <c r="L3848" t="s">
        <v>836</v>
      </c>
      <c r="M3848">
        <v>18</v>
      </c>
    </row>
    <row r="3849" spans="1:18" s="13" customFormat="1" hidden="1">
      <c r="A3849" s="23" t="s">
        <v>7642</v>
      </c>
      <c r="B3849" s="23" t="s">
        <v>7643</v>
      </c>
      <c r="C3849" s="23">
        <v>2625</v>
      </c>
      <c r="G3849"/>
      <c r="I3849" s="14">
        <f>+IFERROR(VLOOKUP(C3849,'Mov 2023 hasta ahora '!$C$2:$D$314,2,FALSE),"NO")</f>
        <v>61</v>
      </c>
      <c r="K3849">
        <v>6</v>
      </c>
      <c r="L3849" t="s">
        <v>836</v>
      </c>
      <c r="M3849">
        <v>24</v>
      </c>
      <c r="O3849" s="29" t="s">
        <v>8812</v>
      </c>
      <c r="P3849" s="25" t="s">
        <v>8813</v>
      </c>
      <c r="Q3849" s="25">
        <v>2625</v>
      </c>
      <c r="R3849" t="s">
        <v>436</v>
      </c>
    </row>
    <row r="3850" spans="1:18" s="13" customFormat="1" hidden="1">
      <c r="A3850" s="23" t="s">
        <v>7644</v>
      </c>
      <c r="B3850" s="23" t="s">
        <v>7645</v>
      </c>
      <c r="C3850" s="23">
        <v>2626</v>
      </c>
      <c r="G3850"/>
      <c r="I3850" s="14">
        <f>+IFERROR(VLOOKUP(C3850,'Mov 2023 hasta ahora '!$C$2:$D$314,2,FALSE),"NO")</f>
        <v>72</v>
      </c>
      <c r="K3850">
        <v>6</v>
      </c>
      <c r="L3850" t="s">
        <v>836</v>
      </c>
      <c r="M3850">
        <v>24</v>
      </c>
      <c r="O3850" s="29" t="s">
        <v>8817</v>
      </c>
      <c r="P3850" s="25" t="s">
        <v>8818</v>
      </c>
      <c r="Q3850" s="25">
        <v>2295</v>
      </c>
      <c r="R3850" t="s">
        <v>436</v>
      </c>
    </row>
    <row r="3851" spans="1:18" hidden="1">
      <c r="A3851" s="23" t="s">
        <v>7646</v>
      </c>
      <c r="B3851" s="23" t="s">
        <v>7647</v>
      </c>
      <c r="C3851" s="23">
        <v>2624</v>
      </c>
      <c r="I3851" s="3">
        <f>+IFERROR(VLOOKUP(C3851,'Mov 2023 hasta ahora '!$C$2:$D$314,2,FALSE),"NO")</f>
        <v>18</v>
      </c>
      <c r="K3851">
        <v>6</v>
      </c>
      <c r="L3851" t="s">
        <v>836</v>
      </c>
      <c r="M3851">
        <v>24</v>
      </c>
      <c r="O3851" s="29" t="s">
        <v>8941</v>
      </c>
      <c r="P3851" s="25" t="s">
        <v>8942</v>
      </c>
      <c r="Q3851" s="25">
        <v>1556</v>
      </c>
      <c r="R3851" t="s">
        <v>436</v>
      </c>
    </row>
    <row r="3852" spans="1:18" s="13" customFormat="1" hidden="1">
      <c r="A3852" s="23" t="s">
        <v>7648</v>
      </c>
      <c r="B3852" s="23" t="s">
        <v>7649</v>
      </c>
      <c r="C3852" s="23">
        <v>3803</v>
      </c>
      <c r="D3852" s="13" t="s">
        <v>436</v>
      </c>
      <c r="G3852"/>
      <c r="I3852" s="14">
        <f>+IFERROR(VLOOKUP(C3852,'Mov 2023 hasta ahora '!$C$2:$D$314,2,FALSE),"NO")</f>
        <v>21</v>
      </c>
      <c r="K3852">
        <v>6</v>
      </c>
      <c r="L3852" t="s">
        <v>836</v>
      </c>
      <c r="M3852">
        <v>24</v>
      </c>
      <c r="O3852" s="29" t="s">
        <v>8828</v>
      </c>
      <c r="P3852" s="25" t="s">
        <v>8829</v>
      </c>
      <c r="Q3852" s="25">
        <v>3803</v>
      </c>
      <c r="R3852" t="s">
        <v>436</v>
      </c>
    </row>
    <row r="3853" spans="1:18" s="13" customFormat="1" hidden="1">
      <c r="A3853" s="23" t="s">
        <v>7650</v>
      </c>
      <c r="B3853" s="23" t="s">
        <v>7651</v>
      </c>
      <c r="C3853" s="23">
        <v>3804</v>
      </c>
      <c r="D3853" s="13" t="s">
        <v>436</v>
      </c>
      <c r="G3853"/>
      <c r="I3853" s="14">
        <f>+IFERROR(VLOOKUP(C3853,'Mov 2023 hasta ahora '!$C$2:$D$314,2,FALSE),"NO")</f>
        <v>21</v>
      </c>
      <c r="K3853">
        <v>6</v>
      </c>
      <c r="L3853" t="s">
        <v>836</v>
      </c>
      <c r="M3853">
        <v>24</v>
      </c>
      <c r="O3853" s="29" t="s">
        <v>8838</v>
      </c>
      <c r="P3853" s="25" t="s">
        <v>8839</v>
      </c>
      <c r="Q3853" s="25">
        <v>3804</v>
      </c>
      <c r="R3853" t="s">
        <v>436</v>
      </c>
    </row>
    <row r="3854" spans="1:18" hidden="1">
      <c r="A3854">
        <v>5.4</v>
      </c>
      <c r="B3854" t="s">
        <v>2308</v>
      </c>
      <c r="I3854" s="3" t="str">
        <f>+IFERROR(VLOOKUP(C3854,'Mov 2023 hasta ahora '!$C$2:$D$314,2,FALSE),"NO")</f>
        <v>NO</v>
      </c>
      <c r="K3854">
        <v>2</v>
      </c>
      <c r="L3854" t="s">
        <v>836</v>
      </c>
      <c r="M3854">
        <v>3</v>
      </c>
    </row>
    <row r="3855" spans="1:18" hidden="1">
      <c r="A3855" t="s">
        <v>7652</v>
      </c>
      <c r="B3855" t="s">
        <v>2310</v>
      </c>
      <c r="I3855" s="3" t="str">
        <f>+IFERROR(VLOOKUP(C3855,'Mov 2023 hasta ahora '!$C$2:$D$314,2,FALSE),"NO")</f>
        <v>NO</v>
      </c>
      <c r="K3855">
        <v>3</v>
      </c>
      <c r="L3855" t="s">
        <v>836</v>
      </c>
      <c r="M3855">
        <v>10</v>
      </c>
    </row>
    <row r="3856" spans="1:18" hidden="1">
      <c r="A3856" t="s">
        <v>7653</v>
      </c>
      <c r="B3856" t="s">
        <v>7654</v>
      </c>
      <c r="I3856" s="3" t="str">
        <f>+IFERROR(VLOOKUP(C3856,'Mov 2023 hasta ahora '!$C$2:$D$314,2,FALSE),"NO")</f>
        <v>NO</v>
      </c>
      <c r="K3856">
        <v>4</v>
      </c>
      <c r="L3856" t="s">
        <v>836</v>
      </c>
      <c r="M3856">
        <v>14</v>
      </c>
    </row>
    <row r="3857" spans="1:18" hidden="1">
      <c r="A3857" t="s">
        <v>7655</v>
      </c>
      <c r="B3857" t="s">
        <v>7656</v>
      </c>
      <c r="I3857" s="3" t="str">
        <f>+IFERROR(VLOOKUP(C3857,'Mov 2023 hasta ahora '!$C$2:$D$314,2,FALSE),"NO")</f>
        <v>NO</v>
      </c>
      <c r="K3857">
        <v>5</v>
      </c>
      <c r="L3857" t="s">
        <v>836</v>
      </c>
      <c r="M3857">
        <v>18</v>
      </c>
    </row>
    <row r="3858" spans="1:18" hidden="1">
      <c r="A3858" s="23" t="s">
        <v>7657</v>
      </c>
      <c r="B3858" s="23" t="s">
        <v>7658</v>
      </c>
      <c r="C3858" s="23">
        <v>3447</v>
      </c>
      <c r="I3858" s="3" t="str">
        <f>+IFERROR(VLOOKUP(C3858,'Mov 2023 hasta ahora '!$C$2:$D$314,2,FALSE),"NO")</f>
        <v>NO</v>
      </c>
      <c r="K3858">
        <v>6</v>
      </c>
      <c r="L3858" t="s">
        <v>836</v>
      </c>
      <c r="M3858">
        <v>24</v>
      </c>
      <c r="O3858" s="29" t="s">
        <v>8691</v>
      </c>
      <c r="P3858" s="25" t="s">
        <v>8687</v>
      </c>
      <c r="Q3858" s="25">
        <v>1228</v>
      </c>
      <c r="R3858" t="s">
        <v>436</v>
      </c>
    </row>
    <row r="3859" spans="1:18" hidden="1">
      <c r="A3859" t="s">
        <v>7659</v>
      </c>
      <c r="B3859" t="s">
        <v>7660</v>
      </c>
      <c r="I3859" s="3" t="str">
        <f>+IFERROR(VLOOKUP(C3859,'Mov 2023 hasta ahora '!$C$2:$D$314,2,FALSE),"NO")</f>
        <v>NO</v>
      </c>
      <c r="K3859">
        <v>5</v>
      </c>
      <c r="L3859" t="s">
        <v>836</v>
      </c>
      <c r="M3859">
        <v>18</v>
      </c>
    </row>
    <row r="3860" spans="1:18" hidden="1">
      <c r="A3860" s="23" t="s">
        <v>7661</v>
      </c>
      <c r="B3860" s="23" t="s">
        <v>7662</v>
      </c>
      <c r="C3860" s="23">
        <v>3401</v>
      </c>
      <c r="I3860" s="3" t="str">
        <f>+IFERROR(VLOOKUP(C3860,'Mov 2023 hasta ahora '!$C$2:$D$314,2,FALSE),"NO")</f>
        <v>NO</v>
      </c>
      <c r="K3860">
        <v>6</v>
      </c>
      <c r="L3860" t="s">
        <v>836</v>
      </c>
      <c r="M3860">
        <v>24</v>
      </c>
      <c r="O3860" s="29" t="s">
        <v>8691</v>
      </c>
      <c r="P3860" s="25" t="s">
        <v>8687</v>
      </c>
      <c r="Q3860" s="25">
        <v>1228</v>
      </c>
      <c r="R3860" t="s">
        <v>436</v>
      </c>
    </row>
    <row r="3861" spans="1:18" hidden="1">
      <c r="A3861" s="23" t="s">
        <v>7663</v>
      </c>
      <c r="B3861" s="23" t="s">
        <v>7664</v>
      </c>
      <c r="C3861" s="23">
        <v>3402</v>
      </c>
      <c r="I3861" s="3" t="str">
        <f>+IFERROR(VLOOKUP(C3861,'Mov 2023 hasta ahora '!$C$2:$D$314,2,FALSE),"NO")</f>
        <v>NO</v>
      </c>
      <c r="K3861">
        <v>6</v>
      </c>
      <c r="L3861" t="s">
        <v>836</v>
      </c>
      <c r="M3861">
        <v>24</v>
      </c>
      <c r="O3861" s="29" t="s">
        <v>8691</v>
      </c>
      <c r="P3861" s="25" t="s">
        <v>8687</v>
      </c>
      <c r="Q3861" s="25">
        <v>1228</v>
      </c>
      <c r="R3861" t="s">
        <v>436</v>
      </c>
    </row>
    <row r="3862" spans="1:18" hidden="1">
      <c r="A3862" s="23" t="s">
        <v>7665</v>
      </c>
      <c r="B3862" s="23" t="s">
        <v>7666</v>
      </c>
      <c r="C3862" s="23">
        <v>3403</v>
      </c>
      <c r="I3862" s="3" t="str">
        <f>+IFERROR(VLOOKUP(C3862,'Mov 2023 hasta ahora '!$C$2:$D$314,2,FALSE),"NO")</f>
        <v>NO</v>
      </c>
      <c r="K3862">
        <v>6</v>
      </c>
      <c r="L3862" t="s">
        <v>836</v>
      </c>
      <c r="M3862">
        <v>24</v>
      </c>
      <c r="O3862" s="29" t="s">
        <v>8691</v>
      </c>
      <c r="P3862" s="25" t="s">
        <v>8687</v>
      </c>
      <c r="Q3862" s="25">
        <v>1228</v>
      </c>
      <c r="R3862" t="s">
        <v>436</v>
      </c>
    </row>
    <row r="3863" spans="1:18" hidden="1">
      <c r="A3863" s="23" t="s">
        <v>7667</v>
      </c>
      <c r="B3863" s="23" t="s">
        <v>7668</v>
      </c>
      <c r="C3863" s="23">
        <v>3404</v>
      </c>
      <c r="I3863" s="3" t="str">
        <f>+IFERROR(VLOOKUP(C3863,'Mov 2023 hasta ahora '!$C$2:$D$314,2,FALSE),"NO")</f>
        <v>NO</v>
      </c>
      <c r="K3863">
        <v>6</v>
      </c>
      <c r="L3863" t="s">
        <v>836</v>
      </c>
      <c r="M3863">
        <v>24</v>
      </c>
      <c r="O3863" s="29" t="s">
        <v>8691</v>
      </c>
      <c r="P3863" s="25" t="s">
        <v>8687</v>
      </c>
      <c r="Q3863" s="25">
        <v>1228</v>
      </c>
      <c r="R3863" t="s">
        <v>436</v>
      </c>
    </row>
    <row r="3864" spans="1:18" hidden="1">
      <c r="A3864" s="23" t="s">
        <v>7669</v>
      </c>
      <c r="B3864" s="23" t="s">
        <v>7670</v>
      </c>
      <c r="C3864" s="23">
        <v>3405</v>
      </c>
      <c r="I3864" s="3" t="str">
        <f>+IFERROR(VLOOKUP(C3864,'Mov 2023 hasta ahora '!$C$2:$D$314,2,FALSE),"NO")</f>
        <v>NO</v>
      </c>
      <c r="K3864">
        <v>6</v>
      </c>
      <c r="L3864" t="s">
        <v>836</v>
      </c>
      <c r="M3864">
        <v>24</v>
      </c>
      <c r="O3864" s="29" t="s">
        <v>8691</v>
      </c>
      <c r="P3864" s="25" t="s">
        <v>8687</v>
      </c>
      <c r="Q3864" s="25">
        <v>1228</v>
      </c>
      <c r="R3864" t="s">
        <v>436</v>
      </c>
    </row>
    <row r="3865" spans="1:18" hidden="1">
      <c r="A3865" t="s">
        <v>7671</v>
      </c>
      <c r="B3865" t="s">
        <v>7672</v>
      </c>
      <c r="I3865" s="3" t="str">
        <f>+IFERROR(VLOOKUP(C3865,'Mov 2023 hasta ahora '!$C$2:$D$314,2,FALSE),"NO")</f>
        <v>NO</v>
      </c>
      <c r="K3865">
        <v>5</v>
      </c>
      <c r="L3865" t="s">
        <v>836</v>
      </c>
      <c r="M3865">
        <v>18</v>
      </c>
    </row>
    <row r="3866" spans="1:18" s="13" customFormat="1" hidden="1">
      <c r="A3866" s="23" t="s">
        <v>7673</v>
      </c>
      <c r="B3866" s="23" t="s">
        <v>7674</v>
      </c>
      <c r="C3866" s="23">
        <v>3432</v>
      </c>
      <c r="G3866"/>
      <c r="I3866" s="14" t="str">
        <f>+IFERROR(VLOOKUP(C3866,'Mov 2023 hasta ahora '!$C$2:$D$314,2,FALSE),"NO")</f>
        <v>NO</v>
      </c>
      <c r="K3866">
        <v>6</v>
      </c>
      <c r="L3866" t="s">
        <v>836</v>
      </c>
      <c r="M3866">
        <v>24</v>
      </c>
      <c r="O3866" s="29" t="s">
        <v>8797</v>
      </c>
      <c r="P3866" s="25" t="s">
        <v>8801</v>
      </c>
      <c r="Q3866" s="25">
        <v>1421</v>
      </c>
      <c r="R3866" t="s">
        <v>436</v>
      </c>
    </row>
    <row r="3867" spans="1:18" s="13" customFormat="1" hidden="1">
      <c r="A3867" s="23" t="s">
        <v>7675</v>
      </c>
      <c r="B3867" s="23" t="s">
        <v>7676</v>
      </c>
      <c r="C3867" s="23">
        <v>3433</v>
      </c>
      <c r="G3867"/>
      <c r="I3867" s="14" t="str">
        <f>+IFERROR(VLOOKUP(C3867,'Mov 2023 hasta ahora '!$C$2:$D$314,2,FALSE),"NO")</f>
        <v>NO</v>
      </c>
      <c r="K3867">
        <v>6</v>
      </c>
      <c r="L3867" t="s">
        <v>836</v>
      </c>
      <c r="M3867">
        <v>24</v>
      </c>
      <c r="O3867" s="29" t="s">
        <v>8807</v>
      </c>
      <c r="P3867" s="25" t="s">
        <v>8811</v>
      </c>
      <c r="Q3867" s="25">
        <v>1422</v>
      </c>
      <c r="R3867" t="s">
        <v>436</v>
      </c>
    </row>
    <row r="3868" spans="1:18" hidden="1">
      <c r="A3868" s="23" t="s">
        <v>7677</v>
      </c>
      <c r="B3868" s="23" t="s">
        <v>7678</v>
      </c>
      <c r="C3868" s="23">
        <v>3375</v>
      </c>
      <c r="I3868" s="3" t="str">
        <f>+IFERROR(VLOOKUP(C3868,'Mov 2023 hasta ahora '!$C$2:$D$314,2,FALSE),"NO")</f>
        <v>NO</v>
      </c>
      <c r="K3868">
        <v>6</v>
      </c>
      <c r="L3868" t="s">
        <v>836</v>
      </c>
      <c r="M3868">
        <v>24</v>
      </c>
      <c r="O3868" s="29" t="s">
        <v>8691</v>
      </c>
      <c r="P3868" s="25" t="s">
        <v>8687</v>
      </c>
      <c r="Q3868" s="25">
        <v>1228</v>
      </c>
      <c r="R3868" t="s">
        <v>436</v>
      </c>
    </row>
    <row r="3869" spans="1:18" hidden="1">
      <c r="A3869" s="23" t="s">
        <v>7679</v>
      </c>
      <c r="B3869" s="23" t="s">
        <v>7680</v>
      </c>
      <c r="C3869" s="23">
        <v>3376</v>
      </c>
      <c r="I3869" s="3" t="str">
        <f>+IFERROR(VLOOKUP(C3869,'Mov 2023 hasta ahora '!$C$2:$D$314,2,FALSE),"NO")</f>
        <v>NO</v>
      </c>
      <c r="K3869">
        <v>6</v>
      </c>
      <c r="L3869" t="s">
        <v>836</v>
      </c>
      <c r="M3869">
        <v>24</v>
      </c>
      <c r="O3869" s="29" t="s">
        <v>8691</v>
      </c>
      <c r="P3869" s="25" t="s">
        <v>8687</v>
      </c>
      <c r="Q3869" s="25">
        <v>1228</v>
      </c>
      <c r="R3869" t="s">
        <v>436</v>
      </c>
    </row>
    <row r="3870" spans="1:18" hidden="1">
      <c r="A3870" s="23" t="s">
        <v>7681</v>
      </c>
      <c r="B3870" s="23" t="s">
        <v>7682</v>
      </c>
      <c r="C3870" s="23">
        <v>3377</v>
      </c>
      <c r="I3870" s="3" t="str">
        <f>+IFERROR(VLOOKUP(C3870,'Mov 2023 hasta ahora '!$C$2:$D$314,2,FALSE),"NO")</f>
        <v>NO</v>
      </c>
      <c r="K3870">
        <v>6</v>
      </c>
      <c r="L3870" t="s">
        <v>836</v>
      </c>
      <c r="M3870">
        <v>24</v>
      </c>
      <c r="O3870" s="29" t="s">
        <v>8691</v>
      </c>
      <c r="P3870" s="25" t="s">
        <v>8687</v>
      </c>
      <c r="Q3870" s="25">
        <v>1228</v>
      </c>
      <c r="R3870" t="s">
        <v>436</v>
      </c>
    </row>
    <row r="3871" spans="1:18" hidden="1">
      <c r="A3871" s="23" t="s">
        <v>7683</v>
      </c>
      <c r="B3871" s="23" t="s">
        <v>7684</v>
      </c>
      <c r="C3871" s="23">
        <v>3378</v>
      </c>
      <c r="I3871" s="3" t="str">
        <f>+IFERROR(VLOOKUP(C3871,'Mov 2023 hasta ahora '!$C$2:$D$314,2,FALSE),"NO")</f>
        <v>NO</v>
      </c>
      <c r="K3871">
        <v>6</v>
      </c>
      <c r="L3871" t="s">
        <v>836</v>
      </c>
      <c r="M3871">
        <v>24</v>
      </c>
      <c r="O3871" s="29" t="s">
        <v>8691</v>
      </c>
      <c r="P3871" s="25" t="s">
        <v>8687</v>
      </c>
      <c r="Q3871" s="25">
        <v>1228</v>
      </c>
      <c r="R3871" t="s">
        <v>436</v>
      </c>
    </row>
    <row r="3872" spans="1:18" hidden="1">
      <c r="A3872" s="23" t="s">
        <v>7685</v>
      </c>
      <c r="B3872" s="23" t="s">
        <v>7686</v>
      </c>
      <c r="C3872" s="23">
        <v>3379</v>
      </c>
      <c r="I3872" s="3" t="str">
        <f>+IFERROR(VLOOKUP(C3872,'Mov 2023 hasta ahora '!$C$2:$D$314,2,FALSE),"NO")</f>
        <v>NO</v>
      </c>
      <c r="K3872">
        <v>6</v>
      </c>
      <c r="L3872" t="s">
        <v>836</v>
      </c>
      <c r="M3872">
        <v>24</v>
      </c>
      <c r="O3872" s="29" t="s">
        <v>8691</v>
      </c>
      <c r="P3872" s="25" t="s">
        <v>8687</v>
      </c>
      <c r="Q3872" s="25">
        <v>1228</v>
      </c>
      <c r="R3872" t="s">
        <v>436</v>
      </c>
    </row>
    <row r="3873" spans="1:18" hidden="1">
      <c r="A3873" s="23" t="s">
        <v>7687</v>
      </c>
      <c r="B3873" s="23" t="s">
        <v>7688</v>
      </c>
      <c r="C3873" s="23">
        <v>3380</v>
      </c>
      <c r="I3873" s="3" t="str">
        <f>+IFERROR(VLOOKUP(C3873,'Mov 2023 hasta ahora '!$C$2:$D$314,2,FALSE),"NO")</f>
        <v>NO</v>
      </c>
      <c r="K3873">
        <v>6</v>
      </c>
      <c r="L3873" t="s">
        <v>836</v>
      </c>
      <c r="M3873">
        <v>24</v>
      </c>
      <c r="O3873" s="29" t="s">
        <v>8691</v>
      </c>
      <c r="P3873" s="25" t="s">
        <v>8687</v>
      </c>
      <c r="Q3873" s="25">
        <v>1228</v>
      </c>
      <c r="R3873" t="s">
        <v>436</v>
      </c>
    </row>
    <row r="3874" spans="1:18" hidden="1">
      <c r="A3874" s="23" t="s">
        <v>7689</v>
      </c>
      <c r="B3874" s="23" t="s">
        <v>7690</v>
      </c>
      <c r="C3874" s="23">
        <v>3381</v>
      </c>
      <c r="I3874" s="3" t="str">
        <f>+IFERROR(VLOOKUP(C3874,'Mov 2023 hasta ahora '!$C$2:$D$314,2,FALSE),"NO")</f>
        <v>NO</v>
      </c>
      <c r="K3874">
        <v>6</v>
      </c>
      <c r="L3874" t="s">
        <v>836</v>
      </c>
      <c r="M3874">
        <v>24</v>
      </c>
      <c r="O3874" s="29" t="s">
        <v>8691</v>
      </c>
      <c r="P3874" s="25" t="s">
        <v>8687</v>
      </c>
      <c r="Q3874" s="25">
        <v>1228</v>
      </c>
      <c r="R3874" t="s">
        <v>436</v>
      </c>
    </row>
    <row r="3875" spans="1:18" hidden="1">
      <c r="A3875" s="23" t="s">
        <v>7691</v>
      </c>
      <c r="B3875" s="23" t="s">
        <v>7692</v>
      </c>
      <c r="C3875" s="23">
        <v>3382</v>
      </c>
      <c r="I3875" s="3" t="str">
        <f>+IFERROR(VLOOKUP(C3875,'Mov 2023 hasta ahora '!$C$2:$D$314,2,FALSE),"NO")</f>
        <v>NO</v>
      </c>
      <c r="K3875">
        <v>6</v>
      </c>
      <c r="L3875" t="s">
        <v>836</v>
      </c>
      <c r="M3875">
        <v>24</v>
      </c>
      <c r="O3875" s="29" t="s">
        <v>8691</v>
      </c>
      <c r="P3875" s="25" t="s">
        <v>8687</v>
      </c>
      <c r="Q3875" s="25">
        <v>1228</v>
      </c>
      <c r="R3875" t="s">
        <v>436</v>
      </c>
    </row>
    <row r="3876" spans="1:18" hidden="1">
      <c r="A3876" s="23" t="s">
        <v>7693</v>
      </c>
      <c r="B3876" s="23" t="s">
        <v>7694</v>
      </c>
      <c r="C3876" s="23">
        <v>3383</v>
      </c>
      <c r="I3876" s="3" t="str">
        <f>+IFERROR(VLOOKUP(C3876,'Mov 2023 hasta ahora '!$C$2:$D$314,2,FALSE),"NO")</f>
        <v>NO</v>
      </c>
      <c r="K3876">
        <v>6</v>
      </c>
      <c r="L3876" t="s">
        <v>836</v>
      </c>
      <c r="M3876">
        <v>24</v>
      </c>
      <c r="O3876" s="29" t="s">
        <v>8691</v>
      </c>
      <c r="P3876" s="25" t="s">
        <v>8687</v>
      </c>
      <c r="Q3876" s="25">
        <v>1228</v>
      </c>
      <c r="R3876" t="s">
        <v>436</v>
      </c>
    </row>
    <row r="3877" spans="1:18" hidden="1">
      <c r="A3877" s="23" t="s">
        <v>7695</v>
      </c>
      <c r="B3877" s="23" t="s">
        <v>7696</v>
      </c>
      <c r="C3877" s="23">
        <v>3384</v>
      </c>
      <c r="I3877" s="3" t="str">
        <f>+IFERROR(VLOOKUP(C3877,'Mov 2023 hasta ahora '!$C$2:$D$314,2,FALSE),"NO")</f>
        <v>NO</v>
      </c>
      <c r="K3877">
        <v>6</v>
      </c>
      <c r="L3877" t="s">
        <v>836</v>
      </c>
      <c r="M3877">
        <v>24</v>
      </c>
      <c r="O3877" s="29" t="s">
        <v>8691</v>
      </c>
      <c r="P3877" s="25" t="s">
        <v>8687</v>
      </c>
      <c r="Q3877" s="25">
        <v>1228</v>
      </c>
      <c r="R3877" t="s">
        <v>436</v>
      </c>
    </row>
    <row r="3878" spans="1:18" hidden="1">
      <c r="A3878" s="23" t="s">
        <v>7697</v>
      </c>
      <c r="B3878" s="23" t="s">
        <v>7698</v>
      </c>
      <c r="C3878" s="23">
        <v>3385</v>
      </c>
      <c r="I3878" s="3" t="str">
        <f>+IFERROR(VLOOKUP(C3878,'Mov 2023 hasta ahora '!$C$2:$D$314,2,FALSE),"NO")</f>
        <v>NO</v>
      </c>
      <c r="K3878">
        <v>6</v>
      </c>
      <c r="L3878" t="s">
        <v>836</v>
      </c>
      <c r="M3878">
        <v>24</v>
      </c>
      <c r="O3878" s="29" t="s">
        <v>8691</v>
      </c>
      <c r="P3878" s="25" t="s">
        <v>8687</v>
      </c>
      <c r="Q3878" s="25">
        <v>1228</v>
      </c>
      <c r="R3878" t="s">
        <v>436</v>
      </c>
    </row>
    <row r="3879" spans="1:18" hidden="1">
      <c r="A3879" s="23" t="s">
        <v>7699</v>
      </c>
      <c r="B3879" s="23" t="s">
        <v>7700</v>
      </c>
      <c r="C3879" s="23">
        <v>3386</v>
      </c>
      <c r="I3879" s="3" t="str">
        <f>+IFERROR(VLOOKUP(C3879,'Mov 2023 hasta ahora '!$C$2:$D$314,2,FALSE),"NO")</f>
        <v>NO</v>
      </c>
      <c r="K3879">
        <v>6</v>
      </c>
      <c r="L3879" t="s">
        <v>836</v>
      </c>
      <c r="M3879">
        <v>24</v>
      </c>
      <c r="O3879" s="29" t="s">
        <v>8691</v>
      </c>
      <c r="P3879" s="25" t="s">
        <v>8687</v>
      </c>
      <c r="Q3879" s="25">
        <v>1228</v>
      </c>
      <c r="R3879" t="s">
        <v>436</v>
      </c>
    </row>
    <row r="3880" spans="1:18" hidden="1">
      <c r="A3880" s="23" t="s">
        <v>7701</v>
      </c>
      <c r="B3880" s="23" t="s">
        <v>7702</v>
      </c>
      <c r="C3880" s="23">
        <v>3387</v>
      </c>
      <c r="I3880" s="3" t="str">
        <f>+IFERROR(VLOOKUP(C3880,'Mov 2023 hasta ahora '!$C$2:$D$314,2,FALSE),"NO")</f>
        <v>NO</v>
      </c>
      <c r="K3880">
        <v>6</v>
      </c>
      <c r="L3880" t="s">
        <v>836</v>
      </c>
      <c r="M3880">
        <v>24</v>
      </c>
      <c r="O3880" s="29" t="s">
        <v>8691</v>
      </c>
      <c r="P3880" s="25" t="s">
        <v>8687</v>
      </c>
      <c r="Q3880" s="25">
        <v>1228</v>
      </c>
      <c r="R3880" t="s">
        <v>436</v>
      </c>
    </row>
    <row r="3881" spans="1:18" hidden="1">
      <c r="A3881" s="23" t="s">
        <v>7703</v>
      </c>
      <c r="B3881" s="23" t="s">
        <v>7704</v>
      </c>
      <c r="C3881" s="23">
        <v>3388</v>
      </c>
      <c r="I3881" s="3" t="str">
        <f>+IFERROR(VLOOKUP(C3881,'Mov 2023 hasta ahora '!$C$2:$D$314,2,FALSE),"NO")</f>
        <v>NO</v>
      </c>
      <c r="K3881">
        <v>6</v>
      </c>
      <c r="L3881" t="s">
        <v>836</v>
      </c>
      <c r="M3881">
        <v>24</v>
      </c>
      <c r="O3881" s="29" t="s">
        <v>8691</v>
      </c>
      <c r="P3881" s="25" t="s">
        <v>8687</v>
      </c>
      <c r="Q3881" s="25">
        <v>1228</v>
      </c>
      <c r="R3881" t="s">
        <v>436</v>
      </c>
    </row>
    <row r="3882" spans="1:18" hidden="1">
      <c r="A3882" s="23" t="s">
        <v>7705</v>
      </c>
      <c r="B3882" s="23" t="s">
        <v>7706</v>
      </c>
      <c r="C3882" s="23">
        <v>3389</v>
      </c>
      <c r="I3882" s="3" t="str">
        <f>+IFERROR(VLOOKUP(C3882,'Mov 2023 hasta ahora '!$C$2:$D$314,2,FALSE),"NO")</f>
        <v>NO</v>
      </c>
      <c r="K3882">
        <v>6</v>
      </c>
      <c r="L3882" t="s">
        <v>836</v>
      </c>
      <c r="M3882">
        <v>24</v>
      </c>
      <c r="O3882" s="29" t="s">
        <v>8691</v>
      </c>
      <c r="P3882" s="25" t="s">
        <v>8687</v>
      </c>
      <c r="Q3882" s="25">
        <v>1228</v>
      </c>
      <c r="R3882" t="s">
        <v>436</v>
      </c>
    </row>
    <row r="3883" spans="1:18" hidden="1">
      <c r="A3883" s="23" t="s">
        <v>7707</v>
      </c>
      <c r="B3883" s="23" t="s">
        <v>7708</v>
      </c>
      <c r="C3883" s="23">
        <v>3390</v>
      </c>
      <c r="I3883" s="3" t="str">
        <f>+IFERROR(VLOOKUP(C3883,'Mov 2023 hasta ahora '!$C$2:$D$314,2,FALSE),"NO")</f>
        <v>NO</v>
      </c>
      <c r="K3883">
        <v>6</v>
      </c>
      <c r="L3883" t="s">
        <v>836</v>
      </c>
      <c r="M3883">
        <v>24</v>
      </c>
      <c r="O3883" s="29" t="s">
        <v>8691</v>
      </c>
      <c r="P3883" s="25" t="s">
        <v>8687</v>
      </c>
      <c r="Q3883" s="25">
        <v>1228</v>
      </c>
      <c r="R3883" t="s">
        <v>436</v>
      </c>
    </row>
    <row r="3884" spans="1:18" hidden="1">
      <c r="A3884" s="23" t="s">
        <v>7709</v>
      </c>
      <c r="B3884" s="23" t="s">
        <v>7710</v>
      </c>
      <c r="C3884" s="23">
        <v>3391</v>
      </c>
      <c r="I3884" s="3" t="str">
        <f>+IFERROR(VLOOKUP(C3884,'Mov 2023 hasta ahora '!$C$2:$D$314,2,FALSE),"NO")</f>
        <v>NO</v>
      </c>
      <c r="K3884">
        <v>6</v>
      </c>
      <c r="L3884" t="s">
        <v>836</v>
      </c>
      <c r="M3884">
        <v>24</v>
      </c>
      <c r="O3884" s="29" t="s">
        <v>8691</v>
      </c>
      <c r="P3884" s="25" t="s">
        <v>8687</v>
      </c>
      <c r="Q3884" s="25">
        <v>1228</v>
      </c>
      <c r="R3884" t="s">
        <v>436</v>
      </c>
    </row>
    <row r="3885" spans="1:18" hidden="1">
      <c r="A3885" s="23" t="s">
        <v>7711</v>
      </c>
      <c r="B3885" s="23" t="s">
        <v>7712</v>
      </c>
      <c r="C3885" s="23">
        <v>3392</v>
      </c>
      <c r="I3885" s="3" t="str">
        <f>+IFERROR(VLOOKUP(C3885,'Mov 2023 hasta ahora '!$C$2:$D$314,2,FALSE),"NO")</f>
        <v>NO</v>
      </c>
      <c r="K3885">
        <v>6</v>
      </c>
      <c r="L3885" t="s">
        <v>836</v>
      </c>
      <c r="M3885">
        <v>24</v>
      </c>
      <c r="O3885" s="29" t="s">
        <v>8691</v>
      </c>
      <c r="P3885" s="25" t="s">
        <v>8687</v>
      </c>
      <c r="Q3885" s="25">
        <v>1228</v>
      </c>
      <c r="R3885" t="s">
        <v>436</v>
      </c>
    </row>
    <row r="3886" spans="1:18" hidden="1">
      <c r="A3886" s="23" t="s">
        <v>7713</v>
      </c>
      <c r="B3886" s="23" t="s">
        <v>7714</v>
      </c>
      <c r="C3886" s="23">
        <v>3393</v>
      </c>
      <c r="I3886" s="3" t="str">
        <f>+IFERROR(VLOOKUP(C3886,'Mov 2023 hasta ahora '!$C$2:$D$314,2,FALSE),"NO")</f>
        <v>NO</v>
      </c>
      <c r="K3886">
        <v>6</v>
      </c>
      <c r="L3886" t="s">
        <v>836</v>
      </c>
      <c r="M3886">
        <v>24</v>
      </c>
      <c r="O3886" s="29" t="s">
        <v>8691</v>
      </c>
      <c r="P3886" s="25" t="s">
        <v>8687</v>
      </c>
      <c r="Q3886" s="25">
        <v>1228</v>
      </c>
      <c r="R3886" t="s">
        <v>436</v>
      </c>
    </row>
    <row r="3887" spans="1:18" hidden="1">
      <c r="A3887" s="23" t="s">
        <v>7715</v>
      </c>
      <c r="B3887" s="23" t="s">
        <v>7716</v>
      </c>
      <c r="C3887" s="23">
        <v>3394</v>
      </c>
      <c r="I3887" s="3" t="str">
        <f>+IFERROR(VLOOKUP(C3887,'Mov 2023 hasta ahora '!$C$2:$D$314,2,FALSE),"NO")</f>
        <v>NO</v>
      </c>
      <c r="K3887">
        <v>6</v>
      </c>
      <c r="L3887" t="s">
        <v>836</v>
      </c>
      <c r="M3887">
        <v>24</v>
      </c>
      <c r="O3887" s="29" t="s">
        <v>8691</v>
      </c>
      <c r="P3887" s="25" t="s">
        <v>8687</v>
      </c>
      <c r="Q3887" s="25">
        <v>1228</v>
      </c>
      <c r="R3887" t="s">
        <v>436</v>
      </c>
    </row>
    <row r="3888" spans="1:18" hidden="1">
      <c r="A3888" s="23" t="s">
        <v>7717</v>
      </c>
      <c r="B3888" s="23" t="s">
        <v>7718</v>
      </c>
      <c r="C3888" s="23">
        <v>3395</v>
      </c>
      <c r="I3888" s="3" t="str">
        <f>+IFERROR(VLOOKUP(C3888,'Mov 2023 hasta ahora '!$C$2:$D$314,2,FALSE),"NO")</f>
        <v>NO</v>
      </c>
      <c r="K3888">
        <v>6</v>
      </c>
      <c r="L3888" t="s">
        <v>836</v>
      </c>
      <c r="M3888">
        <v>24</v>
      </c>
      <c r="O3888" s="29" t="s">
        <v>8691</v>
      </c>
      <c r="P3888" s="25" t="s">
        <v>8687</v>
      </c>
      <c r="Q3888" s="25">
        <v>1228</v>
      </c>
      <c r="R3888" t="s">
        <v>436</v>
      </c>
    </row>
    <row r="3889" spans="1:18" hidden="1">
      <c r="A3889" s="23" t="s">
        <v>7719</v>
      </c>
      <c r="B3889" s="23" t="s">
        <v>7720</v>
      </c>
      <c r="C3889" s="23">
        <v>3396</v>
      </c>
      <c r="I3889" s="3" t="str">
        <f>+IFERROR(VLOOKUP(C3889,'Mov 2023 hasta ahora '!$C$2:$D$314,2,FALSE),"NO")</f>
        <v>NO</v>
      </c>
      <c r="K3889">
        <v>6</v>
      </c>
      <c r="L3889" t="s">
        <v>836</v>
      </c>
      <c r="M3889">
        <v>24</v>
      </c>
      <c r="O3889" s="29" t="s">
        <v>8691</v>
      </c>
      <c r="P3889" s="25" t="s">
        <v>8687</v>
      </c>
      <c r="Q3889" s="25">
        <v>1228</v>
      </c>
      <c r="R3889" t="s">
        <v>436</v>
      </c>
    </row>
    <row r="3890" spans="1:18" hidden="1">
      <c r="A3890" s="23" t="s">
        <v>7721</v>
      </c>
      <c r="B3890" s="23" t="s">
        <v>7722</v>
      </c>
      <c r="C3890" s="23">
        <v>3397</v>
      </c>
      <c r="I3890" s="3" t="str">
        <f>+IFERROR(VLOOKUP(C3890,'Mov 2023 hasta ahora '!$C$2:$D$314,2,FALSE),"NO")</f>
        <v>NO</v>
      </c>
      <c r="K3890">
        <v>6</v>
      </c>
      <c r="L3890" t="s">
        <v>836</v>
      </c>
      <c r="M3890">
        <v>24</v>
      </c>
      <c r="O3890" s="29" t="s">
        <v>8691</v>
      </c>
      <c r="P3890" s="25" t="s">
        <v>8687</v>
      </c>
      <c r="Q3890" s="25">
        <v>1228</v>
      </c>
      <c r="R3890" t="s">
        <v>436</v>
      </c>
    </row>
    <row r="3891" spans="1:18" hidden="1">
      <c r="A3891" s="23" t="s">
        <v>7723</v>
      </c>
      <c r="B3891" s="23" t="s">
        <v>7724</v>
      </c>
      <c r="C3891" s="23">
        <v>3398</v>
      </c>
      <c r="I3891" s="3" t="str">
        <f>+IFERROR(VLOOKUP(C3891,'Mov 2023 hasta ahora '!$C$2:$D$314,2,FALSE),"NO")</f>
        <v>NO</v>
      </c>
      <c r="K3891">
        <v>6</v>
      </c>
      <c r="L3891" t="s">
        <v>836</v>
      </c>
      <c r="M3891">
        <v>24</v>
      </c>
      <c r="O3891" s="29" t="s">
        <v>8691</v>
      </c>
      <c r="P3891" s="25" t="s">
        <v>8687</v>
      </c>
      <c r="Q3891" s="25">
        <v>1228</v>
      </c>
      <c r="R3891" t="s">
        <v>436</v>
      </c>
    </row>
    <row r="3892" spans="1:18" hidden="1">
      <c r="A3892" s="23" t="s">
        <v>7725</v>
      </c>
      <c r="B3892" s="23" t="s">
        <v>7726</v>
      </c>
      <c r="C3892" s="23">
        <v>3399</v>
      </c>
      <c r="I3892" s="3" t="str">
        <f>+IFERROR(VLOOKUP(C3892,'Mov 2023 hasta ahora '!$C$2:$D$314,2,FALSE),"NO")</f>
        <v>NO</v>
      </c>
      <c r="K3892">
        <v>6</v>
      </c>
      <c r="L3892" t="s">
        <v>836</v>
      </c>
      <c r="M3892">
        <v>24</v>
      </c>
      <c r="O3892" s="29" t="s">
        <v>8691</v>
      </c>
      <c r="P3892" s="25" t="s">
        <v>8687</v>
      </c>
      <c r="Q3892" s="25">
        <v>1228</v>
      </c>
      <c r="R3892" t="s">
        <v>436</v>
      </c>
    </row>
    <row r="3893" spans="1:18" hidden="1">
      <c r="A3893" s="23" t="s">
        <v>7727</v>
      </c>
      <c r="B3893" s="23" t="s">
        <v>7728</v>
      </c>
      <c r="C3893" s="23">
        <v>3400</v>
      </c>
      <c r="I3893" s="3" t="str">
        <f>+IFERROR(VLOOKUP(C3893,'Mov 2023 hasta ahora '!$C$2:$D$314,2,FALSE),"NO")</f>
        <v>NO</v>
      </c>
      <c r="K3893">
        <v>6</v>
      </c>
      <c r="L3893" t="s">
        <v>836</v>
      </c>
      <c r="M3893">
        <v>24</v>
      </c>
      <c r="O3893" s="29" t="s">
        <v>8691</v>
      </c>
      <c r="P3893" s="25" t="s">
        <v>8687</v>
      </c>
      <c r="Q3893" s="25">
        <v>1228</v>
      </c>
      <c r="R3893" t="s">
        <v>436</v>
      </c>
    </row>
    <row r="3894" spans="1:18" hidden="1">
      <c r="A3894" t="s">
        <v>7729</v>
      </c>
      <c r="B3894" t="s">
        <v>7730</v>
      </c>
      <c r="I3894" s="3" t="str">
        <f>+IFERROR(VLOOKUP(C3894,'Mov 2023 hasta ahora '!$C$2:$D$314,2,FALSE),"NO")</f>
        <v>NO</v>
      </c>
      <c r="K3894">
        <v>5</v>
      </c>
      <c r="L3894" t="s">
        <v>836</v>
      </c>
      <c r="M3894">
        <v>18</v>
      </c>
    </row>
    <row r="3895" spans="1:18" hidden="1">
      <c r="A3895" s="23" t="s">
        <v>7731</v>
      </c>
      <c r="B3895" s="23" t="s">
        <v>7732</v>
      </c>
      <c r="C3895" s="23">
        <v>3406</v>
      </c>
      <c r="I3895" s="3" t="str">
        <f>+IFERROR(VLOOKUP(C3895,'Mov 2023 hasta ahora '!$C$2:$D$314,2,FALSE),"NO")</f>
        <v>NO</v>
      </c>
      <c r="K3895">
        <v>6</v>
      </c>
      <c r="L3895" t="s">
        <v>836</v>
      </c>
      <c r="M3895">
        <v>24</v>
      </c>
      <c r="O3895" s="29" t="s">
        <v>8691</v>
      </c>
      <c r="P3895" s="25" t="s">
        <v>8687</v>
      </c>
      <c r="Q3895" s="25">
        <v>1228</v>
      </c>
      <c r="R3895" t="s">
        <v>436</v>
      </c>
    </row>
    <row r="3896" spans="1:18" hidden="1">
      <c r="A3896" s="23" t="s">
        <v>7733</v>
      </c>
      <c r="B3896" s="23" t="s">
        <v>7734</v>
      </c>
      <c r="C3896" s="23">
        <v>3407</v>
      </c>
      <c r="I3896" s="3" t="str">
        <f>+IFERROR(VLOOKUP(C3896,'Mov 2023 hasta ahora '!$C$2:$D$314,2,FALSE),"NO")</f>
        <v>NO</v>
      </c>
      <c r="K3896">
        <v>6</v>
      </c>
      <c r="L3896" t="s">
        <v>836</v>
      </c>
      <c r="M3896">
        <v>24</v>
      </c>
      <c r="O3896" s="29" t="s">
        <v>8691</v>
      </c>
      <c r="P3896" s="25" t="s">
        <v>8687</v>
      </c>
      <c r="Q3896" s="25">
        <v>1228</v>
      </c>
      <c r="R3896" t="s">
        <v>436</v>
      </c>
    </row>
    <row r="3897" spans="1:18" hidden="1">
      <c r="A3897" s="23" t="s">
        <v>7735</v>
      </c>
      <c r="B3897" s="23" t="s">
        <v>7736</v>
      </c>
      <c r="C3897" s="23">
        <v>3408</v>
      </c>
      <c r="I3897" s="3" t="str">
        <f>+IFERROR(VLOOKUP(C3897,'Mov 2023 hasta ahora '!$C$2:$D$314,2,FALSE),"NO")</f>
        <v>NO</v>
      </c>
      <c r="K3897">
        <v>6</v>
      </c>
      <c r="L3897" t="s">
        <v>836</v>
      </c>
      <c r="M3897">
        <v>24</v>
      </c>
      <c r="O3897" s="29" t="s">
        <v>8691</v>
      </c>
      <c r="P3897" s="25" t="s">
        <v>8687</v>
      </c>
      <c r="Q3897" s="25">
        <v>1228</v>
      </c>
      <c r="R3897" t="s">
        <v>436</v>
      </c>
    </row>
    <row r="3898" spans="1:18" hidden="1">
      <c r="A3898" s="23" t="s">
        <v>7737</v>
      </c>
      <c r="B3898" s="23" t="s">
        <v>7738</v>
      </c>
      <c r="C3898" s="23">
        <v>3409</v>
      </c>
      <c r="I3898" s="3" t="str">
        <f>+IFERROR(VLOOKUP(C3898,'Mov 2023 hasta ahora '!$C$2:$D$314,2,FALSE),"NO")</f>
        <v>NO</v>
      </c>
      <c r="K3898">
        <v>6</v>
      </c>
      <c r="L3898" t="s">
        <v>836</v>
      </c>
      <c r="M3898">
        <v>24</v>
      </c>
      <c r="O3898" s="29" t="s">
        <v>8691</v>
      </c>
      <c r="P3898" s="25" t="s">
        <v>8687</v>
      </c>
      <c r="Q3898" s="25">
        <v>1228</v>
      </c>
      <c r="R3898" t="s">
        <v>436</v>
      </c>
    </row>
    <row r="3899" spans="1:18" hidden="1">
      <c r="A3899" s="23" t="s">
        <v>7739</v>
      </c>
      <c r="B3899" s="23" t="s">
        <v>7740</v>
      </c>
      <c r="C3899" s="23">
        <v>3410</v>
      </c>
      <c r="I3899" s="3" t="str">
        <f>+IFERROR(VLOOKUP(C3899,'Mov 2023 hasta ahora '!$C$2:$D$314,2,FALSE),"NO")</f>
        <v>NO</v>
      </c>
      <c r="K3899">
        <v>6</v>
      </c>
      <c r="L3899" t="s">
        <v>836</v>
      </c>
      <c r="M3899">
        <v>24</v>
      </c>
      <c r="O3899" s="29" t="s">
        <v>8691</v>
      </c>
      <c r="P3899" s="25" t="s">
        <v>8687</v>
      </c>
      <c r="Q3899" s="25">
        <v>1228</v>
      </c>
      <c r="R3899" t="s">
        <v>436</v>
      </c>
    </row>
    <row r="3900" spans="1:18" hidden="1">
      <c r="A3900" s="23" t="s">
        <v>7741</v>
      </c>
      <c r="B3900" s="23" t="s">
        <v>7742</v>
      </c>
      <c r="C3900" s="23">
        <v>3411</v>
      </c>
      <c r="I3900" s="3" t="str">
        <f>+IFERROR(VLOOKUP(C3900,'Mov 2023 hasta ahora '!$C$2:$D$314,2,FALSE),"NO")</f>
        <v>NO</v>
      </c>
      <c r="K3900">
        <v>6</v>
      </c>
      <c r="L3900" t="s">
        <v>836</v>
      </c>
      <c r="M3900">
        <v>24</v>
      </c>
      <c r="O3900" s="29" t="s">
        <v>8691</v>
      </c>
      <c r="P3900" s="25" t="s">
        <v>8687</v>
      </c>
      <c r="Q3900" s="25">
        <v>1228</v>
      </c>
      <c r="R3900" t="s">
        <v>436</v>
      </c>
    </row>
    <row r="3901" spans="1:18" hidden="1">
      <c r="A3901" t="s">
        <v>7743</v>
      </c>
      <c r="B3901" t="s">
        <v>7744</v>
      </c>
      <c r="I3901" s="3" t="str">
        <f>+IFERROR(VLOOKUP(C3901,'Mov 2023 hasta ahora '!$C$2:$D$314,2,FALSE),"NO")</f>
        <v>NO</v>
      </c>
      <c r="K3901">
        <v>5</v>
      </c>
      <c r="L3901" t="s">
        <v>836</v>
      </c>
      <c r="M3901">
        <v>18</v>
      </c>
    </row>
    <row r="3902" spans="1:18" hidden="1">
      <c r="A3902" s="23" t="s">
        <v>7745</v>
      </c>
      <c r="B3902" s="23" t="s">
        <v>7746</v>
      </c>
      <c r="C3902" s="23">
        <v>3412</v>
      </c>
      <c r="I3902" s="3" t="str">
        <f>+IFERROR(VLOOKUP(C3902,'Mov 2023 hasta ahora '!$C$2:$D$314,2,FALSE),"NO")</f>
        <v>NO</v>
      </c>
      <c r="K3902">
        <v>6</v>
      </c>
      <c r="L3902" t="s">
        <v>836</v>
      </c>
      <c r="M3902">
        <v>24</v>
      </c>
      <c r="O3902" s="29" t="s">
        <v>8691</v>
      </c>
      <c r="P3902" s="25" t="s">
        <v>8687</v>
      </c>
      <c r="Q3902" s="25">
        <v>1228</v>
      </c>
      <c r="R3902" t="s">
        <v>436</v>
      </c>
    </row>
    <row r="3903" spans="1:18" hidden="1">
      <c r="A3903" s="23" t="s">
        <v>7747</v>
      </c>
      <c r="B3903" s="23" t="s">
        <v>7748</v>
      </c>
      <c r="C3903" s="23">
        <v>3413</v>
      </c>
      <c r="I3903" s="3" t="str">
        <f>+IFERROR(VLOOKUP(C3903,'Mov 2023 hasta ahora '!$C$2:$D$314,2,FALSE),"NO")</f>
        <v>NO</v>
      </c>
      <c r="K3903">
        <v>6</v>
      </c>
      <c r="L3903" t="s">
        <v>836</v>
      </c>
      <c r="M3903">
        <v>24</v>
      </c>
      <c r="O3903" s="29" t="s">
        <v>8691</v>
      </c>
      <c r="P3903" s="25" t="s">
        <v>8687</v>
      </c>
      <c r="Q3903" s="25">
        <v>1228</v>
      </c>
      <c r="R3903" t="s">
        <v>436</v>
      </c>
    </row>
    <row r="3904" spans="1:18" hidden="1">
      <c r="A3904" s="23" t="s">
        <v>7749</v>
      </c>
      <c r="B3904" s="23" t="s">
        <v>7750</v>
      </c>
      <c r="C3904" s="23">
        <v>3414</v>
      </c>
      <c r="I3904" s="3" t="str">
        <f>+IFERROR(VLOOKUP(C3904,'Mov 2023 hasta ahora '!$C$2:$D$314,2,FALSE),"NO")</f>
        <v>NO</v>
      </c>
      <c r="K3904">
        <v>6</v>
      </c>
      <c r="L3904" t="s">
        <v>836</v>
      </c>
      <c r="M3904">
        <v>24</v>
      </c>
      <c r="O3904" s="29" t="s">
        <v>8691</v>
      </c>
      <c r="P3904" s="25" t="s">
        <v>8687</v>
      </c>
      <c r="Q3904" s="25">
        <v>1228</v>
      </c>
      <c r="R3904" t="s">
        <v>436</v>
      </c>
    </row>
    <row r="3905" spans="1:18" hidden="1">
      <c r="A3905" s="23" t="s">
        <v>7751</v>
      </c>
      <c r="B3905" s="23" t="s">
        <v>7752</v>
      </c>
      <c r="C3905" s="23">
        <v>3415</v>
      </c>
      <c r="I3905" s="3" t="str">
        <f>+IFERROR(VLOOKUP(C3905,'Mov 2023 hasta ahora '!$C$2:$D$314,2,FALSE),"NO")</f>
        <v>NO</v>
      </c>
      <c r="K3905">
        <v>6</v>
      </c>
      <c r="L3905" t="s">
        <v>836</v>
      </c>
      <c r="M3905">
        <v>24</v>
      </c>
      <c r="O3905" s="29" t="s">
        <v>8691</v>
      </c>
      <c r="P3905" s="25" t="s">
        <v>8687</v>
      </c>
      <c r="Q3905" s="25">
        <v>1228</v>
      </c>
      <c r="R3905" t="s">
        <v>436</v>
      </c>
    </row>
    <row r="3906" spans="1:18" hidden="1">
      <c r="A3906" s="23" t="s">
        <v>7753</v>
      </c>
      <c r="B3906" s="23" t="s">
        <v>7754</v>
      </c>
      <c r="C3906" s="23">
        <v>3416</v>
      </c>
      <c r="I3906" s="3" t="str">
        <f>+IFERROR(VLOOKUP(C3906,'Mov 2023 hasta ahora '!$C$2:$D$314,2,FALSE),"NO")</f>
        <v>NO</v>
      </c>
      <c r="K3906">
        <v>6</v>
      </c>
      <c r="L3906" t="s">
        <v>836</v>
      </c>
      <c r="M3906">
        <v>24</v>
      </c>
      <c r="O3906" s="29" t="s">
        <v>8691</v>
      </c>
      <c r="P3906" s="25" t="s">
        <v>8687</v>
      </c>
      <c r="Q3906" s="25">
        <v>1228</v>
      </c>
      <c r="R3906" t="s">
        <v>436</v>
      </c>
    </row>
    <row r="3907" spans="1:18" hidden="1">
      <c r="A3907" s="23" t="s">
        <v>7755</v>
      </c>
      <c r="B3907" s="23" t="s">
        <v>7756</v>
      </c>
      <c r="C3907" s="23">
        <v>3417</v>
      </c>
      <c r="I3907" s="3" t="str">
        <f>+IFERROR(VLOOKUP(C3907,'Mov 2023 hasta ahora '!$C$2:$D$314,2,FALSE),"NO")</f>
        <v>NO</v>
      </c>
      <c r="K3907">
        <v>6</v>
      </c>
      <c r="L3907" t="s">
        <v>836</v>
      </c>
      <c r="M3907">
        <v>24</v>
      </c>
      <c r="O3907" s="29" t="s">
        <v>8691</v>
      </c>
      <c r="P3907" s="25" t="s">
        <v>8687</v>
      </c>
      <c r="Q3907" s="25">
        <v>1228</v>
      </c>
      <c r="R3907" t="s">
        <v>436</v>
      </c>
    </row>
    <row r="3908" spans="1:18" hidden="1">
      <c r="A3908" s="23" t="s">
        <v>7757</v>
      </c>
      <c r="B3908" s="23" t="s">
        <v>7758</v>
      </c>
      <c r="C3908" s="23">
        <v>3418</v>
      </c>
      <c r="I3908" s="3" t="str">
        <f>+IFERROR(VLOOKUP(C3908,'Mov 2023 hasta ahora '!$C$2:$D$314,2,FALSE),"NO")</f>
        <v>NO</v>
      </c>
      <c r="K3908">
        <v>6</v>
      </c>
      <c r="L3908" t="s">
        <v>836</v>
      </c>
      <c r="M3908">
        <v>24</v>
      </c>
      <c r="O3908" s="29" t="s">
        <v>8691</v>
      </c>
      <c r="P3908" s="25" t="s">
        <v>8687</v>
      </c>
      <c r="Q3908" s="25">
        <v>1228</v>
      </c>
      <c r="R3908" t="s">
        <v>436</v>
      </c>
    </row>
    <row r="3909" spans="1:18" hidden="1">
      <c r="A3909" s="23" t="s">
        <v>7759</v>
      </c>
      <c r="B3909" s="23" t="s">
        <v>7760</v>
      </c>
      <c r="C3909" s="23">
        <v>3419</v>
      </c>
      <c r="I3909" s="3" t="str">
        <f>+IFERROR(VLOOKUP(C3909,'Mov 2023 hasta ahora '!$C$2:$D$314,2,FALSE),"NO")</f>
        <v>NO</v>
      </c>
      <c r="K3909">
        <v>6</v>
      </c>
      <c r="L3909" t="s">
        <v>836</v>
      </c>
      <c r="M3909">
        <v>24</v>
      </c>
      <c r="O3909" s="29" t="s">
        <v>8691</v>
      </c>
      <c r="P3909" s="25" t="s">
        <v>8687</v>
      </c>
      <c r="Q3909" s="25">
        <v>1228</v>
      </c>
      <c r="R3909" t="s">
        <v>436</v>
      </c>
    </row>
    <row r="3910" spans="1:18" hidden="1">
      <c r="A3910" t="s">
        <v>7761</v>
      </c>
      <c r="B3910" t="s">
        <v>7762</v>
      </c>
      <c r="I3910" s="3" t="str">
        <f>+IFERROR(VLOOKUP(C3910,'Mov 2023 hasta ahora '!$C$2:$D$314,2,FALSE),"NO")</f>
        <v>NO</v>
      </c>
      <c r="K3910">
        <v>5</v>
      </c>
      <c r="L3910" t="s">
        <v>836</v>
      </c>
      <c r="M3910">
        <v>18</v>
      </c>
    </row>
    <row r="3911" spans="1:18" hidden="1">
      <c r="A3911" s="23" t="s">
        <v>7763</v>
      </c>
      <c r="B3911" s="23" t="s">
        <v>7764</v>
      </c>
      <c r="C3911" s="23">
        <v>3421</v>
      </c>
      <c r="I3911" s="3" t="str">
        <f>+IFERROR(VLOOKUP(C3911,'Mov 2023 hasta ahora '!$C$2:$D$314,2,FALSE),"NO")</f>
        <v>NO</v>
      </c>
      <c r="K3911">
        <v>6</v>
      </c>
      <c r="L3911" t="s">
        <v>836</v>
      </c>
      <c r="M3911">
        <v>24</v>
      </c>
      <c r="O3911" s="29" t="s">
        <v>8691</v>
      </c>
      <c r="P3911" s="25" t="s">
        <v>8687</v>
      </c>
      <c r="Q3911" s="25">
        <v>1228</v>
      </c>
      <c r="R3911" t="s">
        <v>436</v>
      </c>
    </row>
    <row r="3912" spans="1:18" hidden="1">
      <c r="A3912" s="23" t="s">
        <v>7765</v>
      </c>
      <c r="B3912" s="23" t="s">
        <v>7766</v>
      </c>
      <c r="C3912" s="23">
        <v>3422</v>
      </c>
      <c r="I3912" s="3" t="str">
        <f>+IFERROR(VLOOKUP(C3912,'Mov 2023 hasta ahora '!$C$2:$D$314,2,FALSE),"NO")</f>
        <v>NO</v>
      </c>
      <c r="K3912">
        <v>6</v>
      </c>
      <c r="L3912" t="s">
        <v>836</v>
      </c>
      <c r="M3912">
        <v>24</v>
      </c>
      <c r="O3912" s="29" t="s">
        <v>8691</v>
      </c>
      <c r="P3912" s="25" t="s">
        <v>8687</v>
      </c>
      <c r="Q3912" s="25">
        <v>1228</v>
      </c>
      <c r="R3912" t="s">
        <v>436</v>
      </c>
    </row>
    <row r="3913" spans="1:18" hidden="1">
      <c r="A3913" s="23" t="s">
        <v>7767</v>
      </c>
      <c r="B3913" s="23" t="s">
        <v>7768</v>
      </c>
      <c r="C3913" s="23">
        <v>3420</v>
      </c>
      <c r="I3913" s="3" t="str">
        <f>+IFERROR(VLOOKUP(C3913,'Mov 2023 hasta ahora '!$C$2:$D$314,2,FALSE),"NO")</f>
        <v>NO</v>
      </c>
      <c r="K3913">
        <v>6</v>
      </c>
      <c r="L3913" t="s">
        <v>836</v>
      </c>
      <c r="M3913">
        <v>24</v>
      </c>
      <c r="O3913" s="29" t="s">
        <v>8691</v>
      </c>
      <c r="P3913" s="25" t="s">
        <v>8687</v>
      </c>
      <c r="Q3913" s="25">
        <v>1228</v>
      </c>
      <c r="R3913" t="s">
        <v>436</v>
      </c>
    </row>
    <row r="3914" spans="1:18" hidden="1">
      <c r="A3914" s="23" t="s">
        <v>7769</v>
      </c>
      <c r="B3914" s="23" t="s">
        <v>7770</v>
      </c>
      <c r="C3914" s="23">
        <v>3423</v>
      </c>
      <c r="I3914" s="3" t="str">
        <f>+IFERROR(VLOOKUP(C3914,'Mov 2023 hasta ahora '!$C$2:$D$314,2,FALSE),"NO")</f>
        <v>NO</v>
      </c>
      <c r="K3914">
        <v>6</v>
      </c>
      <c r="L3914" t="s">
        <v>836</v>
      </c>
      <c r="M3914">
        <v>24</v>
      </c>
      <c r="O3914" s="29" t="s">
        <v>8691</v>
      </c>
      <c r="P3914" s="25" t="s">
        <v>8687</v>
      </c>
      <c r="Q3914" s="25">
        <v>1228</v>
      </c>
      <c r="R3914" t="s">
        <v>436</v>
      </c>
    </row>
    <row r="3915" spans="1:18" hidden="1">
      <c r="A3915">
        <v>5.51</v>
      </c>
      <c r="B3915" t="s">
        <v>7771</v>
      </c>
      <c r="I3915" s="3" t="str">
        <f>+IFERROR(VLOOKUP(C3915,'Mov 2023 hasta ahora '!$C$2:$D$314,2,FALSE),"NO")</f>
        <v>NO</v>
      </c>
      <c r="K3915">
        <v>2</v>
      </c>
      <c r="L3915" t="s">
        <v>836</v>
      </c>
      <c r="M3915">
        <v>4</v>
      </c>
    </row>
    <row r="3916" spans="1:18" hidden="1">
      <c r="A3916" t="s">
        <v>7772</v>
      </c>
      <c r="B3916" t="s">
        <v>7773</v>
      </c>
      <c r="I3916" s="3" t="str">
        <f>+IFERROR(VLOOKUP(C3916,'Mov 2023 hasta ahora '!$C$2:$D$314,2,FALSE),"NO")</f>
        <v>NO</v>
      </c>
      <c r="K3916">
        <v>3</v>
      </c>
      <c r="L3916" t="s">
        <v>836</v>
      </c>
      <c r="M3916">
        <v>10</v>
      </c>
    </row>
    <row r="3917" spans="1:18" hidden="1">
      <c r="A3917" t="s">
        <v>7774</v>
      </c>
      <c r="B3917" t="s">
        <v>7775</v>
      </c>
      <c r="I3917" s="3" t="str">
        <f>+IFERROR(VLOOKUP(C3917,'Mov 2023 hasta ahora '!$C$2:$D$314,2,FALSE),"NO")</f>
        <v>NO</v>
      </c>
      <c r="K3917">
        <v>4</v>
      </c>
      <c r="L3917" t="s">
        <v>836</v>
      </c>
      <c r="M3917">
        <v>14</v>
      </c>
    </row>
    <row r="3918" spans="1:18" hidden="1">
      <c r="A3918" t="s">
        <v>7776</v>
      </c>
      <c r="B3918" t="s">
        <v>7777</v>
      </c>
      <c r="I3918" s="3" t="str">
        <f>+IFERROR(VLOOKUP(C3918,'Mov 2023 hasta ahora '!$C$2:$D$314,2,FALSE),"NO")</f>
        <v>NO</v>
      </c>
      <c r="K3918">
        <v>5</v>
      </c>
      <c r="L3918" t="s">
        <v>836</v>
      </c>
      <c r="M3918">
        <v>18</v>
      </c>
    </row>
    <row r="3919" spans="1:18" hidden="1">
      <c r="A3919" s="23" t="s">
        <v>7778</v>
      </c>
      <c r="B3919" s="23" t="s">
        <v>7779</v>
      </c>
      <c r="C3919" s="23">
        <v>2691</v>
      </c>
      <c r="I3919" s="3" t="str">
        <f>+IFERROR(VLOOKUP(C3919,'Mov 2023 hasta ahora '!$C$2:$D$314,2,FALSE),"NO")</f>
        <v>NO</v>
      </c>
      <c r="K3919">
        <v>6</v>
      </c>
      <c r="L3919" t="s">
        <v>836</v>
      </c>
      <c r="M3919">
        <v>24</v>
      </c>
      <c r="O3919" s="29" t="s">
        <v>8691</v>
      </c>
      <c r="P3919" s="25" t="s">
        <v>8687</v>
      </c>
      <c r="Q3919" s="25">
        <v>1228</v>
      </c>
      <c r="R3919" t="s">
        <v>436</v>
      </c>
    </row>
    <row r="3920" spans="1:18" hidden="1">
      <c r="A3920" t="s">
        <v>7780</v>
      </c>
      <c r="B3920" t="s">
        <v>7781</v>
      </c>
      <c r="I3920" s="3" t="str">
        <f>+IFERROR(VLOOKUP(C3920,'Mov 2023 hasta ahora '!$C$2:$D$314,2,FALSE),"NO")</f>
        <v>NO</v>
      </c>
      <c r="K3920">
        <v>3</v>
      </c>
      <c r="L3920" t="s">
        <v>836</v>
      </c>
      <c r="M3920">
        <v>10</v>
      </c>
    </row>
    <row r="3921" spans="1:18" hidden="1">
      <c r="A3921" t="s">
        <v>7782</v>
      </c>
      <c r="B3921" t="s">
        <v>7783</v>
      </c>
      <c r="I3921" s="3" t="str">
        <f>+IFERROR(VLOOKUP(C3921,'Mov 2023 hasta ahora '!$C$2:$D$314,2,FALSE),"NO")</f>
        <v>NO</v>
      </c>
      <c r="K3921">
        <v>4</v>
      </c>
      <c r="L3921" t="s">
        <v>836</v>
      </c>
      <c r="M3921">
        <v>14</v>
      </c>
    </row>
    <row r="3922" spans="1:18" hidden="1">
      <c r="A3922" t="s">
        <v>7784</v>
      </c>
      <c r="B3922" t="s">
        <v>7785</v>
      </c>
      <c r="I3922" s="3" t="str">
        <f>+IFERROR(VLOOKUP(C3922,'Mov 2023 hasta ahora '!$C$2:$D$314,2,FALSE),"NO")</f>
        <v>NO</v>
      </c>
      <c r="K3922">
        <v>5</v>
      </c>
      <c r="L3922" t="s">
        <v>836</v>
      </c>
      <c r="M3922">
        <v>18</v>
      </c>
    </row>
    <row r="3923" spans="1:18" hidden="1">
      <c r="A3923" s="23" t="s">
        <v>7786</v>
      </c>
      <c r="B3923" s="23" t="s">
        <v>7787</v>
      </c>
      <c r="C3923" s="23">
        <v>1951</v>
      </c>
      <c r="I3923" s="3" t="str">
        <f>+IFERROR(VLOOKUP(C3923,'Mov 2023 hasta ahora '!$C$2:$D$314,2,FALSE),"NO")</f>
        <v>NO</v>
      </c>
      <c r="K3923">
        <v>6</v>
      </c>
      <c r="L3923" t="s">
        <v>836</v>
      </c>
      <c r="M3923">
        <v>24</v>
      </c>
      <c r="O3923" s="29" t="s">
        <v>8691</v>
      </c>
      <c r="P3923" s="25" t="s">
        <v>8687</v>
      </c>
      <c r="Q3923" s="25">
        <v>1228</v>
      </c>
      <c r="R3923" t="s">
        <v>436</v>
      </c>
    </row>
    <row r="3924" spans="1:18" hidden="1">
      <c r="A3924" s="23" t="s">
        <v>7788</v>
      </c>
      <c r="B3924" s="23" t="s">
        <v>7789</v>
      </c>
      <c r="C3924" s="23">
        <v>1952</v>
      </c>
      <c r="I3924" s="3" t="str">
        <f>+IFERROR(VLOOKUP(C3924,'Mov 2023 hasta ahora '!$C$2:$D$314,2,FALSE),"NO")</f>
        <v>NO</v>
      </c>
      <c r="K3924">
        <v>6</v>
      </c>
      <c r="L3924" t="s">
        <v>836</v>
      </c>
      <c r="M3924">
        <v>24</v>
      </c>
      <c r="O3924" s="29" t="s">
        <v>8691</v>
      </c>
      <c r="P3924" s="25" t="s">
        <v>8687</v>
      </c>
      <c r="Q3924" s="25">
        <v>1228</v>
      </c>
      <c r="R3924" t="s">
        <v>436</v>
      </c>
    </row>
    <row r="3925" spans="1:18" hidden="1">
      <c r="A3925" s="23" t="s">
        <v>7790</v>
      </c>
      <c r="B3925" s="23" t="s">
        <v>7791</v>
      </c>
      <c r="C3925" s="23">
        <v>1953</v>
      </c>
      <c r="I3925" s="3" t="str">
        <f>+IFERROR(VLOOKUP(C3925,'Mov 2023 hasta ahora '!$C$2:$D$314,2,FALSE),"NO")</f>
        <v>NO</v>
      </c>
      <c r="K3925">
        <v>6</v>
      </c>
      <c r="L3925" t="s">
        <v>836</v>
      </c>
      <c r="M3925">
        <v>24</v>
      </c>
      <c r="O3925" s="29" t="s">
        <v>8691</v>
      </c>
      <c r="P3925" s="25" t="s">
        <v>8687</v>
      </c>
      <c r="Q3925" s="25">
        <v>1228</v>
      </c>
      <c r="R3925" t="s">
        <v>436</v>
      </c>
    </row>
    <row r="3926" spans="1:18" hidden="1">
      <c r="A3926" s="23" t="s">
        <v>7792</v>
      </c>
      <c r="B3926" s="23" t="s">
        <v>7793</v>
      </c>
      <c r="C3926" s="23">
        <v>1954</v>
      </c>
      <c r="I3926" s="3" t="str">
        <f>+IFERROR(VLOOKUP(C3926,'Mov 2023 hasta ahora '!$C$2:$D$314,2,FALSE),"NO")</f>
        <v>NO</v>
      </c>
      <c r="K3926">
        <v>6</v>
      </c>
      <c r="L3926" t="s">
        <v>836</v>
      </c>
      <c r="M3926">
        <v>24</v>
      </c>
      <c r="O3926" s="29" t="s">
        <v>8691</v>
      </c>
      <c r="P3926" s="25" t="s">
        <v>8687</v>
      </c>
      <c r="Q3926" s="25">
        <v>1228</v>
      </c>
      <c r="R3926" t="s">
        <v>436</v>
      </c>
    </row>
    <row r="3927" spans="1:18" hidden="1">
      <c r="A3927" s="23" t="s">
        <v>7794</v>
      </c>
      <c r="B3927" s="23" t="s">
        <v>7795</v>
      </c>
      <c r="C3927" s="23">
        <v>1955</v>
      </c>
      <c r="I3927" s="3" t="str">
        <f>+IFERROR(VLOOKUP(C3927,'Mov 2023 hasta ahora '!$C$2:$D$314,2,FALSE),"NO")</f>
        <v>NO</v>
      </c>
      <c r="K3927">
        <v>6</v>
      </c>
      <c r="L3927" t="s">
        <v>836</v>
      </c>
      <c r="M3927">
        <v>24</v>
      </c>
      <c r="O3927" s="29" t="s">
        <v>8691</v>
      </c>
      <c r="P3927" s="25" t="s">
        <v>8687</v>
      </c>
      <c r="Q3927" s="25">
        <v>1228</v>
      </c>
      <c r="R3927" t="s">
        <v>436</v>
      </c>
    </row>
    <row r="3928" spans="1:18" hidden="1">
      <c r="A3928" t="s">
        <v>7796</v>
      </c>
      <c r="B3928" t="s">
        <v>7797</v>
      </c>
      <c r="I3928" s="3" t="str">
        <f>+IFERROR(VLOOKUP(C3928,'Mov 2023 hasta ahora '!$C$2:$D$314,2,FALSE),"NO")</f>
        <v>NO</v>
      </c>
      <c r="K3928">
        <v>5</v>
      </c>
      <c r="L3928" t="s">
        <v>836</v>
      </c>
      <c r="M3928">
        <v>18</v>
      </c>
    </row>
    <row r="3929" spans="1:18" hidden="1">
      <c r="A3929" s="23" t="s">
        <v>7798</v>
      </c>
      <c r="B3929" s="23" t="s">
        <v>7799</v>
      </c>
      <c r="C3929" s="23">
        <v>1414</v>
      </c>
      <c r="D3929" t="s">
        <v>436</v>
      </c>
      <c r="I3929" s="3" t="str">
        <f>+IFERROR(VLOOKUP(C3929,'Mov 2023 hasta ahora '!$C$2:$D$314,2,FALSE),"NO")</f>
        <v>NO</v>
      </c>
      <c r="K3929">
        <v>6</v>
      </c>
      <c r="L3929" t="s">
        <v>836</v>
      </c>
      <c r="M3929">
        <v>24</v>
      </c>
      <c r="O3929" s="29" t="s">
        <v>8691</v>
      </c>
      <c r="P3929" s="25" t="s">
        <v>8687</v>
      </c>
      <c r="Q3929" s="25">
        <v>1228</v>
      </c>
      <c r="R3929" t="s">
        <v>436</v>
      </c>
    </row>
    <row r="3930" spans="1:18" hidden="1">
      <c r="A3930" s="23" t="s">
        <v>7800</v>
      </c>
      <c r="B3930" s="23" t="s">
        <v>7801</v>
      </c>
      <c r="C3930" s="23">
        <v>1894</v>
      </c>
      <c r="D3930" t="s">
        <v>436</v>
      </c>
      <c r="I3930" s="3" t="str">
        <f>+IFERROR(VLOOKUP(C3930,'Mov 2023 hasta ahora '!$C$2:$D$314,2,FALSE),"NO")</f>
        <v>NO</v>
      </c>
      <c r="K3930">
        <v>6</v>
      </c>
      <c r="L3930" t="s">
        <v>836</v>
      </c>
      <c r="M3930">
        <v>24</v>
      </c>
      <c r="O3930" s="29" t="s">
        <v>8691</v>
      </c>
      <c r="P3930" s="25" t="s">
        <v>8687</v>
      </c>
      <c r="Q3930" s="25">
        <v>1228</v>
      </c>
      <c r="R3930" t="s">
        <v>436</v>
      </c>
    </row>
    <row r="3931" spans="1:18" hidden="1">
      <c r="A3931" s="23" t="s">
        <v>7802</v>
      </c>
      <c r="B3931" s="23" t="s">
        <v>7803</v>
      </c>
      <c r="C3931" s="23">
        <v>1901</v>
      </c>
      <c r="I3931" s="3" t="str">
        <f>+IFERROR(VLOOKUP(C3931,'Mov 2023 hasta ahora '!$C$2:$D$314,2,FALSE),"NO")</f>
        <v>NO</v>
      </c>
      <c r="K3931">
        <v>6</v>
      </c>
      <c r="L3931" t="s">
        <v>836</v>
      </c>
      <c r="M3931">
        <v>24</v>
      </c>
      <c r="O3931" s="29" t="s">
        <v>8691</v>
      </c>
      <c r="P3931" s="25" t="s">
        <v>8687</v>
      </c>
      <c r="Q3931" s="25">
        <v>1228</v>
      </c>
      <c r="R3931" t="s">
        <v>436</v>
      </c>
    </row>
    <row r="3932" spans="1:18" hidden="1">
      <c r="A3932" s="23" t="s">
        <v>7804</v>
      </c>
      <c r="B3932" s="23" t="s">
        <v>7805</v>
      </c>
      <c r="C3932" s="23">
        <v>1909</v>
      </c>
      <c r="I3932" s="3" t="str">
        <f>+IFERROR(VLOOKUP(C3932,'Mov 2023 hasta ahora '!$C$2:$D$314,2,FALSE),"NO")</f>
        <v>NO</v>
      </c>
      <c r="K3932">
        <v>6</v>
      </c>
      <c r="L3932" t="s">
        <v>836</v>
      </c>
      <c r="M3932">
        <v>24</v>
      </c>
      <c r="O3932" s="29" t="s">
        <v>8691</v>
      </c>
      <c r="P3932" s="25" t="s">
        <v>8687</v>
      </c>
      <c r="Q3932" s="25">
        <v>1228</v>
      </c>
      <c r="R3932" t="s">
        <v>436</v>
      </c>
    </row>
    <row r="3933" spans="1:18" hidden="1">
      <c r="A3933" s="23" t="s">
        <v>7806</v>
      </c>
      <c r="B3933" s="23" t="s">
        <v>7807</v>
      </c>
      <c r="C3933" s="23">
        <v>1906</v>
      </c>
      <c r="I3933" s="3" t="str">
        <f>+IFERROR(VLOOKUP(C3933,'Mov 2023 hasta ahora '!$C$2:$D$314,2,FALSE),"NO")</f>
        <v>NO</v>
      </c>
      <c r="K3933">
        <v>6</v>
      </c>
      <c r="L3933" t="s">
        <v>836</v>
      </c>
      <c r="M3933">
        <v>24</v>
      </c>
      <c r="O3933" s="29" t="s">
        <v>8691</v>
      </c>
      <c r="P3933" s="25" t="s">
        <v>8687</v>
      </c>
      <c r="Q3933" s="25">
        <v>1228</v>
      </c>
      <c r="R3933" t="s">
        <v>436</v>
      </c>
    </row>
    <row r="3934" spans="1:18" hidden="1">
      <c r="A3934" s="23" t="s">
        <v>7808</v>
      </c>
      <c r="B3934" s="23" t="s">
        <v>7809</v>
      </c>
      <c r="C3934" s="23">
        <v>1902</v>
      </c>
      <c r="I3934" s="3" t="str">
        <f>+IFERROR(VLOOKUP(C3934,'Mov 2023 hasta ahora '!$C$2:$D$314,2,FALSE),"NO")</f>
        <v>NO</v>
      </c>
      <c r="K3934">
        <v>6</v>
      </c>
      <c r="L3934" t="s">
        <v>836</v>
      </c>
      <c r="M3934">
        <v>24</v>
      </c>
      <c r="O3934" s="29" t="s">
        <v>8691</v>
      </c>
      <c r="P3934" s="25" t="s">
        <v>8687</v>
      </c>
      <c r="Q3934" s="25">
        <v>1228</v>
      </c>
      <c r="R3934" t="s">
        <v>436</v>
      </c>
    </row>
    <row r="3935" spans="1:18" hidden="1">
      <c r="A3935" s="23" t="s">
        <v>7810</v>
      </c>
      <c r="B3935" s="23" t="s">
        <v>7811</v>
      </c>
      <c r="C3935" s="23">
        <v>1910</v>
      </c>
      <c r="I3935" s="3" t="str">
        <f>+IFERROR(VLOOKUP(C3935,'Mov 2023 hasta ahora '!$C$2:$D$314,2,FALSE),"NO")</f>
        <v>NO</v>
      </c>
      <c r="K3935">
        <v>6</v>
      </c>
      <c r="L3935" t="s">
        <v>836</v>
      </c>
      <c r="M3935">
        <v>24</v>
      </c>
      <c r="O3935" s="29" t="s">
        <v>8691</v>
      </c>
      <c r="P3935" s="25" t="s">
        <v>8687</v>
      </c>
      <c r="Q3935" s="25">
        <v>1228</v>
      </c>
      <c r="R3935" t="s">
        <v>436</v>
      </c>
    </row>
    <row r="3936" spans="1:18" hidden="1">
      <c r="A3936" s="23" t="s">
        <v>7812</v>
      </c>
      <c r="B3936" s="23" t="s">
        <v>7813</v>
      </c>
      <c r="C3936" s="23">
        <v>1893</v>
      </c>
      <c r="I3936" s="3" t="str">
        <f>+IFERROR(VLOOKUP(C3936,'Mov 2023 hasta ahora '!$C$2:$D$314,2,FALSE),"NO")</f>
        <v>NO</v>
      </c>
      <c r="K3936">
        <v>6</v>
      </c>
      <c r="L3936" t="s">
        <v>836</v>
      </c>
      <c r="M3936">
        <v>24</v>
      </c>
      <c r="O3936" s="29" t="s">
        <v>8691</v>
      </c>
      <c r="P3936" s="25" t="s">
        <v>8687</v>
      </c>
      <c r="Q3936" s="25">
        <v>1228</v>
      </c>
      <c r="R3936" t="s">
        <v>436</v>
      </c>
    </row>
    <row r="3937" spans="1:18" hidden="1">
      <c r="A3937" s="23" t="s">
        <v>7814</v>
      </c>
      <c r="B3937" s="23" t="s">
        <v>7815</v>
      </c>
      <c r="C3937" s="23">
        <v>1891</v>
      </c>
      <c r="I3937" s="3" t="str">
        <f>+IFERROR(VLOOKUP(C3937,'Mov 2023 hasta ahora '!$C$2:$D$314,2,FALSE),"NO")</f>
        <v>NO</v>
      </c>
      <c r="K3937">
        <v>6</v>
      </c>
      <c r="L3937" t="s">
        <v>836</v>
      </c>
      <c r="M3937">
        <v>24</v>
      </c>
      <c r="O3937" s="29" t="s">
        <v>8691</v>
      </c>
      <c r="P3937" s="25" t="s">
        <v>8687</v>
      </c>
      <c r="Q3937" s="25">
        <v>1228</v>
      </c>
      <c r="R3937" t="s">
        <v>436</v>
      </c>
    </row>
    <row r="3938" spans="1:18" hidden="1">
      <c r="A3938" s="23" t="s">
        <v>7816</v>
      </c>
      <c r="B3938" s="23" t="s">
        <v>7817</v>
      </c>
      <c r="C3938" s="23">
        <v>1892</v>
      </c>
      <c r="I3938" s="3" t="str">
        <f>+IFERROR(VLOOKUP(C3938,'Mov 2023 hasta ahora '!$C$2:$D$314,2,FALSE),"NO")</f>
        <v>NO</v>
      </c>
      <c r="K3938">
        <v>6</v>
      </c>
      <c r="L3938" t="s">
        <v>836</v>
      </c>
      <c r="M3938">
        <v>24</v>
      </c>
      <c r="O3938" s="29" t="s">
        <v>8691</v>
      </c>
      <c r="P3938" s="25" t="s">
        <v>8687</v>
      </c>
      <c r="Q3938" s="25">
        <v>1228</v>
      </c>
      <c r="R3938" t="s">
        <v>436</v>
      </c>
    </row>
    <row r="3939" spans="1:18" hidden="1">
      <c r="A3939" s="23" t="s">
        <v>7818</v>
      </c>
      <c r="B3939" s="23" t="s">
        <v>7819</v>
      </c>
      <c r="C3939" s="23">
        <v>1287</v>
      </c>
      <c r="D3939" t="s">
        <v>436</v>
      </c>
      <c r="I3939" s="3" t="str">
        <f>+IFERROR(VLOOKUP(C3939,'Mov 2023 hasta ahora '!$C$2:$D$314,2,FALSE),"NO")</f>
        <v>NO</v>
      </c>
      <c r="K3939">
        <v>6</v>
      </c>
      <c r="L3939" t="s">
        <v>836</v>
      </c>
      <c r="M3939">
        <v>24</v>
      </c>
      <c r="O3939" s="29" t="s">
        <v>8691</v>
      </c>
      <c r="P3939" s="25" t="s">
        <v>8687</v>
      </c>
      <c r="Q3939" s="25">
        <v>1228</v>
      </c>
      <c r="R3939" t="s">
        <v>436</v>
      </c>
    </row>
    <row r="3940" spans="1:18" hidden="1">
      <c r="A3940" s="23" t="s">
        <v>7820</v>
      </c>
      <c r="B3940" s="23" t="s">
        <v>7821</v>
      </c>
      <c r="C3940" s="23">
        <v>1288</v>
      </c>
      <c r="D3940" t="s">
        <v>436</v>
      </c>
      <c r="I3940" s="3" t="str">
        <f>+IFERROR(VLOOKUP(C3940,'Mov 2023 hasta ahora '!$C$2:$D$314,2,FALSE),"NO")</f>
        <v>NO</v>
      </c>
      <c r="K3940">
        <v>6</v>
      </c>
      <c r="L3940" t="s">
        <v>836</v>
      </c>
      <c r="M3940">
        <v>24</v>
      </c>
      <c r="O3940" s="29" t="s">
        <v>8691</v>
      </c>
      <c r="P3940" s="25" t="s">
        <v>8687</v>
      </c>
      <c r="Q3940" s="25">
        <v>1228</v>
      </c>
      <c r="R3940" t="s">
        <v>436</v>
      </c>
    </row>
    <row r="3941" spans="1:18" hidden="1">
      <c r="A3941" s="23" t="s">
        <v>7822</v>
      </c>
      <c r="B3941" s="23" t="s">
        <v>7823</v>
      </c>
      <c r="C3941" s="23">
        <v>1907</v>
      </c>
      <c r="I3941" s="3" t="str">
        <f>+IFERROR(VLOOKUP(C3941,'Mov 2023 hasta ahora '!$C$2:$D$314,2,FALSE),"NO")</f>
        <v>NO</v>
      </c>
      <c r="K3941">
        <v>6</v>
      </c>
      <c r="L3941" t="s">
        <v>836</v>
      </c>
      <c r="M3941">
        <v>24</v>
      </c>
      <c r="O3941" s="29" t="s">
        <v>8691</v>
      </c>
      <c r="P3941" s="25" t="s">
        <v>8687</v>
      </c>
      <c r="Q3941" s="25">
        <v>1228</v>
      </c>
      <c r="R3941" t="s">
        <v>436</v>
      </c>
    </row>
    <row r="3942" spans="1:18" s="13" customFormat="1" hidden="1">
      <c r="A3942" s="23" t="s">
        <v>7824</v>
      </c>
      <c r="B3942" s="23" t="s">
        <v>7825</v>
      </c>
      <c r="C3942" s="23">
        <v>1289</v>
      </c>
      <c r="D3942" s="13" t="s">
        <v>436</v>
      </c>
      <c r="G3942"/>
      <c r="I3942" s="14" t="str">
        <f>+IFERROR(VLOOKUP(C3942,'Mov 2023 hasta ahora '!$C$2:$D$314,2,FALSE),"NO")</f>
        <v>NO</v>
      </c>
      <c r="K3942">
        <v>6</v>
      </c>
      <c r="L3942" t="s">
        <v>836</v>
      </c>
      <c r="M3942">
        <v>24</v>
      </c>
      <c r="O3942" s="29" t="s">
        <v>8797</v>
      </c>
      <c r="P3942" s="25" t="s">
        <v>8801</v>
      </c>
      <c r="Q3942" s="25">
        <v>1421</v>
      </c>
      <c r="R3942" t="s">
        <v>436</v>
      </c>
    </row>
    <row r="3943" spans="1:18" s="13" customFormat="1" hidden="1">
      <c r="A3943" s="23" t="s">
        <v>7826</v>
      </c>
      <c r="B3943" s="23" t="s">
        <v>7827</v>
      </c>
      <c r="C3943" s="23">
        <v>1290</v>
      </c>
      <c r="D3943" s="13" t="s">
        <v>436</v>
      </c>
      <c r="G3943"/>
      <c r="I3943" s="14" t="str">
        <f>+IFERROR(VLOOKUP(C3943,'Mov 2023 hasta ahora '!$C$2:$D$314,2,FALSE),"NO")</f>
        <v>NO</v>
      </c>
      <c r="K3943">
        <v>6</v>
      </c>
      <c r="L3943" t="s">
        <v>836</v>
      </c>
      <c r="M3943">
        <v>24</v>
      </c>
      <c r="O3943" s="29" t="s">
        <v>8807</v>
      </c>
      <c r="P3943" s="25" t="s">
        <v>8811</v>
      </c>
      <c r="Q3943" s="25">
        <v>1422</v>
      </c>
      <c r="R3943" t="s">
        <v>436</v>
      </c>
    </row>
    <row r="3944" spans="1:18" hidden="1">
      <c r="A3944" s="23" t="s">
        <v>7828</v>
      </c>
      <c r="B3944" s="23" t="s">
        <v>7829</v>
      </c>
      <c r="C3944" s="23">
        <v>1291</v>
      </c>
      <c r="D3944" t="s">
        <v>436</v>
      </c>
      <c r="I3944" s="3" t="str">
        <f>+IFERROR(VLOOKUP(C3944,'Mov 2023 hasta ahora '!$C$2:$D$314,2,FALSE),"NO")</f>
        <v>NO</v>
      </c>
      <c r="K3944">
        <v>6</v>
      </c>
      <c r="L3944" t="s">
        <v>836</v>
      </c>
      <c r="M3944">
        <v>24</v>
      </c>
      <c r="O3944" s="29" t="s">
        <v>8691</v>
      </c>
      <c r="P3944" s="25" t="s">
        <v>8687</v>
      </c>
      <c r="Q3944" s="25">
        <v>1228</v>
      </c>
      <c r="R3944" t="s">
        <v>436</v>
      </c>
    </row>
    <row r="3945" spans="1:18" hidden="1">
      <c r="A3945" s="23" t="s">
        <v>7830</v>
      </c>
      <c r="B3945" s="23" t="s">
        <v>7831</v>
      </c>
      <c r="C3945" s="23">
        <v>1292</v>
      </c>
      <c r="D3945" t="s">
        <v>436</v>
      </c>
      <c r="I3945" s="3" t="str">
        <f>+IFERROR(VLOOKUP(C3945,'Mov 2023 hasta ahora '!$C$2:$D$314,2,FALSE),"NO")</f>
        <v>NO</v>
      </c>
      <c r="K3945">
        <v>6</v>
      </c>
      <c r="L3945" t="s">
        <v>836</v>
      </c>
      <c r="M3945">
        <v>24</v>
      </c>
      <c r="O3945" s="29" t="s">
        <v>8691</v>
      </c>
      <c r="P3945" s="25" t="s">
        <v>8687</v>
      </c>
      <c r="Q3945" s="25">
        <v>1228</v>
      </c>
      <c r="R3945" t="s">
        <v>436</v>
      </c>
    </row>
    <row r="3946" spans="1:18" hidden="1">
      <c r="A3946" s="23" t="s">
        <v>7832</v>
      </c>
      <c r="B3946" s="23" t="s">
        <v>7833</v>
      </c>
      <c r="C3946" s="23">
        <v>1293</v>
      </c>
      <c r="D3946" t="s">
        <v>436</v>
      </c>
      <c r="I3946" s="3" t="str">
        <f>+IFERROR(VLOOKUP(C3946,'Mov 2023 hasta ahora '!$C$2:$D$314,2,FALSE),"NO")</f>
        <v>NO</v>
      </c>
      <c r="K3946">
        <v>6</v>
      </c>
      <c r="L3946" t="s">
        <v>836</v>
      </c>
      <c r="M3946">
        <v>24</v>
      </c>
      <c r="O3946" s="29" t="s">
        <v>8691</v>
      </c>
      <c r="P3946" s="25" t="s">
        <v>8687</v>
      </c>
      <c r="Q3946" s="25">
        <v>1228</v>
      </c>
      <c r="R3946" t="s">
        <v>436</v>
      </c>
    </row>
    <row r="3947" spans="1:18" hidden="1">
      <c r="A3947" s="23" t="s">
        <v>7834</v>
      </c>
      <c r="B3947" s="23" t="s">
        <v>7835</v>
      </c>
      <c r="C3947" s="23">
        <v>1294</v>
      </c>
      <c r="D3947" t="s">
        <v>436</v>
      </c>
      <c r="I3947" s="3" t="str">
        <f>+IFERROR(VLOOKUP(C3947,'Mov 2023 hasta ahora '!$C$2:$D$314,2,FALSE),"NO")</f>
        <v>NO</v>
      </c>
      <c r="K3947">
        <v>6</v>
      </c>
      <c r="L3947" t="s">
        <v>836</v>
      </c>
      <c r="M3947">
        <v>24</v>
      </c>
      <c r="O3947" s="29" t="s">
        <v>8691</v>
      </c>
      <c r="P3947" s="25" t="s">
        <v>8687</v>
      </c>
      <c r="Q3947" s="25">
        <v>1228</v>
      </c>
      <c r="R3947" t="s">
        <v>436</v>
      </c>
    </row>
    <row r="3948" spans="1:18" hidden="1">
      <c r="A3948" s="23" t="s">
        <v>7836</v>
      </c>
      <c r="B3948" s="23" t="s">
        <v>7837</v>
      </c>
      <c r="C3948" s="23">
        <v>1544</v>
      </c>
      <c r="D3948" t="s">
        <v>436</v>
      </c>
      <c r="I3948" s="3" t="str">
        <f>+IFERROR(VLOOKUP(C3948,'Mov 2023 hasta ahora '!$C$2:$D$314,2,FALSE),"NO")</f>
        <v>NO</v>
      </c>
      <c r="K3948">
        <v>6</v>
      </c>
      <c r="L3948" t="s">
        <v>836</v>
      </c>
      <c r="M3948">
        <v>24</v>
      </c>
      <c r="O3948" s="29" t="s">
        <v>8691</v>
      </c>
      <c r="P3948" s="25" t="s">
        <v>8687</v>
      </c>
      <c r="Q3948" s="25">
        <v>1228</v>
      </c>
      <c r="R3948" t="s">
        <v>436</v>
      </c>
    </row>
    <row r="3949" spans="1:18" hidden="1">
      <c r="A3949" s="23" t="s">
        <v>7838</v>
      </c>
      <c r="B3949" s="23" t="s">
        <v>7839</v>
      </c>
      <c r="C3949" s="23">
        <v>1417</v>
      </c>
      <c r="D3949" t="s">
        <v>436</v>
      </c>
      <c r="I3949" s="3" t="str">
        <f>+IFERROR(VLOOKUP(C3949,'Mov 2023 hasta ahora '!$C$2:$D$314,2,FALSE),"NO")</f>
        <v>NO</v>
      </c>
      <c r="K3949">
        <v>6</v>
      </c>
      <c r="L3949" t="s">
        <v>836</v>
      </c>
      <c r="M3949">
        <v>24</v>
      </c>
      <c r="O3949" s="29" t="s">
        <v>8691</v>
      </c>
      <c r="P3949" s="25" t="s">
        <v>8687</v>
      </c>
      <c r="Q3949" s="25">
        <v>1228</v>
      </c>
      <c r="R3949" t="s">
        <v>436</v>
      </c>
    </row>
    <row r="3950" spans="1:18" hidden="1">
      <c r="A3950" s="23" t="s">
        <v>7840</v>
      </c>
      <c r="B3950" s="23" t="s">
        <v>7841</v>
      </c>
      <c r="C3950" s="23">
        <v>1895</v>
      </c>
      <c r="I3950" s="3" t="str">
        <f>+IFERROR(VLOOKUP(C3950,'Mov 2023 hasta ahora '!$C$2:$D$314,2,FALSE),"NO")</f>
        <v>NO</v>
      </c>
      <c r="K3950">
        <v>6</v>
      </c>
      <c r="L3950" t="s">
        <v>836</v>
      </c>
      <c r="M3950">
        <v>24</v>
      </c>
      <c r="O3950" s="29" t="s">
        <v>8691</v>
      </c>
      <c r="P3950" s="25" t="s">
        <v>8687</v>
      </c>
      <c r="Q3950" s="25">
        <v>1228</v>
      </c>
      <c r="R3950" t="s">
        <v>436</v>
      </c>
    </row>
    <row r="3951" spans="1:18" hidden="1">
      <c r="A3951" s="23" t="s">
        <v>7842</v>
      </c>
      <c r="B3951" s="23" t="s">
        <v>7843</v>
      </c>
      <c r="C3951" s="23">
        <v>1295</v>
      </c>
      <c r="D3951" t="s">
        <v>436</v>
      </c>
      <c r="I3951" s="3" t="str">
        <f>+IFERROR(VLOOKUP(C3951,'Mov 2023 hasta ahora '!$C$2:$D$314,2,FALSE),"NO")</f>
        <v>NO</v>
      </c>
      <c r="K3951">
        <v>6</v>
      </c>
      <c r="L3951" t="s">
        <v>836</v>
      </c>
      <c r="M3951">
        <v>24</v>
      </c>
      <c r="O3951" s="29" t="s">
        <v>8691</v>
      </c>
      <c r="P3951" s="25" t="s">
        <v>8687</v>
      </c>
      <c r="Q3951" s="25">
        <v>1228</v>
      </c>
      <c r="R3951" t="s">
        <v>436</v>
      </c>
    </row>
    <row r="3952" spans="1:18" hidden="1">
      <c r="A3952" s="23" t="s">
        <v>7844</v>
      </c>
      <c r="B3952" s="23" t="s">
        <v>7845</v>
      </c>
      <c r="C3952" s="23">
        <v>1296</v>
      </c>
      <c r="D3952" t="s">
        <v>436</v>
      </c>
      <c r="I3952" s="3" t="str">
        <f>+IFERROR(VLOOKUP(C3952,'Mov 2023 hasta ahora '!$C$2:$D$314,2,FALSE),"NO")</f>
        <v>NO</v>
      </c>
      <c r="K3952">
        <v>6</v>
      </c>
      <c r="L3952" t="s">
        <v>836</v>
      </c>
      <c r="M3952">
        <v>24</v>
      </c>
      <c r="O3952" s="29" t="s">
        <v>8691</v>
      </c>
      <c r="P3952" s="25" t="s">
        <v>8687</v>
      </c>
      <c r="Q3952" s="25">
        <v>1228</v>
      </c>
      <c r="R3952" t="s">
        <v>436</v>
      </c>
    </row>
    <row r="3953" spans="1:18" hidden="1">
      <c r="A3953" s="23" t="s">
        <v>7846</v>
      </c>
      <c r="B3953" s="23" t="s">
        <v>7847</v>
      </c>
      <c r="C3953" s="23">
        <v>1297</v>
      </c>
      <c r="D3953" t="s">
        <v>436</v>
      </c>
      <c r="I3953" s="3" t="str">
        <f>+IFERROR(VLOOKUP(C3953,'Mov 2023 hasta ahora '!$C$2:$D$314,2,FALSE),"NO")</f>
        <v>NO</v>
      </c>
      <c r="K3953">
        <v>6</v>
      </c>
      <c r="L3953" t="s">
        <v>836</v>
      </c>
      <c r="M3953">
        <v>24</v>
      </c>
      <c r="O3953" s="29" t="s">
        <v>8691</v>
      </c>
      <c r="P3953" s="25" t="s">
        <v>8687</v>
      </c>
      <c r="Q3953" s="25">
        <v>1228</v>
      </c>
      <c r="R3953" t="s">
        <v>436</v>
      </c>
    </row>
    <row r="3954" spans="1:18" hidden="1">
      <c r="A3954" s="23" t="s">
        <v>7848</v>
      </c>
      <c r="B3954" s="23" t="s">
        <v>7849</v>
      </c>
      <c r="C3954" s="23">
        <v>1298</v>
      </c>
      <c r="D3954" t="s">
        <v>436</v>
      </c>
      <c r="I3954" s="3" t="str">
        <f>+IFERROR(VLOOKUP(C3954,'Mov 2023 hasta ahora '!$C$2:$D$314,2,FALSE),"NO")</f>
        <v>NO</v>
      </c>
      <c r="K3954">
        <v>6</v>
      </c>
      <c r="L3954" t="s">
        <v>836</v>
      </c>
      <c r="M3954">
        <v>24</v>
      </c>
      <c r="O3954" s="29" t="s">
        <v>8691</v>
      </c>
      <c r="P3954" s="25" t="s">
        <v>8687</v>
      </c>
      <c r="Q3954" s="25">
        <v>1228</v>
      </c>
      <c r="R3954" t="s">
        <v>436</v>
      </c>
    </row>
    <row r="3955" spans="1:18" hidden="1">
      <c r="A3955" s="23" t="s">
        <v>7850</v>
      </c>
      <c r="B3955" s="23" t="s">
        <v>7851</v>
      </c>
      <c r="C3955" s="23">
        <v>1299</v>
      </c>
      <c r="D3955" t="s">
        <v>436</v>
      </c>
      <c r="I3955" s="3" t="str">
        <f>+IFERROR(VLOOKUP(C3955,'Mov 2023 hasta ahora '!$C$2:$D$314,2,FALSE),"NO")</f>
        <v>NO</v>
      </c>
      <c r="K3955">
        <v>6</v>
      </c>
      <c r="L3955" t="s">
        <v>836</v>
      </c>
      <c r="M3955">
        <v>24</v>
      </c>
      <c r="O3955" s="29" t="s">
        <v>8691</v>
      </c>
      <c r="P3955" s="25" t="s">
        <v>8687</v>
      </c>
      <c r="Q3955" s="25">
        <v>1228</v>
      </c>
      <c r="R3955" t="s">
        <v>436</v>
      </c>
    </row>
    <row r="3956" spans="1:18" hidden="1">
      <c r="A3956" s="23" t="s">
        <v>7852</v>
      </c>
      <c r="B3956" s="23" t="s">
        <v>7853</v>
      </c>
      <c r="C3956" s="23">
        <v>1300</v>
      </c>
      <c r="D3956" t="s">
        <v>436</v>
      </c>
      <c r="I3956" s="3" t="str">
        <f>+IFERROR(VLOOKUP(C3956,'Mov 2023 hasta ahora '!$C$2:$D$314,2,FALSE),"NO")</f>
        <v>NO</v>
      </c>
      <c r="K3956">
        <v>6</v>
      </c>
      <c r="L3956" t="s">
        <v>836</v>
      </c>
      <c r="M3956">
        <v>24</v>
      </c>
      <c r="O3956" s="29" t="s">
        <v>8691</v>
      </c>
      <c r="P3956" s="25" t="s">
        <v>8687</v>
      </c>
      <c r="Q3956" s="25">
        <v>1228</v>
      </c>
      <c r="R3956" t="s">
        <v>436</v>
      </c>
    </row>
    <row r="3957" spans="1:18" hidden="1">
      <c r="A3957" s="23" t="s">
        <v>7854</v>
      </c>
      <c r="B3957" s="23" t="s">
        <v>7855</v>
      </c>
      <c r="C3957" s="23">
        <v>1301</v>
      </c>
      <c r="D3957" t="s">
        <v>436</v>
      </c>
      <c r="I3957" s="3" t="str">
        <f>+IFERROR(VLOOKUP(C3957,'Mov 2023 hasta ahora '!$C$2:$D$314,2,FALSE),"NO")</f>
        <v>NO</v>
      </c>
      <c r="K3957">
        <v>6</v>
      </c>
      <c r="L3957" t="s">
        <v>836</v>
      </c>
      <c r="M3957">
        <v>24</v>
      </c>
      <c r="O3957" s="29" t="s">
        <v>8691</v>
      </c>
      <c r="P3957" s="25" t="s">
        <v>8687</v>
      </c>
      <c r="Q3957" s="25">
        <v>1228</v>
      </c>
      <c r="R3957" t="s">
        <v>436</v>
      </c>
    </row>
    <row r="3958" spans="1:18" hidden="1">
      <c r="A3958" t="s">
        <v>7856</v>
      </c>
      <c r="B3958" t="s">
        <v>7857</v>
      </c>
      <c r="I3958" s="3" t="str">
        <f>+IFERROR(VLOOKUP(C3958,'Mov 2023 hasta ahora '!$C$2:$D$314,2,FALSE),"NO")</f>
        <v>NO</v>
      </c>
      <c r="K3958">
        <v>3</v>
      </c>
      <c r="L3958" t="s">
        <v>836</v>
      </c>
      <c r="M3958">
        <v>10</v>
      </c>
    </row>
    <row r="3959" spans="1:18" hidden="1">
      <c r="A3959" t="s">
        <v>7858</v>
      </c>
      <c r="B3959" t="s">
        <v>7859</v>
      </c>
      <c r="I3959" s="3" t="str">
        <f>+IFERROR(VLOOKUP(C3959,'Mov 2023 hasta ahora '!$C$2:$D$314,2,FALSE),"NO")</f>
        <v>NO</v>
      </c>
      <c r="K3959">
        <v>4</v>
      </c>
      <c r="L3959" t="s">
        <v>836</v>
      </c>
      <c r="M3959">
        <v>14</v>
      </c>
    </row>
    <row r="3960" spans="1:18" hidden="1">
      <c r="A3960" t="s">
        <v>7860</v>
      </c>
      <c r="B3960" t="s">
        <v>7861</v>
      </c>
      <c r="I3960" s="3" t="str">
        <f>+IFERROR(VLOOKUP(C3960,'Mov 2023 hasta ahora '!$C$2:$D$314,2,FALSE),"NO")</f>
        <v>NO</v>
      </c>
      <c r="K3960">
        <v>5</v>
      </c>
      <c r="L3960" t="s">
        <v>836</v>
      </c>
      <c r="M3960">
        <v>18</v>
      </c>
    </row>
    <row r="3961" spans="1:18" hidden="1">
      <c r="A3961" s="23" t="s">
        <v>7862</v>
      </c>
      <c r="B3961" s="23" t="s">
        <v>7863</v>
      </c>
      <c r="C3961" s="23">
        <v>1415</v>
      </c>
      <c r="D3961" t="s">
        <v>436</v>
      </c>
      <c r="I3961" s="3" t="str">
        <f>+IFERROR(VLOOKUP(C3961,'Mov 2023 hasta ahora '!$C$2:$D$314,2,FALSE),"NO")</f>
        <v>NO</v>
      </c>
      <c r="K3961">
        <v>6</v>
      </c>
      <c r="L3961" t="s">
        <v>836</v>
      </c>
      <c r="M3961">
        <v>24</v>
      </c>
      <c r="O3961" s="29" t="s">
        <v>8691</v>
      </c>
      <c r="P3961" s="25" t="s">
        <v>8687</v>
      </c>
      <c r="Q3961" s="25">
        <v>1228</v>
      </c>
      <c r="R3961" t="s">
        <v>436</v>
      </c>
    </row>
    <row r="3962" spans="1:18" hidden="1">
      <c r="A3962" s="23" t="s">
        <v>7864</v>
      </c>
      <c r="B3962" s="23" t="s">
        <v>7865</v>
      </c>
      <c r="C3962" s="23">
        <v>1302</v>
      </c>
      <c r="D3962" t="s">
        <v>436</v>
      </c>
      <c r="I3962" s="3" t="str">
        <f>+IFERROR(VLOOKUP(C3962,'Mov 2023 hasta ahora '!$C$2:$D$314,2,FALSE),"NO")</f>
        <v>NO</v>
      </c>
      <c r="K3962">
        <v>6</v>
      </c>
      <c r="L3962" t="s">
        <v>836</v>
      </c>
      <c r="M3962">
        <v>24</v>
      </c>
      <c r="O3962" s="29" t="s">
        <v>8691</v>
      </c>
      <c r="P3962" s="25" t="s">
        <v>8687</v>
      </c>
      <c r="Q3962" s="25">
        <v>1228</v>
      </c>
      <c r="R3962" t="s">
        <v>436</v>
      </c>
    </row>
    <row r="3963" spans="1:18" hidden="1">
      <c r="A3963" s="23" t="s">
        <v>7866</v>
      </c>
      <c r="B3963" s="23" t="s">
        <v>7867</v>
      </c>
      <c r="C3963" s="23">
        <v>1303</v>
      </c>
      <c r="D3963" t="s">
        <v>436</v>
      </c>
      <c r="I3963" s="3" t="str">
        <f>+IFERROR(VLOOKUP(C3963,'Mov 2023 hasta ahora '!$C$2:$D$314,2,FALSE),"NO")</f>
        <v>NO</v>
      </c>
      <c r="K3963">
        <v>6</v>
      </c>
      <c r="L3963" t="s">
        <v>836</v>
      </c>
      <c r="M3963">
        <v>24</v>
      </c>
      <c r="O3963" s="29" t="s">
        <v>8691</v>
      </c>
      <c r="P3963" s="25" t="s">
        <v>8687</v>
      </c>
      <c r="Q3963" s="25">
        <v>1228</v>
      </c>
      <c r="R3963" t="s">
        <v>436</v>
      </c>
    </row>
    <row r="3964" spans="1:18" hidden="1">
      <c r="A3964" s="23" t="s">
        <v>7868</v>
      </c>
      <c r="B3964" s="23" t="s">
        <v>7869</v>
      </c>
      <c r="C3964" s="23">
        <v>1908</v>
      </c>
      <c r="I3964" s="3" t="str">
        <f>+IFERROR(VLOOKUP(C3964,'Mov 2023 hasta ahora '!$C$2:$D$314,2,FALSE),"NO")</f>
        <v>NO</v>
      </c>
      <c r="K3964">
        <v>6</v>
      </c>
      <c r="L3964" t="s">
        <v>836</v>
      </c>
      <c r="M3964">
        <v>24</v>
      </c>
      <c r="O3964" s="29" t="s">
        <v>8691</v>
      </c>
      <c r="P3964" s="25" t="s">
        <v>8687</v>
      </c>
      <c r="Q3964" s="25">
        <v>1228</v>
      </c>
      <c r="R3964" t="s">
        <v>436</v>
      </c>
    </row>
    <row r="3965" spans="1:18" s="13" customFormat="1" hidden="1">
      <c r="A3965" s="23" t="s">
        <v>7870</v>
      </c>
      <c r="B3965" s="23" t="s">
        <v>7871</v>
      </c>
      <c r="C3965" s="23">
        <v>1304</v>
      </c>
      <c r="D3965" s="13" t="s">
        <v>436</v>
      </c>
      <c r="G3965"/>
      <c r="I3965" s="14" t="str">
        <f>+IFERROR(VLOOKUP(C3965,'Mov 2023 hasta ahora '!$C$2:$D$314,2,FALSE),"NO")</f>
        <v>NO</v>
      </c>
      <c r="K3965">
        <v>6</v>
      </c>
      <c r="L3965" t="s">
        <v>836</v>
      </c>
      <c r="M3965">
        <v>24</v>
      </c>
      <c r="O3965" s="29" t="s">
        <v>8797</v>
      </c>
      <c r="P3965" s="25" t="s">
        <v>8801</v>
      </c>
      <c r="Q3965" s="25">
        <v>1421</v>
      </c>
      <c r="R3965" t="s">
        <v>436</v>
      </c>
    </row>
    <row r="3966" spans="1:18" s="13" customFormat="1" hidden="1">
      <c r="A3966" s="23" t="s">
        <v>7872</v>
      </c>
      <c r="B3966" s="23" t="s">
        <v>7873</v>
      </c>
      <c r="C3966" s="23">
        <v>1305</v>
      </c>
      <c r="D3966" s="13" t="s">
        <v>436</v>
      </c>
      <c r="G3966"/>
      <c r="I3966" s="14" t="str">
        <f>+IFERROR(VLOOKUP(C3966,'Mov 2023 hasta ahora '!$C$2:$D$314,2,FALSE),"NO")</f>
        <v>NO</v>
      </c>
      <c r="K3966">
        <v>6</v>
      </c>
      <c r="L3966" t="s">
        <v>836</v>
      </c>
      <c r="M3966">
        <v>24</v>
      </c>
      <c r="O3966" s="29" t="s">
        <v>8807</v>
      </c>
      <c r="P3966" s="25" t="s">
        <v>8811</v>
      </c>
      <c r="Q3966" s="25">
        <v>1422</v>
      </c>
      <c r="R3966" t="s">
        <v>436</v>
      </c>
    </row>
    <row r="3967" spans="1:18" hidden="1">
      <c r="A3967" s="23" t="s">
        <v>7874</v>
      </c>
      <c r="B3967" s="23" t="s">
        <v>7875</v>
      </c>
      <c r="C3967" s="23">
        <v>1306</v>
      </c>
      <c r="D3967" t="s">
        <v>436</v>
      </c>
      <c r="I3967" s="3" t="str">
        <f>+IFERROR(VLOOKUP(C3967,'Mov 2023 hasta ahora '!$C$2:$D$314,2,FALSE),"NO")</f>
        <v>NO</v>
      </c>
      <c r="K3967">
        <v>6</v>
      </c>
      <c r="L3967" t="s">
        <v>836</v>
      </c>
      <c r="M3967">
        <v>24</v>
      </c>
      <c r="O3967" s="29" t="s">
        <v>8691</v>
      </c>
      <c r="P3967" s="25" t="s">
        <v>8687</v>
      </c>
      <c r="Q3967" s="25">
        <v>1228</v>
      </c>
      <c r="R3967" t="s">
        <v>436</v>
      </c>
    </row>
    <row r="3968" spans="1:18" hidden="1">
      <c r="A3968" s="23" t="s">
        <v>7876</v>
      </c>
      <c r="B3968" s="23" t="s">
        <v>7877</v>
      </c>
      <c r="C3968" s="23">
        <v>1307</v>
      </c>
      <c r="D3968" t="s">
        <v>436</v>
      </c>
      <c r="I3968" s="3" t="str">
        <f>+IFERROR(VLOOKUP(C3968,'Mov 2023 hasta ahora '!$C$2:$D$314,2,FALSE),"NO")</f>
        <v>NO</v>
      </c>
      <c r="K3968">
        <v>6</v>
      </c>
      <c r="L3968" t="s">
        <v>836</v>
      </c>
      <c r="M3968">
        <v>24</v>
      </c>
      <c r="O3968" s="29" t="s">
        <v>8691</v>
      </c>
      <c r="P3968" s="25" t="s">
        <v>8687</v>
      </c>
      <c r="Q3968" s="25">
        <v>1228</v>
      </c>
      <c r="R3968" t="s">
        <v>436</v>
      </c>
    </row>
    <row r="3969" spans="1:18" hidden="1">
      <c r="A3969" s="23" t="s">
        <v>7878</v>
      </c>
      <c r="B3969" s="23" t="s">
        <v>7879</v>
      </c>
      <c r="C3969" s="23">
        <v>1308</v>
      </c>
      <c r="D3969" t="s">
        <v>436</v>
      </c>
      <c r="I3969" s="3" t="str">
        <f>+IFERROR(VLOOKUP(C3969,'Mov 2023 hasta ahora '!$C$2:$D$314,2,FALSE),"NO")</f>
        <v>NO</v>
      </c>
      <c r="K3969">
        <v>6</v>
      </c>
      <c r="L3969" t="s">
        <v>836</v>
      </c>
      <c r="M3969">
        <v>24</v>
      </c>
      <c r="O3969" s="29" t="s">
        <v>8691</v>
      </c>
      <c r="P3969" s="25" t="s">
        <v>8687</v>
      </c>
      <c r="Q3969" s="25">
        <v>1228</v>
      </c>
      <c r="R3969" t="s">
        <v>436</v>
      </c>
    </row>
    <row r="3970" spans="1:18" hidden="1">
      <c r="A3970" s="23" t="s">
        <v>7880</v>
      </c>
      <c r="B3970" s="23" t="s">
        <v>7881</v>
      </c>
      <c r="C3970" s="23">
        <v>1309</v>
      </c>
      <c r="D3970" t="s">
        <v>436</v>
      </c>
      <c r="I3970" s="3" t="str">
        <f>+IFERROR(VLOOKUP(C3970,'Mov 2023 hasta ahora '!$C$2:$D$314,2,FALSE),"NO")</f>
        <v>NO</v>
      </c>
      <c r="K3970">
        <v>6</v>
      </c>
      <c r="L3970" t="s">
        <v>836</v>
      </c>
      <c r="M3970">
        <v>24</v>
      </c>
      <c r="O3970" s="29" t="s">
        <v>8691</v>
      </c>
      <c r="P3970" s="25" t="s">
        <v>8687</v>
      </c>
      <c r="Q3970" s="25">
        <v>1228</v>
      </c>
      <c r="R3970" t="s">
        <v>436</v>
      </c>
    </row>
    <row r="3971" spans="1:18" hidden="1">
      <c r="A3971" s="23" t="s">
        <v>7882</v>
      </c>
      <c r="B3971" s="23" t="s">
        <v>7883</v>
      </c>
      <c r="C3971" s="23">
        <v>1416</v>
      </c>
      <c r="D3971" t="s">
        <v>436</v>
      </c>
      <c r="I3971" s="3" t="str">
        <f>+IFERROR(VLOOKUP(C3971,'Mov 2023 hasta ahora '!$C$2:$D$314,2,FALSE),"NO")</f>
        <v>NO</v>
      </c>
      <c r="K3971">
        <v>6</v>
      </c>
      <c r="L3971" t="s">
        <v>836</v>
      </c>
      <c r="M3971">
        <v>24</v>
      </c>
      <c r="O3971" s="29" t="s">
        <v>8691</v>
      </c>
      <c r="P3971" s="25" t="s">
        <v>8687</v>
      </c>
      <c r="Q3971" s="25">
        <v>1228</v>
      </c>
      <c r="R3971" t="s">
        <v>436</v>
      </c>
    </row>
    <row r="3972" spans="1:18" hidden="1">
      <c r="A3972" s="23" t="s">
        <v>7884</v>
      </c>
      <c r="B3972" s="23" t="s">
        <v>7885</v>
      </c>
      <c r="C3972" s="23">
        <v>1310</v>
      </c>
      <c r="D3972" t="s">
        <v>436</v>
      </c>
      <c r="I3972" s="3" t="str">
        <f>+IFERROR(VLOOKUP(C3972,'Mov 2023 hasta ahora '!$C$2:$D$314,2,FALSE),"NO")</f>
        <v>NO</v>
      </c>
      <c r="K3972">
        <v>6</v>
      </c>
      <c r="L3972" t="s">
        <v>836</v>
      </c>
      <c r="M3972">
        <v>24</v>
      </c>
      <c r="O3972" s="29" t="s">
        <v>8691</v>
      </c>
      <c r="P3972" s="25" t="s">
        <v>8687</v>
      </c>
      <c r="Q3972" s="25">
        <v>1228</v>
      </c>
      <c r="R3972" t="s">
        <v>436</v>
      </c>
    </row>
    <row r="3973" spans="1:18" hidden="1">
      <c r="A3973" s="23" t="s">
        <v>7886</v>
      </c>
      <c r="B3973" s="23" t="s">
        <v>7887</v>
      </c>
      <c r="C3973" s="23">
        <v>1311</v>
      </c>
      <c r="D3973" t="s">
        <v>436</v>
      </c>
      <c r="I3973" s="3" t="str">
        <f>+IFERROR(VLOOKUP(C3973,'Mov 2023 hasta ahora '!$C$2:$D$314,2,FALSE),"NO")</f>
        <v>NO</v>
      </c>
      <c r="K3973">
        <v>6</v>
      </c>
      <c r="L3973" t="s">
        <v>836</v>
      </c>
      <c r="M3973">
        <v>24</v>
      </c>
      <c r="O3973" s="29" t="s">
        <v>8691</v>
      </c>
      <c r="P3973" s="25" t="s">
        <v>8687</v>
      </c>
      <c r="Q3973" s="25">
        <v>1228</v>
      </c>
      <c r="R3973" t="s">
        <v>436</v>
      </c>
    </row>
    <row r="3974" spans="1:18" hidden="1">
      <c r="A3974" s="23" t="s">
        <v>7888</v>
      </c>
      <c r="B3974" s="23" t="s">
        <v>7889</v>
      </c>
      <c r="C3974" s="23">
        <v>1312</v>
      </c>
      <c r="D3974" t="s">
        <v>436</v>
      </c>
      <c r="I3974" s="3" t="str">
        <f>+IFERROR(VLOOKUP(C3974,'Mov 2023 hasta ahora '!$C$2:$D$314,2,FALSE),"NO")</f>
        <v>NO</v>
      </c>
      <c r="K3974">
        <v>6</v>
      </c>
      <c r="L3974" t="s">
        <v>836</v>
      </c>
      <c r="M3974">
        <v>24</v>
      </c>
      <c r="O3974" s="29" t="s">
        <v>8691</v>
      </c>
      <c r="P3974" s="25" t="s">
        <v>8687</v>
      </c>
      <c r="Q3974" s="25">
        <v>1228</v>
      </c>
      <c r="R3974" t="s">
        <v>436</v>
      </c>
    </row>
    <row r="3975" spans="1:18" hidden="1">
      <c r="A3975" s="23" t="s">
        <v>7890</v>
      </c>
      <c r="B3975" s="23" t="s">
        <v>7891</v>
      </c>
      <c r="C3975" s="23">
        <v>1313</v>
      </c>
      <c r="D3975" t="s">
        <v>436</v>
      </c>
      <c r="I3975" s="3" t="str">
        <f>+IFERROR(VLOOKUP(C3975,'Mov 2023 hasta ahora '!$C$2:$D$314,2,FALSE),"NO")</f>
        <v>NO</v>
      </c>
      <c r="K3975">
        <v>6</v>
      </c>
      <c r="L3975" t="s">
        <v>836</v>
      </c>
      <c r="M3975">
        <v>24</v>
      </c>
      <c r="O3975" s="29" t="s">
        <v>8691</v>
      </c>
      <c r="P3975" s="25" t="s">
        <v>8687</v>
      </c>
      <c r="Q3975" s="25">
        <v>1228</v>
      </c>
      <c r="R3975" t="s">
        <v>436</v>
      </c>
    </row>
    <row r="3976" spans="1:18" hidden="1">
      <c r="A3976" s="23" t="s">
        <v>7892</v>
      </c>
      <c r="B3976" s="23" t="s">
        <v>7893</v>
      </c>
      <c r="C3976" s="23">
        <v>1314</v>
      </c>
      <c r="D3976" t="s">
        <v>436</v>
      </c>
      <c r="I3976" s="3" t="str">
        <f>+IFERROR(VLOOKUP(C3976,'Mov 2023 hasta ahora '!$C$2:$D$314,2,FALSE),"NO")</f>
        <v>NO</v>
      </c>
      <c r="K3976">
        <v>6</v>
      </c>
      <c r="L3976" t="s">
        <v>836</v>
      </c>
      <c r="M3976">
        <v>24</v>
      </c>
      <c r="O3976" s="29" t="s">
        <v>8691</v>
      </c>
      <c r="P3976" s="25" t="s">
        <v>8687</v>
      </c>
      <c r="Q3976" s="25">
        <v>1228</v>
      </c>
      <c r="R3976" t="s">
        <v>436</v>
      </c>
    </row>
    <row r="3977" spans="1:18" hidden="1">
      <c r="A3977" s="23" t="s">
        <v>7894</v>
      </c>
      <c r="B3977" s="23" t="s">
        <v>7895</v>
      </c>
      <c r="C3977" s="23">
        <v>1315</v>
      </c>
      <c r="D3977" t="s">
        <v>436</v>
      </c>
      <c r="I3977" s="3" t="str">
        <f>+IFERROR(VLOOKUP(C3977,'Mov 2023 hasta ahora '!$C$2:$D$314,2,FALSE),"NO")</f>
        <v>NO</v>
      </c>
      <c r="K3977">
        <v>6</v>
      </c>
      <c r="L3977" t="s">
        <v>836</v>
      </c>
      <c r="M3977">
        <v>24</v>
      </c>
      <c r="O3977" s="29" t="s">
        <v>8691</v>
      </c>
      <c r="P3977" s="25" t="s">
        <v>8687</v>
      </c>
      <c r="Q3977" s="25">
        <v>1228</v>
      </c>
      <c r="R3977" t="s">
        <v>436</v>
      </c>
    </row>
    <row r="3978" spans="1:18" hidden="1">
      <c r="A3978" s="23" t="s">
        <v>7896</v>
      </c>
      <c r="B3978" s="23" t="s">
        <v>7897</v>
      </c>
      <c r="C3978" s="23">
        <v>1316</v>
      </c>
      <c r="D3978" t="s">
        <v>436</v>
      </c>
      <c r="I3978" s="3" t="str">
        <f>+IFERROR(VLOOKUP(C3978,'Mov 2023 hasta ahora '!$C$2:$D$314,2,FALSE),"NO")</f>
        <v>NO</v>
      </c>
      <c r="K3978">
        <v>6</v>
      </c>
      <c r="L3978" t="s">
        <v>836</v>
      </c>
      <c r="M3978">
        <v>24</v>
      </c>
      <c r="O3978" s="29" t="s">
        <v>8691</v>
      </c>
      <c r="P3978" s="25" t="s">
        <v>8687</v>
      </c>
      <c r="Q3978" s="25">
        <v>1228</v>
      </c>
      <c r="R3978" t="s">
        <v>436</v>
      </c>
    </row>
    <row r="3979" spans="1:18" hidden="1">
      <c r="A3979">
        <v>5.91</v>
      </c>
      <c r="B3979" t="s">
        <v>7898</v>
      </c>
      <c r="I3979" s="3" t="str">
        <f>+IFERROR(VLOOKUP(C3979,'Mov 2023 hasta ahora '!$C$2:$D$314,2,FALSE),"NO")</f>
        <v>NO</v>
      </c>
      <c r="K3979">
        <v>2</v>
      </c>
      <c r="L3979" t="s">
        <v>836</v>
      </c>
      <c r="M3979">
        <v>4</v>
      </c>
    </row>
    <row r="3980" spans="1:18" hidden="1">
      <c r="A3980" t="s">
        <v>7899</v>
      </c>
      <c r="B3980" t="s">
        <v>7900</v>
      </c>
      <c r="I3980" s="3" t="str">
        <f>+IFERROR(VLOOKUP(C3980,'Mov 2023 hasta ahora '!$C$2:$D$314,2,FALSE),"NO")</f>
        <v>NO</v>
      </c>
      <c r="K3980">
        <v>3</v>
      </c>
      <c r="L3980" t="s">
        <v>836</v>
      </c>
      <c r="M3980">
        <v>10</v>
      </c>
    </row>
    <row r="3981" spans="1:18" hidden="1">
      <c r="A3981" t="s">
        <v>7901</v>
      </c>
      <c r="B3981" t="s">
        <v>7902</v>
      </c>
      <c r="I3981" s="3" t="str">
        <f>+IFERROR(VLOOKUP(C3981,'Mov 2023 hasta ahora '!$C$2:$D$314,2,FALSE),"NO")</f>
        <v>NO</v>
      </c>
      <c r="K3981">
        <v>4</v>
      </c>
      <c r="L3981" t="s">
        <v>836</v>
      </c>
      <c r="M3981">
        <v>14</v>
      </c>
    </row>
    <row r="3982" spans="1:18" hidden="1">
      <c r="A3982" t="s">
        <v>7903</v>
      </c>
      <c r="B3982" t="s">
        <v>7904</v>
      </c>
      <c r="I3982" s="3" t="str">
        <f>+IFERROR(VLOOKUP(C3982,'Mov 2023 hasta ahora '!$C$2:$D$314,2,FALSE),"NO")</f>
        <v>NO</v>
      </c>
      <c r="K3982">
        <v>5</v>
      </c>
      <c r="L3982" t="s">
        <v>836</v>
      </c>
      <c r="M3982">
        <v>18</v>
      </c>
    </row>
    <row r="3983" spans="1:18" hidden="1">
      <c r="A3983" s="23" t="s">
        <v>7905</v>
      </c>
      <c r="B3983" s="23" t="s">
        <v>7906</v>
      </c>
      <c r="C3983" s="23">
        <v>1903</v>
      </c>
      <c r="I3983" s="3" t="str">
        <f>+IFERROR(VLOOKUP(C3983,'Mov 2023 hasta ahora '!$C$2:$D$314,2,FALSE),"NO")</f>
        <v>NO</v>
      </c>
      <c r="K3983">
        <v>6</v>
      </c>
      <c r="L3983" t="s">
        <v>836</v>
      </c>
      <c r="M3983">
        <v>24</v>
      </c>
      <c r="O3983" s="29" t="s">
        <v>8884</v>
      </c>
      <c r="P3983" s="25" t="s">
        <v>8886</v>
      </c>
      <c r="Q3983" s="25">
        <v>3822</v>
      </c>
      <c r="R3983" t="s">
        <v>436</v>
      </c>
    </row>
    <row r="3984" spans="1:18" hidden="1">
      <c r="A3984" t="s">
        <v>7907</v>
      </c>
      <c r="B3984" t="s">
        <v>7908</v>
      </c>
      <c r="I3984" s="3" t="str">
        <f>+IFERROR(VLOOKUP(C3984,'Mov 2023 hasta ahora '!$C$2:$D$314,2,FALSE),"NO")</f>
        <v>NO</v>
      </c>
      <c r="K3984">
        <v>5</v>
      </c>
      <c r="L3984" t="s">
        <v>836</v>
      </c>
      <c r="M3984">
        <v>18</v>
      </c>
    </row>
    <row r="3985" spans="1:18" s="13" customFormat="1" hidden="1">
      <c r="A3985" s="23" t="s">
        <v>7909</v>
      </c>
      <c r="B3985" s="23" t="s">
        <v>7910</v>
      </c>
      <c r="C3985" s="23">
        <v>2266</v>
      </c>
      <c r="D3985" s="13" t="s">
        <v>436</v>
      </c>
      <c r="G3985"/>
      <c r="I3985" s="14" t="str">
        <f>+IFERROR(VLOOKUP(C3985,'Mov 2023 hasta ahora '!$C$2:$D$314,2,FALSE),"NO")</f>
        <v>NO</v>
      </c>
      <c r="K3985">
        <v>6</v>
      </c>
      <c r="L3985" t="s">
        <v>836</v>
      </c>
      <c r="M3985">
        <v>24</v>
      </c>
      <c r="O3985" s="29" t="s">
        <v>8861</v>
      </c>
      <c r="P3985" s="25" t="s">
        <v>8868</v>
      </c>
      <c r="Q3985" s="25">
        <v>1419</v>
      </c>
      <c r="R3985" t="s">
        <v>436</v>
      </c>
    </row>
    <row r="3986" spans="1:18" hidden="1">
      <c r="A3986" t="s">
        <v>7911</v>
      </c>
      <c r="B3986" t="s">
        <v>7912</v>
      </c>
      <c r="I3986" s="3" t="str">
        <f>+IFERROR(VLOOKUP(C3986,'Mov 2023 hasta ahora '!$C$2:$D$314,2,FALSE),"NO")</f>
        <v>NO</v>
      </c>
      <c r="K3986">
        <v>4</v>
      </c>
      <c r="L3986" t="s">
        <v>836</v>
      </c>
      <c r="M3986">
        <v>14</v>
      </c>
    </row>
    <row r="3987" spans="1:18" hidden="1">
      <c r="A3987" t="s">
        <v>7913</v>
      </c>
      <c r="B3987" t="s">
        <v>7914</v>
      </c>
      <c r="I3987" s="3" t="str">
        <f>+IFERROR(VLOOKUP(C3987,'Mov 2023 hasta ahora '!$C$2:$D$314,2,FALSE),"NO")</f>
        <v>NO</v>
      </c>
      <c r="K3987">
        <v>5</v>
      </c>
      <c r="L3987" t="s">
        <v>836</v>
      </c>
      <c r="M3987">
        <v>18</v>
      </c>
    </row>
    <row r="3988" spans="1:18" hidden="1">
      <c r="A3988" s="23" t="s">
        <v>7915</v>
      </c>
      <c r="B3988" s="23" t="s">
        <v>7916</v>
      </c>
      <c r="C3988" s="23">
        <v>1743</v>
      </c>
      <c r="D3988" t="s">
        <v>436</v>
      </c>
      <c r="I3988" s="3">
        <f>+IFERROR(VLOOKUP(C3988,'Mov 2023 hasta ahora '!$C$2:$D$314,2,FALSE),"NO")</f>
        <v>3</v>
      </c>
      <c r="K3988">
        <v>6</v>
      </c>
      <c r="L3988" t="s">
        <v>836</v>
      </c>
      <c r="M3988">
        <v>24</v>
      </c>
      <c r="O3988" s="29" t="s">
        <v>8958</v>
      </c>
      <c r="P3988" s="25" t="s">
        <v>8959</v>
      </c>
      <c r="Q3988" s="25">
        <v>1743</v>
      </c>
      <c r="R3988" t="s">
        <v>436</v>
      </c>
    </row>
    <row r="3989" spans="1:18" hidden="1">
      <c r="A3989" s="23" t="s">
        <v>7917</v>
      </c>
      <c r="B3989" s="23" t="s">
        <v>7918</v>
      </c>
      <c r="C3989" s="23">
        <v>1233</v>
      </c>
      <c r="D3989" t="s">
        <v>436</v>
      </c>
      <c r="I3989" s="3" t="str">
        <f>+IFERROR(VLOOKUP(C3989,'Mov 2023 hasta ahora '!$C$2:$D$314,2,FALSE),"NO")</f>
        <v>NO</v>
      </c>
      <c r="K3989">
        <v>6</v>
      </c>
      <c r="L3989" t="s">
        <v>836</v>
      </c>
      <c r="M3989">
        <v>24</v>
      </c>
      <c r="O3989" s="29" t="s">
        <v>8952</v>
      </c>
      <c r="P3989" s="25" t="s">
        <v>8953</v>
      </c>
      <c r="Q3989" s="25">
        <v>1233</v>
      </c>
      <c r="R3989" t="s">
        <v>436</v>
      </c>
    </row>
    <row r="3990" spans="1:18" hidden="1">
      <c r="A3990" s="23" t="s">
        <v>7919</v>
      </c>
      <c r="B3990" s="23" t="s">
        <v>7920</v>
      </c>
      <c r="C3990" s="23">
        <v>1234</v>
      </c>
      <c r="D3990" t="s">
        <v>436</v>
      </c>
      <c r="I3990" s="3" t="str">
        <f>+IFERROR(VLOOKUP(C3990,'Mov 2023 hasta ahora '!$C$2:$D$314,2,FALSE),"NO")</f>
        <v>NO</v>
      </c>
      <c r="K3990">
        <v>6</v>
      </c>
      <c r="L3990" t="s">
        <v>836</v>
      </c>
      <c r="M3990">
        <v>24</v>
      </c>
      <c r="O3990" s="29" t="s">
        <v>8958</v>
      </c>
      <c r="P3990" s="25" t="s">
        <v>8959</v>
      </c>
      <c r="Q3990" s="25">
        <v>1743</v>
      </c>
      <c r="R3990" t="s">
        <v>436</v>
      </c>
    </row>
    <row r="3991" spans="1:18" hidden="1">
      <c r="A3991" s="23" t="s">
        <v>7921</v>
      </c>
      <c r="B3991" s="23" t="s">
        <v>7922</v>
      </c>
      <c r="C3991" s="23">
        <v>1235</v>
      </c>
      <c r="D3991" t="s">
        <v>436</v>
      </c>
      <c r="I3991" s="3">
        <f>+IFERROR(VLOOKUP(C3991,'Mov 2023 hasta ahora '!$C$2:$D$314,2,FALSE),"NO")</f>
        <v>98</v>
      </c>
      <c r="K3991">
        <v>6</v>
      </c>
      <c r="L3991" t="s">
        <v>836</v>
      </c>
      <c r="M3991">
        <v>24</v>
      </c>
      <c r="O3991" s="25" t="s">
        <v>8960</v>
      </c>
      <c r="P3991" s="25" t="s">
        <v>8961</v>
      </c>
      <c r="Q3991" s="25">
        <v>1235</v>
      </c>
      <c r="R3991" t="s">
        <v>436</v>
      </c>
    </row>
    <row r="3992" spans="1:18" hidden="1">
      <c r="A3992" s="23" t="s">
        <v>7923</v>
      </c>
      <c r="B3992" s="23" t="s">
        <v>7924</v>
      </c>
      <c r="C3992" s="23">
        <v>1236</v>
      </c>
      <c r="D3992" t="s">
        <v>436</v>
      </c>
      <c r="I3992" s="3">
        <f>+IFERROR(VLOOKUP(C3992,'Mov 2023 hasta ahora '!$C$2:$D$314,2,FALSE),"NO")</f>
        <v>587</v>
      </c>
      <c r="K3992">
        <v>6</v>
      </c>
      <c r="L3992" t="s">
        <v>836</v>
      </c>
      <c r="M3992">
        <v>24</v>
      </c>
      <c r="O3992" s="29" t="s">
        <v>8962</v>
      </c>
      <c r="P3992" s="25" t="s">
        <v>8963</v>
      </c>
      <c r="Q3992" s="25">
        <v>1236</v>
      </c>
      <c r="R3992" t="s">
        <v>436</v>
      </c>
    </row>
    <row r="3993" spans="1:18" hidden="1">
      <c r="A3993" s="23" t="s">
        <v>7925</v>
      </c>
      <c r="B3993" s="23" t="s">
        <v>7926</v>
      </c>
      <c r="C3993" s="23">
        <v>1237</v>
      </c>
      <c r="D3993" t="s">
        <v>436</v>
      </c>
      <c r="I3993" s="3" t="str">
        <f>+IFERROR(VLOOKUP(C3993,'Mov 2023 hasta ahora '!$C$2:$D$314,2,FALSE),"NO")</f>
        <v>NO</v>
      </c>
      <c r="K3993">
        <v>6</v>
      </c>
      <c r="L3993" t="s">
        <v>836</v>
      </c>
      <c r="M3993">
        <v>24</v>
      </c>
      <c r="O3993" s="29" t="s">
        <v>8958</v>
      </c>
      <c r="P3993" s="25" t="s">
        <v>8959</v>
      </c>
      <c r="Q3993" s="25">
        <v>1743</v>
      </c>
      <c r="R3993" t="s">
        <v>436</v>
      </c>
    </row>
    <row r="3994" spans="1:18" hidden="1">
      <c r="A3994" s="23" t="s">
        <v>7927</v>
      </c>
      <c r="B3994" s="23" t="s">
        <v>7928</v>
      </c>
      <c r="C3994" s="23">
        <v>1238</v>
      </c>
      <c r="D3994" t="s">
        <v>436</v>
      </c>
      <c r="I3994" s="3">
        <f>+IFERROR(VLOOKUP(C3994,'Mov 2023 hasta ahora '!$C$2:$D$314,2,FALSE),"NO")</f>
        <v>2</v>
      </c>
      <c r="K3994">
        <v>6</v>
      </c>
      <c r="L3994" t="s">
        <v>836</v>
      </c>
      <c r="M3994">
        <v>24</v>
      </c>
      <c r="O3994" s="29" t="s">
        <v>8956</v>
      </c>
      <c r="P3994" s="25" t="s">
        <v>8957</v>
      </c>
      <c r="Q3994" s="25">
        <v>1238</v>
      </c>
      <c r="R3994" t="s">
        <v>436</v>
      </c>
    </row>
    <row r="3995" spans="1:18" hidden="1">
      <c r="A3995" s="23" t="s">
        <v>7929</v>
      </c>
      <c r="B3995" s="23" t="s">
        <v>7930</v>
      </c>
      <c r="C3995" s="23">
        <v>1239</v>
      </c>
      <c r="D3995" t="s">
        <v>436</v>
      </c>
      <c r="I3995" s="3">
        <f>+IFERROR(VLOOKUP(C3995,'Mov 2023 hasta ahora '!$C$2:$D$314,2,FALSE),"NO")</f>
        <v>166</v>
      </c>
      <c r="K3995">
        <v>6</v>
      </c>
      <c r="L3995" t="s">
        <v>836</v>
      </c>
      <c r="M3995">
        <v>24</v>
      </c>
      <c r="O3995" s="29" t="s">
        <v>8954</v>
      </c>
      <c r="P3995" s="25" t="s">
        <v>8955</v>
      </c>
      <c r="Q3995" s="25">
        <v>1239</v>
      </c>
      <c r="R3995" t="s">
        <v>436</v>
      </c>
    </row>
    <row r="3996" spans="1:18" hidden="1">
      <c r="A3996" s="23" t="s">
        <v>7931</v>
      </c>
      <c r="B3996" s="23" t="s">
        <v>7932</v>
      </c>
      <c r="C3996" s="23">
        <v>2692</v>
      </c>
      <c r="I3996" s="3" t="str">
        <f>+IFERROR(VLOOKUP(C3996,'Mov 2023 hasta ahora '!$C$2:$D$314,2,FALSE),"NO")</f>
        <v>NO</v>
      </c>
      <c r="K3996">
        <v>6</v>
      </c>
      <c r="L3996" t="s">
        <v>836</v>
      </c>
      <c r="M3996">
        <v>24</v>
      </c>
      <c r="O3996" s="29" t="s">
        <v>8952</v>
      </c>
      <c r="P3996" s="25" t="s">
        <v>8953</v>
      </c>
      <c r="Q3996" s="25">
        <v>1233</v>
      </c>
      <c r="R3996" t="s">
        <v>436</v>
      </c>
    </row>
    <row r="3997" spans="1:18" hidden="1">
      <c r="A3997" s="23" t="s">
        <v>7933</v>
      </c>
      <c r="B3997" s="23" t="s">
        <v>7934</v>
      </c>
      <c r="C3997" s="23">
        <v>2693</v>
      </c>
      <c r="I3997" s="3" t="str">
        <f>+IFERROR(VLOOKUP(C3997,'Mov 2023 hasta ahora '!$C$2:$D$314,2,FALSE),"NO")</f>
        <v>NO</v>
      </c>
      <c r="K3997">
        <v>6</v>
      </c>
      <c r="L3997" t="s">
        <v>836</v>
      </c>
      <c r="M3997">
        <v>24</v>
      </c>
      <c r="O3997" s="29" t="s">
        <v>8952</v>
      </c>
      <c r="P3997" s="25" t="s">
        <v>8953</v>
      </c>
      <c r="Q3997" s="25">
        <v>1233</v>
      </c>
      <c r="R3997" t="s">
        <v>436</v>
      </c>
    </row>
    <row r="3998" spans="1:18" hidden="1">
      <c r="A3998" t="s">
        <v>7935</v>
      </c>
      <c r="B3998" t="s">
        <v>7936</v>
      </c>
      <c r="I3998" s="3" t="str">
        <f>+IFERROR(VLOOKUP(C3998,'Mov 2023 hasta ahora '!$C$2:$D$314,2,FALSE),"NO")</f>
        <v>NO</v>
      </c>
      <c r="K3998">
        <v>5</v>
      </c>
      <c r="L3998" t="s">
        <v>836</v>
      </c>
      <c r="M3998">
        <v>18</v>
      </c>
    </row>
    <row r="3999" spans="1:18" hidden="1">
      <c r="A3999" s="23" t="s">
        <v>7937</v>
      </c>
      <c r="B3999" s="23" t="s">
        <v>7938</v>
      </c>
      <c r="C3999" s="23">
        <v>1240</v>
      </c>
      <c r="D3999" t="s">
        <v>436</v>
      </c>
      <c r="I3999" s="3">
        <f>+IFERROR(VLOOKUP(C3999,'Mov 2023 hasta ahora '!$C$2:$D$314,2,FALSE),"NO")</f>
        <v>109</v>
      </c>
      <c r="K3999">
        <v>6</v>
      </c>
      <c r="L3999" t="s">
        <v>836</v>
      </c>
      <c r="M3999">
        <v>24</v>
      </c>
      <c r="O3999" s="29" t="s">
        <v>8915</v>
      </c>
      <c r="P3999" s="25" t="s">
        <v>8888</v>
      </c>
      <c r="Q3999" s="25">
        <v>1240</v>
      </c>
      <c r="R3999" t="s">
        <v>436</v>
      </c>
    </row>
    <row r="4000" spans="1:18" s="13" customFormat="1" hidden="1">
      <c r="A4000" s="23" t="s">
        <v>7939</v>
      </c>
      <c r="B4000" s="23" t="s">
        <v>7940</v>
      </c>
      <c r="C4000" s="23">
        <v>1241</v>
      </c>
      <c r="D4000" s="13" t="s">
        <v>436</v>
      </c>
      <c r="G4000"/>
      <c r="I4000" s="14">
        <f>+IFERROR(VLOOKUP(C4000,'Mov 2023 hasta ahora '!$C$2:$D$314,2,FALSE),"NO")</f>
        <v>90</v>
      </c>
      <c r="K4000">
        <v>6</v>
      </c>
      <c r="L4000" t="s">
        <v>836</v>
      </c>
      <c r="M4000">
        <v>24</v>
      </c>
      <c r="O4000" s="29" t="s">
        <v>8814</v>
      </c>
      <c r="P4000" s="25" t="s">
        <v>8889</v>
      </c>
      <c r="Q4000" s="25">
        <v>1241</v>
      </c>
      <c r="R4000" t="s">
        <v>436</v>
      </c>
    </row>
    <row r="4001" spans="1:18" s="13" customFormat="1" hidden="1">
      <c r="A4001" s="23" t="s">
        <v>7941</v>
      </c>
      <c r="B4001" s="23" t="s">
        <v>7942</v>
      </c>
      <c r="C4001" s="23">
        <v>1242</v>
      </c>
      <c r="D4001" s="13" t="s">
        <v>436</v>
      </c>
      <c r="G4001"/>
      <c r="I4001" s="14">
        <f>+IFERROR(VLOOKUP(C4001,'Mov 2023 hasta ahora '!$C$2:$D$314,2,FALSE),"NO")</f>
        <v>73</v>
      </c>
      <c r="K4001">
        <v>6</v>
      </c>
      <c r="L4001" t="s">
        <v>836</v>
      </c>
      <c r="M4001">
        <v>24</v>
      </c>
      <c r="O4001" s="29" t="s">
        <v>8819</v>
      </c>
      <c r="P4001" s="25" t="s">
        <v>8944</v>
      </c>
      <c r="Q4001" s="25">
        <v>1242</v>
      </c>
      <c r="R4001" t="s">
        <v>436</v>
      </c>
    </row>
    <row r="4002" spans="1:18" hidden="1">
      <c r="A4002" s="23" t="s">
        <v>7943</v>
      </c>
      <c r="B4002" s="23" t="s">
        <v>7944</v>
      </c>
      <c r="C4002" s="23">
        <v>1243</v>
      </c>
      <c r="D4002" t="s">
        <v>436</v>
      </c>
      <c r="I4002" s="3" t="str">
        <f>+IFERROR(VLOOKUP(C4002,'Mov 2023 hasta ahora '!$C$2:$D$314,2,FALSE),"NO")</f>
        <v>NO</v>
      </c>
      <c r="K4002">
        <v>6</v>
      </c>
      <c r="L4002" t="s">
        <v>836</v>
      </c>
      <c r="M4002">
        <v>24</v>
      </c>
      <c r="O4002" s="29" t="s">
        <v>8814</v>
      </c>
      <c r="P4002" s="25" t="s">
        <v>8889</v>
      </c>
      <c r="Q4002" s="25">
        <v>1241</v>
      </c>
      <c r="R4002" t="s">
        <v>436</v>
      </c>
    </row>
    <row r="4003" spans="1:18" hidden="1">
      <c r="A4003" s="23" t="s">
        <v>7945</v>
      </c>
      <c r="B4003" s="23" t="s">
        <v>7946</v>
      </c>
      <c r="C4003" s="23">
        <v>1244</v>
      </c>
      <c r="D4003" t="s">
        <v>436</v>
      </c>
      <c r="I4003" s="3">
        <f>+IFERROR(VLOOKUP(C4003,'Mov 2023 hasta ahora '!$C$2:$D$314,2,FALSE),"NO")</f>
        <v>7</v>
      </c>
      <c r="K4003">
        <v>6</v>
      </c>
      <c r="L4003" t="s">
        <v>836</v>
      </c>
      <c r="M4003">
        <v>24</v>
      </c>
      <c r="O4003" s="29" t="s">
        <v>9014</v>
      </c>
      <c r="P4003" s="25" t="s">
        <v>8890</v>
      </c>
      <c r="Q4003" s="25">
        <v>1244</v>
      </c>
      <c r="R4003" t="s">
        <v>436</v>
      </c>
    </row>
    <row r="4004" spans="1:18" hidden="1">
      <c r="A4004" s="23" t="s">
        <v>7947</v>
      </c>
      <c r="B4004" s="23" t="s">
        <v>7948</v>
      </c>
      <c r="C4004" s="23">
        <v>1245</v>
      </c>
      <c r="D4004" t="s">
        <v>436</v>
      </c>
      <c r="I4004" s="3">
        <f>+IFERROR(VLOOKUP(C4004,'Mov 2023 hasta ahora '!$C$2:$D$314,2,FALSE),"NO")</f>
        <v>80</v>
      </c>
      <c r="K4004">
        <v>6</v>
      </c>
      <c r="L4004" t="s">
        <v>836</v>
      </c>
      <c r="M4004">
        <v>24</v>
      </c>
      <c r="O4004" s="29" t="s">
        <v>8891</v>
      </c>
      <c r="P4004" s="25" t="s">
        <v>8892</v>
      </c>
      <c r="Q4004" s="25">
        <v>1245</v>
      </c>
      <c r="R4004" t="s">
        <v>436</v>
      </c>
    </row>
    <row r="4005" spans="1:18" hidden="1">
      <c r="A4005" s="23" t="s">
        <v>7949</v>
      </c>
      <c r="B4005" s="23" t="s">
        <v>7950</v>
      </c>
      <c r="C4005" s="23">
        <v>1246</v>
      </c>
      <c r="D4005" t="s">
        <v>436</v>
      </c>
      <c r="I4005" s="3">
        <f>+IFERROR(VLOOKUP(C4005,'Mov 2023 hasta ahora '!$C$2:$D$314,2,FALSE),"NO")</f>
        <v>73</v>
      </c>
      <c r="K4005">
        <v>6</v>
      </c>
      <c r="L4005" t="s">
        <v>836</v>
      </c>
      <c r="M4005">
        <v>24</v>
      </c>
      <c r="O4005" s="25" t="s">
        <v>8893</v>
      </c>
      <c r="P4005" s="25" t="s">
        <v>8894</v>
      </c>
      <c r="Q4005" s="25">
        <v>1246</v>
      </c>
      <c r="R4005" t="s">
        <v>436</v>
      </c>
    </row>
    <row r="4006" spans="1:18" hidden="1">
      <c r="A4006" s="23" t="s">
        <v>7951</v>
      </c>
      <c r="B4006" s="23" t="s">
        <v>7952</v>
      </c>
      <c r="C4006" s="23">
        <v>1247</v>
      </c>
      <c r="D4006" t="s">
        <v>436</v>
      </c>
      <c r="I4006" s="3">
        <f>+IFERROR(VLOOKUP(C4006,'Mov 2023 hasta ahora '!$C$2:$D$314,2,FALSE),"NO")</f>
        <v>59</v>
      </c>
      <c r="K4006">
        <v>6</v>
      </c>
      <c r="L4006" t="s">
        <v>836</v>
      </c>
      <c r="M4006">
        <v>24</v>
      </c>
      <c r="O4006" s="25" t="s">
        <v>8895</v>
      </c>
      <c r="P4006" s="25" t="s">
        <v>8896</v>
      </c>
      <c r="Q4006" s="25">
        <v>1247</v>
      </c>
      <c r="R4006" t="s">
        <v>436</v>
      </c>
    </row>
    <row r="4007" spans="1:18" hidden="1">
      <c r="A4007" s="23" t="s">
        <v>7953</v>
      </c>
      <c r="B4007" s="23" t="s">
        <v>7954</v>
      </c>
      <c r="C4007" s="23">
        <v>1248</v>
      </c>
      <c r="D4007" t="s">
        <v>436</v>
      </c>
      <c r="I4007" s="3">
        <f>+IFERROR(VLOOKUP(C4007,'Mov 2023 hasta ahora '!$C$2:$D$314,2,FALSE),"NO")</f>
        <v>19</v>
      </c>
      <c r="K4007">
        <v>6</v>
      </c>
      <c r="L4007" t="s">
        <v>836</v>
      </c>
      <c r="M4007">
        <v>24</v>
      </c>
      <c r="O4007" s="25" t="s">
        <v>8897</v>
      </c>
      <c r="P4007" s="25" t="s">
        <v>8898</v>
      </c>
      <c r="Q4007" s="25">
        <v>1248</v>
      </c>
      <c r="R4007" t="s">
        <v>436</v>
      </c>
    </row>
    <row r="4008" spans="1:18" hidden="1">
      <c r="A4008" s="23" t="s">
        <v>7955</v>
      </c>
      <c r="B4008" s="23" t="s">
        <v>7956</v>
      </c>
      <c r="C4008" s="23">
        <v>1249</v>
      </c>
      <c r="D4008" t="s">
        <v>436</v>
      </c>
      <c r="I4008" s="3">
        <f>+IFERROR(VLOOKUP(C4008,'Mov 2023 hasta ahora '!$C$2:$D$314,2,FALSE),"NO")</f>
        <v>54</v>
      </c>
      <c r="K4008">
        <v>6</v>
      </c>
      <c r="L4008" t="s">
        <v>836</v>
      </c>
      <c r="M4008">
        <v>24</v>
      </c>
      <c r="O4008" s="29" t="s">
        <v>8891</v>
      </c>
      <c r="P4008" s="25" t="s">
        <v>8892</v>
      </c>
      <c r="Q4008" s="25">
        <v>1245</v>
      </c>
      <c r="R4008" t="s">
        <v>436</v>
      </c>
    </row>
    <row r="4009" spans="1:18" hidden="1">
      <c r="A4009" s="23" t="s">
        <v>7957</v>
      </c>
      <c r="B4009" s="23" t="s">
        <v>7958</v>
      </c>
      <c r="C4009" s="23">
        <v>1250</v>
      </c>
      <c r="D4009" t="s">
        <v>436</v>
      </c>
      <c r="I4009" s="3" t="str">
        <f>+IFERROR(VLOOKUP(C4009,'Mov 2023 hasta ahora '!$C$2:$D$314,2,FALSE),"NO")</f>
        <v>NO</v>
      </c>
      <c r="K4009">
        <v>6</v>
      </c>
      <c r="L4009" t="s">
        <v>836</v>
      </c>
      <c r="M4009">
        <v>24</v>
      </c>
      <c r="O4009" s="29" t="s">
        <v>8891</v>
      </c>
      <c r="P4009" s="25" t="s">
        <v>8892</v>
      </c>
      <c r="Q4009" s="25">
        <v>1245</v>
      </c>
      <c r="R4009" t="s">
        <v>436</v>
      </c>
    </row>
    <row r="4010" spans="1:18" hidden="1">
      <c r="A4010" s="23" t="s">
        <v>7959</v>
      </c>
      <c r="B4010" s="23" t="s">
        <v>7960</v>
      </c>
      <c r="C4010" s="23">
        <v>1251</v>
      </c>
      <c r="D4010" t="s">
        <v>436</v>
      </c>
      <c r="I4010" s="3">
        <f>+IFERROR(VLOOKUP(C4010,'Mov 2023 hasta ahora '!$C$2:$D$314,2,FALSE),"NO")</f>
        <v>78</v>
      </c>
      <c r="K4010">
        <v>6</v>
      </c>
      <c r="L4010" t="s">
        <v>836</v>
      </c>
      <c r="M4010">
        <v>24</v>
      </c>
      <c r="O4010" s="29" t="s">
        <v>8899</v>
      </c>
      <c r="P4010" s="25" t="s">
        <v>8900</v>
      </c>
      <c r="Q4010" s="25">
        <v>1251</v>
      </c>
      <c r="R4010" t="s">
        <v>436</v>
      </c>
    </row>
    <row r="4011" spans="1:18" hidden="1">
      <c r="A4011" s="23" t="s">
        <v>7961</v>
      </c>
      <c r="B4011" s="23" t="s">
        <v>7962</v>
      </c>
      <c r="C4011" s="23">
        <v>1252</v>
      </c>
      <c r="D4011" t="s">
        <v>436</v>
      </c>
      <c r="I4011" s="3">
        <f>+IFERROR(VLOOKUP(C4011,'Mov 2023 hasta ahora '!$C$2:$D$314,2,FALSE),"NO")</f>
        <v>725</v>
      </c>
      <c r="K4011">
        <v>6</v>
      </c>
      <c r="L4011" t="s">
        <v>836</v>
      </c>
      <c r="M4011">
        <v>24</v>
      </c>
      <c r="O4011" s="29" t="s">
        <v>8901</v>
      </c>
      <c r="P4011" s="25" t="s">
        <v>8902</v>
      </c>
      <c r="Q4011" s="25">
        <v>1252</v>
      </c>
      <c r="R4011" t="s">
        <v>436</v>
      </c>
    </row>
    <row r="4012" spans="1:18" hidden="1">
      <c r="A4012" s="23" t="s">
        <v>7963</v>
      </c>
      <c r="B4012" s="23" t="s">
        <v>7964</v>
      </c>
      <c r="C4012" s="23">
        <v>1253</v>
      </c>
      <c r="D4012" t="s">
        <v>436</v>
      </c>
      <c r="I4012" s="3">
        <f>+IFERROR(VLOOKUP(C4012,'Mov 2023 hasta ahora '!$C$2:$D$314,2,FALSE),"NO")</f>
        <v>172</v>
      </c>
      <c r="K4012">
        <v>6</v>
      </c>
      <c r="L4012" t="s">
        <v>836</v>
      </c>
      <c r="M4012">
        <v>24</v>
      </c>
      <c r="O4012" s="25" t="s">
        <v>8903</v>
      </c>
      <c r="P4012" s="25" t="s">
        <v>8904</v>
      </c>
      <c r="Q4012" s="25">
        <v>1253</v>
      </c>
      <c r="R4012" t="s">
        <v>436</v>
      </c>
    </row>
    <row r="4013" spans="1:18" hidden="1">
      <c r="A4013" s="23" t="s">
        <v>7965</v>
      </c>
      <c r="B4013" s="23" t="s">
        <v>7966</v>
      </c>
      <c r="C4013" s="23">
        <v>1254</v>
      </c>
      <c r="D4013" t="s">
        <v>436</v>
      </c>
      <c r="I4013" s="3">
        <f>+IFERROR(VLOOKUP(C4013,'Mov 2023 hasta ahora '!$C$2:$D$314,2,FALSE),"NO")</f>
        <v>5</v>
      </c>
      <c r="K4013">
        <v>6</v>
      </c>
      <c r="L4013" t="s">
        <v>836</v>
      </c>
      <c r="M4013">
        <v>24</v>
      </c>
      <c r="O4013" s="25" t="s">
        <v>8905</v>
      </c>
      <c r="P4013" s="25" t="s">
        <v>8906</v>
      </c>
      <c r="Q4013" s="25">
        <v>1255</v>
      </c>
      <c r="R4013" t="s">
        <v>436</v>
      </c>
    </row>
    <row r="4014" spans="1:18" hidden="1">
      <c r="A4014" s="23" t="s">
        <v>7967</v>
      </c>
      <c r="B4014" s="23" t="s">
        <v>7968</v>
      </c>
      <c r="C4014" s="23">
        <v>1255</v>
      </c>
      <c r="D4014" t="s">
        <v>436</v>
      </c>
      <c r="I4014" s="3">
        <f>+IFERROR(VLOOKUP(C4014,'Mov 2023 hasta ahora '!$C$2:$D$314,2,FALSE),"NO")</f>
        <v>12</v>
      </c>
      <c r="K4014">
        <v>6</v>
      </c>
      <c r="L4014" t="s">
        <v>836</v>
      </c>
      <c r="M4014">
        <v>24</v>
      </c>
      <c r="O4014" s="25" t="s">
        <v>8905</v>
      </c>
      <c r="P4014" s="25" t="s">
        <v>8906</v>
      </c>
      <c r="Q4014" s="25">
        <v>1255</v>
      </c>
      <c r="R4014" t="s">
        <v>436</v>
      </c>
    </row>
    <row r="4015" spans="1:18" hidden="1">
      <c r="A4015" s="23" t="s">
        <v>7969</v>
      </c>
      <c r="B4015" s="23" t="s">
        <v>7970</v>
      </c>
      <c r="C4015" s="23">
        <v>1256</v>
      </c>
      <c r="D4015" t="s">
        <v>436</v>
      </c>
      <c r="I4015" s="3">
        <f>+IFERROR(VLOOKUP(C4015,'Mov 2023 hasta ahora '!$C$2:$D$314,2,FALSE),"NO")</f>
        <v>34</v>
      </c>
      <c r="K4015">
        <v>6</v>
      </c>
      <c r="L4015" t="s">
        <v>836</v>
      </c>
      <c r="M4015">
        <v>24</v>
      </c>
      <c r="O4015" s="25" t="s">
        <v>8907</v>
      </c>
      <c r="P4015" s="25" t="s">
        <v>8908</v>
      </c>
      <c r="Q4015" s="25">
        <v>1256</v>
      </c>
      <c r="R4015" t="s">
        <v>436</v>
      </c>
    </row>
    <row r="4016" spans="1:18" hidden="1">
      <c r="A4016" s="23" t="s">
        <v>7971</v>
      </c>
      <c r="B4016" s="23" t="s">
        <v>7972</v>
      </c>
      <c r="C4016" s="23">
        <v>1257</v>
      </c>
      <c r="D4016" t="s">
        <v>436</v>
      </c>
      <c r="I4016" s="3">
        <f>+IFERROR(VLOOKUP(C4016,'Mov 2023 hasta ahora '!$C$2:$D$314,2,FALSE),"NO")</f>
        <v>45</v>
      </c>
      <c r="K4016">
        <v>6</v>
      </c>
      <c r="L4016" t="s">
        <v>836</v>
      </c>
      <c r="M4016">
        <v>24</v>
      </c>
      <c r="O4016" s="25" t="s">
        <v>8909</v>
      </c>
      <c r="P4016" s="25" t="s">
        <v>8910</v>
      </c>
      <c r="Q4016" s="25">
        <v>1257</v>
      </c>
      <c r="R4016" t="s">
        <v>436</v>
      </c>
    </row>
    <row r="4017" spans="1:18" hidden="1">
      <c r="A4017" s="23" t="s">
        <v>7973</v>
      </c>
      <c r="B4017" s="23" t="s">
        <v>7974</v>
      </c>
      <c r="C4017" s="23">
        <v>1258</v>
      </c>
      <c r="D4017" t="s">
        <v>436</v>
      </c>
      <c r="I4017" s="3">
        <f>+IFERROR(VLOOKUP(C4017,'Mov 2023 hasta ahora '!$C$2:$D$314,2,FALSE),"NO")</f>
        <v>245</v>
      </c>
      <c r="K4017">
        <v>6</v>
      </c>
      <c r="L4017" t="s">
        <v>836</v>
      </c>
      <c r="M4017">
        <v>24</v>
      </c>
      <c r="O4017" s="25" t="s">
        <v>8911</v>
      </c>
      <c r="P4017" s="25" t="s">
        <v>8912</v>
      </c>
      <c r="Q4017" s="25">
        <v>1258</v>
      </c>
      <c r="R4017" t="s">
        <v>436</v>
      </c>
    </row>
    <row r="4018" spans="1:18" hidden="1">
      <c r="A4018" s="23" t="s">
        <v>7975</v>
      </c>
      <c r="B4018" s="23" t="s">
        <v>7976</v>
      </c>
      <c r="C4018" s="23">
        <v>1259</v>
      </c>
      <c r="D4018" t="s">
        <v>436</v>
      </c>
      <c r="I4018" s="3">
        <f>+IFERROR(VLOOKUP(C4018,'Mov 2023 hasta ahora '!$C$2:$D$314,2,FALSE),"NO")</f>
        <v>142</v>
      </c>
      <c r="K4018">
        <v>6</v>
      </c>
      <c r="L4018" t="s">
        <v>836</v>
      </c>
      <c r="M4018">
        <v>24</v>
      </c>
      <c r="O4018" s="25" t="s">
        <v>8913</v>
      </c>
      <c r="P4018" s="25" t="s">
        <v>8914</v>
      </c>
      <c r="Q4018" s="25">
        <v>1259</v>
      </c>
      <c r="R4018" t="s">
        <v>436</v>
      </c>
    </row>
    <row r="4019" spans="1:18" hidden="1">
      <c r="A4019" s="23" t="s">
        <v>7977</v>
      </c>
      <c r="B4019" s="23" t="s">
        <v>7978</v>
      </c>
      <c r="C4019" s="23">
        <v>1260</v>
      </c>
      <c r="D4019" t="s">
        <v>436</v>
      </c>
      <c r="I4019" s="3">
        <f>+IFERROR(VLOOKUP(C4019,'Mov 2023 hasta ahora '!$C$2:$D$314,2,FALSE),"NO")</f>
        <v>351</v>
      </c>
      <c r="K4019">
        <v>6</v>
      </c>
      <c r="L4019" t="s">
        <v>836</v>
      </c>
      <c r="M4019">
        <v>24</v>
      </c>
      <c r="O4019" s="25" t="s">
        <v>8925</v>
      </c>
      <c r="P4019" s="25" t="s">
        <v>8926</v>
      </c>
      <c r="Q4019" s="25">
        <v>1260</v>
      </c>
      <c r="R4019" t="s">
        <v>436</v>
      </c>
    </row>
    <row r="4020" spans="1:18" hidden="1">
      <c r="A4020" s="23" t="s">
        <v>7979</v>
      </c>
      <c r="B4020" s="23" t="s">
        <v>7980</v>
      </c>
      <c r="C4020" s="23">
        <v>1261</v>
      </c>
      <c r="D4020" t="s">
        <v>436</v>
      </c>
      <c r="I4020" s="3">
        <f>+IFERROR(VLOOKUP(C4020,'Mov 2023 hasta ahora '!$C$2:$D$314,2,FALSE),"NO")</f>
        <v>2</v>
      </c>
      <c r="K4020">
        <v>6</v>
      </c>
      <c r="L4020" t="s">
        <v>836</v>
      </c>
      <c r="M4020">
        <v>24</v>
      </c>
      <c r="O4020" s="29" t="s">
        <v>8916</v>
      </c>
      <c r="P4020" s="25" t="s">
        <v>8917</v>
      </c>
      <c r="Q4020" s="25">
        <v>1267</v>
      </c>
      <c r="R4020" t="s">
        <v>436</v>
      </c>
    </row>
    <row r="4021" spans="1:18" hidden="1">
      <c r="A4021" s="23" t="s">
        <v>7981</v>
      </c>
      <c r="B4021" s="23" t="s">
        <v>7982</v>
      </c>
      <c r="C4021" s="23">
        <v>1262</v>
      </c>
      <c r="D4021" t="s">
        <v>436</v>
      </c>
      <c r="I4021" s="3">
        <f>+IFERROR(VLOOKUP(C4021,'Mov 2023 hasta ahora '!$C$2:$D$314,2,FALSE),"NO")</f>
        <v>210</v>
      </c>
      <c r="K4021">
        <v>6</v>
      </c>
      <c r="L4021" t="s">
        <v>836</v>
      </c>
      <c r="M4021">
        <v>24</v>
      </c>
      <c r="O4021" s="25" t="s">
        <v>8923</v>
      </c>
      <c r="P4021" s="25" t="s">
        <v>8924</v>
      </c>
      <c r="Q4021" s="25">
        <v>1262</v>
      </c>
      <c r="R4021" t="s">
        <v>436</v>
      </c>
    </row>
    <row r="4022" spans="1:18" hidden="1">
      <c r="A4022" s="23" t="s">
        <v>7983</v>
      </c>
      <c r="B4022" s="23" t="s">
        <v>7984</v>
      </c>
      <c r="C4022" s="23">
        <v>1263</v>
      </c>
      <c r="D4022" t="s">
        <v>436</v>
      </c>
      <c r="I4022" s="3">
        <f>+IFERROR(VLOOKUP(C4022,'Mov 2023 hasta ahora '!$C$2:$D$314,2,FALSE),"NO")</f>
        <v>20</v>
      </c>
      <c r="K4022">
        <v>6</v>
      </c>
      <c r="L4022" t="s">
        <v>836</v>
      </c>
      <c r="M4022">
        <v>24</v>
      </c>
      <c r="O4022" s="25" t="s">
        <v>8915</v>
      </c>
      <c r="P4022" s="25" t="s">
        <v>8888</v>
      </c>
      <c r="Q4022" s="25">
        <v>1240</v>
      </c>
      <c r="R4022" t="s">
        <v>436</v>
      </c>
    </row>
    <row r="4023" spans="1:18" hidden="1">
      <c r="A4023" s="23" t="s">
        <v>7985</v>
      </c>
      <c r="B4023" s="23" t="s">
        <v>7986</v>
      </c>
      <c r="C4023" s="23">
        <v>1264</v>
      </c>
      <c r="D4023" t="s">
        <v>436</v>
      </c>
      <c r="I4023" s="3">
        <f>+IFERROR(VLOOKUP(C4023,'Mov 2023 hasta ahora '!$C$2:$D$314,2,FALSE),"NO")</f>
        <v>187</v>
      </c>
      <c r="K4023">
        <v>6</v>
      </c>
      <c r="L4023" t="s">
        <v>836</v>
      </c>
      <c r="M4023">
        <v>24</v>
      </c>
      <c r="O4023" s="25" t="s">
        <v>8887</v>
      </c>
      <c r="P4023" s="25" t="s">
        <v>8920</v>
      </c>
      <c r="Q4023" s="25">
        <v>1264</v>
      </c>
      <c r="R4023" t="s">
        <v>436</v>
      </c>
    </row>
    <row r="4024" spans="1:18" hidden="1">
      <c r="A4024" s="23" t="s">
        <v>7987</v>
      </c>
      <c r="B4024" s="23" t="s">
        <v>7988</v>
      </c>
      <c r="C4024" s="23">
        <v>1265</v>
      </c>
      <c r="D4024" t="s">
        <v>436</v>
      </c>
      <c r="I4024" s="3" t="str">
        <f>+IFERROR(VLOOKUP(C4024,'Mov 2023 hasta ahora '!$C$2:$D$314,2,FALSE),"NO")</f>
        <v>NO</v>
      </c>
      <c r="K4024">
        <v>6</v>
      </c>
      <c r="L4024" t="s">
        <v>836</v>
      </c>
      <c r="M4024">
        <v>24</v>
      </c>
      <c r="O4024" s="25" t="s">
        <v>8921</v>
      </c>
      <c r="P4024" s="25" t="s">
        <v>8922</v>
      </c>
      <c r="Q4024" s="25">
        <v>1265</v>
      </c>
      <c r="R4024" t="s">
        <v>436</v>
      </c>
    </row>
    <row r="4025" spans="1:18" hidden="1">
      <c r="A4025" s="23" t="s">
        <v>7989</v>
      </c>
      <c r="B4025" s="23" t="s">
        <v>7990</v>
      </c>
      <c r="C4025" s="23">
        <v>1266</v>
      </c>
      <c r="D4025" t="s">
        <v>436</v>
      </c>
      <c r="I4025" s="3">
        <f>+IFERROR(VLOOKUP(C4025,'Mov 2023 hasta ahora '!$C$2:$D$314,2,FALSE),"NO")</f>
        <v>654</v>
      </c>
      <c r="K4025">
        <v>6</v>
      </c>
      <c r="L4025" t="s">
        <v>836</v>
      </c>
      <c r="M4025">
        <v>24</v>
      </c>
      <c r="O4025" s="29" t="s">
        <v>8918</v>
      </c>
      <c r="P4025" s="25" t="s">
        <v>8919</v>
      </c>
      <c r="Q4025" s="25">
        <v>1266</v>
      </c>
      <c r="R4025" t="s">
        <v>436</v>
      </c>
    </row>
    <row r="4026" spans="1:18" hidden="1">
      <c r="A4026" s="23" t="s">
        <v>7991</v>
      </c>
      <c r="B4026" s="23" t="s">
        <v>7992</v>
      </c>
      <c r="C4026" s="23">
        <v>1267</v>
      </c>
      <c r="D4026" t="s">
        <v>436</v>
      </c>
      <c r="I4026" s="3">
        <f>+IFERROR(VLOOKUP(C4026,'Mov 2023 hasta ahora '!$C$2:$D$314,2,FALSE),"NO")</f>
        <v>87</v>
      </c>
      <c r="K4026">
        <v>6</v>
      </c>
      <c r="L4026" t="s">
        <v>836</v>
      </c>
      <c r="M4026">
        <v>24</v>
      </c>
      <c r="O4026" s="29" t="s">
        <v>8916</v>
      </c>
      <c r="P4026" s="25" t="s">
        <v>8917</v>
      </c>
      <c r="Q4026" s="25">
        <v>1267</v>
      </c>
      <c r="R4026" t="s">
        <v>436</v>
      </c>
    </row>
    <row r="4027" spans="1:18" hidden="1">
      <c r="A4027" s="23" t="s">
        <v>7993</v>
      </c>
      <c r="B4027" s="23" t="s">
        <v>7994</v>
      </c>
      <c r="C4027" s="23">
        <v>1268</v>
      </c>
      <c r="D4027" t="s">
        <v>436</v>
      </c>
      <c r="I4027" s="3">
        <f>+IFERROR(VLOOKUP(C4027,'Mov 2023 hasta ahora '!$C$2:$D$314,2,FALSE),"NO")</f>
        <v>25</v>
      </c>
      <c r="K4027">
        <v>6</v>
      </c>
      <c r="L4027" t="s">
        <v>836</v>
      </c>
      <c r="M4027">
        <v>24</v>
      </c>
      <c r="O4027" s="25" t="s">
        <v>8927</v>
      </c>
      <c r="P4027" s="25" t="s">
        <v>8928</v>
      </c>
      <c r="Q4027" s="25">
        <v>1268</v>
      </c>
      <c r="R4027" t="s">
        <v>436</v>
      </c>
    </row>
    <row r="4028" spans="1:18" hidden="1">
      <c r="A4028" s="23" t="s">
        <v>7995</v>
      </c>
      <c r="B4028" s="23" t="s">
        <v>7996</v>
      </c>
      <c r="C4028" s="23">
        <v>1269</v>
      </c>
      <c r="D4028" t="s">
        <v>436</v>
      </c>
      <c r="I4028" s="3">
        <f>+IFERROR(VLOOKUP(C4028,'Mov 2023 hasta ahora '!$C$2:$D$314,2,FALSE),"NO")</f>
        <v>42</v>
      </c>
      <c r="K4028">
        <v>6</v>
      </c>
      <c r="L4028" t="s">
        <v>836</v>
      </c>
      <c r="M4028">
        <v>24</v>
      </c>
      <c r="O4028" s="25" t="s">
        <v>8929</v>
      </c>
      <c r="P4028" s="25" t="s">
        <v>8930</v>
      </c>
      <c r="Q4028" s="25">
        <v>1269</v>
      </c>
      <c r="R4028" t="s">
        <v>436</v>
      </c>
    </row>
    <row r="4029" spans="1:18" hidden="1">
      <c r="A4029" s="23" t="s">
        <v>7997</v>
      </c>
      <c r="B4029" s="23" t="s">
        <v>7998</v>
      </c>
      <c r="C4029" s="23">
        <v>1345</v>
      </c>
      <c r="D4029" t="s">
        <v>436</v>
      </c>
      <c r="I4029" s="3">
        <f>+IFERROR(VLOOKUP(C4029,'Mov 2023 hasta ahora '!$C$2:$D$314,2,FALSE),"NO")</f>
        <v>1</v>
      </c>
      <c r="K4029">
        <v>6</v>
      </c>
      <c r="L4029" t="s">
        <v>836</v>
      </c>
      <c r="M4029">
        <v>24</v>
      </c>
      <c r="O4029" s="25" t="s">
        <v>8895</v>
      </c>
      <c r="P4029" s="25" t="s">
        <v>8896</v>
      </c>
      <c r="Q4029" s="25">
        <v>1247</v>
      </c>
      <c r="R4029" t="s">
        <v>436</v>
      </c>
    </row>
    <row r="4030" spans="1:18" hidden="1">
      <c r="A4030" s="23" t="s">
        <v>7999</v>
      </c>
      <c r="B4030" s="23" t="s">
        <v>8000</v>
      </c>
      <c r="C4030" s="23">
        <v>1346</v>
      </c>
      <c r="D4030" t="s">
        <v>436</v>
      </c>
      <c r="I4030" s="3">
        <f>+IFERROR(VLOOKUP(C4030,'Mov 2023 hasta ahora '!$C$2:$D$314,2,FALSE),"NO")</f>
        <v>70</v>
      </c>
      <c r="K4030">
        <v>6</v>
      </c>
      <c r="L4030" t="s">
        <v>836</v>
      </c>
      <c r="M4030">
        <v>24</v>
      </c>
      <c r="O4030" s="25" t="s">
        <v>8931</v>
      </c>
      <c r="P4030" s="25" t="s">
        <v>8932</v>
      </c>
      <c r="Q4030" s="25">
        <v>1346</v>
      </c>
      <c r="R4030" t="s">
        <v>436</v>
      </c>
    </row>
    <row r="4031" spans="1:18" hidden="1">
      <c r="A4031" s="23" t="s">
        <v>8001</v>
      </c>
      <c r="B4031" s="23" t="s">
        <v>8002</v>
      </c>
      <c r="C4031" s="23">
        <v>1349</v>
      </c>
      <c r="D4031" t="s">
        <v>436</v>
      </c>
      <c r="I4031" s="3">
        <f>+IFERROR(VLOOKUP(C4031,'Mov 2023 hasta ahora '!$C$2:$D$314,2,FALSE),"NO")</f>
        <v>133</v>
      </c>
      <c r="K4031">
        <v>6</v>
      </c>
      <c r="L4031" t="s">
        <v>836</v>
      </c>
      <c r="M4031">
        <v>24</v>
      </c>
      <c r="O4031" s="25" t="s">
        <v>8935</v>
      </c>
      <c r="P4031" s="25" t="s">
        <v>8936</v>
      </c>
      <c r="Q4031" s="25">
        <v>1349</v>
      </c>
      <c r="R4031" t="s">
        <v>436</v>
      </c>
    </row>
    <row r="4032" spans="1:18" hidden="1">
      <c r="A4032" s="23" t="s">
        <v>8003</v>
      </c>
      <c r="B4032" s="23" t="s">
        <v>8004</v>
      </c>
      <c r="C4032" s="23">
        <v>3852</v>
      </c>
      <c r="I4032" s="3">
        <f>+IFERROR(VLOOKUP(C4032,'Mov 2023 hasta ahora '!$C$2:$D$314,2,FALSE),"NO")</f>
        <v>14</v>
      </c>
      <c r="K4032">
        <v>6</v>
      </c>
      <c r="L4032" t="s">
        <v>836</v>
      </c>
      <c r="M4032">
        <v>24</v>
      </c>
      <c r="O4032" s="29" t="s">
        <v>8933</v>
      </c>
      <c r="P4032" s="25" t="s">
        <v>8934</v>
      </c>
      <c r="Q4032" s="25">
        <v>3852</v>
      </c>
      <c r="R4032" t="s">
        <v>436</v>
      </c>
    </row>
    <row r="4033" spans="1:18" s="13" customFormat="1" hidden="1">
      <c r="A4033" s="23" t="s">
        <v>8005</v>
      </c>
      <c r="B4033" s="23" t="s">
        <v>8006</v>
      </c>
      <c r="C4033" s="23">
        <v>3805</v>
      </c>
      <c r="D4033" s="13" t="s">
        <v>436</v>
      </c>
      <c r="G4033"/>
      <c r="I4033" s="14">
        <f>+IFERROR(VLOOKUP(C4033,'Mov 2023 hasta ahora '!$C$2:$D$314,2,FALSE),"NO")</f>
        <v>21</v>
      </c>
      <c r="K4033">
        <v>6</v>
      </c>
      <c r="L4033" t="s">
        <v>836</v>
      </c>
      <c r="M4033">
        <v>24</v>
      </c>
      <c r="O4033" s="29" t="s">
        <v>8830</v>
      </c>
      <c r="P4033" s="25" t="s">
        <v>9078</v>
      </c>
      <c r="Q4033" s="25">
        <v>3805</v>
      </c>
      <c r="R4033" t="s">
        <v>436</v>
      </c>
    </row>
    <row r="4034" spans="1:18" s="13" customFormat="1" hidden="1">
      <c r="A4034" s="23" t="s">
        <v>8007</v>
      </c>
      <c r="B4034" s="23" t="s">
        <v>8008</v>
      </c>
      <c r="C4034" s="23">
        <v>3806</v>
      </c>
      <c r="D4034" s="13" t="s">
        <v>436</v>
      </c>
      <c r="G4034"/>
      <c r="I4034" s="14">
        <f>+IFERROR(VLOOKUP(C4034,'Mov 2023 hasta ahora '!$C$2:$D$314,2,FALSE),"NO")</f>
        <v>21</v>
      </c>
      <c r="K4034">
        <v>6</v>
      </c>
      <c r="L4034" t="s">
        <v>836</v>
      </c>
      <c r="M4034">
        <v>24</v>
      </c>
      <c r="O4034" s="29" t="s">
        <v>8840</v>
      </c>
      <c r="P4034" s="25" t="s">
        <v>9077</v>
      </c>
      <c r="Q4034" s="25">
        <v>3806</v>
      </c>
      <c r="R4034" t="s">
        <v>436</v>
      </c>
    </row>
    <row r="4035" spans="1:18" hidden="1">
      <c r="A4035" s="23" t="s">
        <v>8009</v>
      </c>
      <c r="B4035" s="23" t="s">
        <v>8010</v>
      </c>
      <c r="C4035" s="23">
        <v>2277</v>
      </c>
      <c r="I4035" s="3" t="str">
        <f>+IFERROR(VLOOKUP(C4035,'Mov 2023 hasta ahora '!$C$2:$D$314,2,FALSE),"NO")</f>
        <v>NO</v>
      </c>
      <c r="K4035">
        <v>6</v>
      </c>
      <c r="L4035" t="s">
        <v>836</v>
      </c>
      <c r="M4035">
        <v>24</v>
      </c>
      <c r="O4035" s="25" t="s">
        <v>8913</v>
      </c>
      <c r="P4035" s="25" t="s">
        <v>8914</v>
      </c>
      <c r="Q4035" s="25">
        <v>1259</v>
      </c>
      <c r="R4035" t="s">
        <v>436</v>
      </c>
    </row>
    <row r="4036" spans="1:18" hidden="1">
      <c r="A4036" s="23" t="s">
        <v>8011</v>
      </c>
      <c r="B4036" s="23" t="s">
        <v>8012</v>
      </c>
      <c r="C4036" s="23">
        <v>3855</v>
      </c>
      <c r="D4036" t="s">
        <v>436</v>
      </c>
      <c r="I4036" s="3">
        <f>+IFERROR(VLOOKUP(C4036,'Mov 2023 hasta ahora '!$C$2:$D$314,2,FALSE),"NO")</f>
        <v>117</v>
      </c>
      <c r="K4036">
        <v>6</v>
      </c>
      <c r="L4036" t="s">
        <v>836</v>
      </c>
      <c r="M4036">
        <v>24</v>
      </c>
      <c r="O4036" s="25" t="s">
        <v>8937</v>
      </c>
      <c r="P4036" s="25" t="s">
        <v>8938</v>
      </c>
      <c r="Q4036" s="25">
        <v>3855</v>
      </c>
      <c r="R4036" t="s">
        <v>436</v>
      </c>
    </row>
    <row r="4037" spans="1:18" hidden="1">
      <c r="A4037" t="s">
        <v>8013</v>
      </c>
      <c r="B4037" t="s">
        <v>8014</v>
      </c>
      <c r="I4037" s="3" t="str">
        <f>+IFERROR(VLOOKUP(C4037,'Mov 2023 hasta ahora '!$C$2:$D$314,2,FALSE),"NO")</f>
        <v>NO</v>
      </c>
      <c r="K4037">
        <v>5</v>
      </c>
      <c r="L4037" t="s">
        <v>836</v>
      </c>
      <c r="M4037">
        <v>18</v>
      </c>
    </row>
    <row r="4038" spans="1:18" hidden="1">
      <c r="A4038" s="23" t="s">
        <v>8015</v>
      </c>
      <c r="B4038" s="23" t="s">
        <v>8016</v>
      </c>
      <c r="C4038" s="23">
        <v>1279</v>
      </c>
      <c r="D4038" t="s">
        <v>436</v>
      </c>
      <c r="I4038" s="3">
        <f>+IFERROR(VLOOKUP(C4038,'Mov 2023 hasta ahora '!$C$2:$D$314,2,FALSE),"NO")</f>
        <v>98</v>
      </c>
      <c r="K4038">
        <v>6</v>
      </c>
      <c r="L4038" t="s">
        <v>836</v>
      </c>
      <c r="M4038">
        <v>24</v>
      </c>
      <c r="O4038" s="29" t="s">
        <v>8869</v>
      </c>
      <c r="P4038" s="25" t="s">
        <v>8870</v>
      </c>
      <c r="Q4038" s="25">
        <v>1279</v>
      </c>
    </row>
    <row r="4039" spans="1:18" hidden="1">
      <c r="A4039" s="23" t="s">
        <v>8017</v>
      </c>
      <c r="B4039" s="23" t="s">
        <v>8018</v>
      </c>
      <c r="C4039" s="23">
        <v>1280</v>
      </c>
      <c r="D4039" t="s">
        <v>436</v>
      </c>
      <c r="I4039" s="3">
        <f>+IFERROR(VLOOKUP(C4039,'Mov 2023 hasta ahora '!$C$2:$D$314,2,FALSE),"NO")</f>
        <v>448</v>
      </c>
      <c r="K4039">
        <v>6</v>
      </c>
      <c r="L4039" t="s">
        <v>836</v>
      </c>
      <c r="M4039">
        <v>24</v>
      </c>
      <c r="O4039" s="29" t="s">
        <v>8871</v>
      </c>
      <c r="P4039" s="25" t="s">
        <v>8872</v>
      </c>
      <c r="Q4039" s="25">
        <v>1280</v>
      </c>
    </row>
    <row r="4040" spans="1:18" hidden="1">
      <c r="A4040" s="23" t="s">
        <v>8019</v>
      </c>
      <c r="B4040" s="23" t="s">
        <v>8020</v>
      </c>
      <c r="C4040" s="23">
        <v>1281</v>
      </c>
      <c r="D4040" t="s">
        <v>436</v>
      </c>
      <c r="I4040" s="3">
        <f>+IFERROR(VLOOKUP(C4040,'Mov 2023 hasta ahora '!$C$2:$D$314,2,FALSE),"NO")</f>
        <v>55</v>
      </c>
      <c r="K4040">
        <v>6</v>
      </c>
      <c r="L4040" t="s">
        <v>836</v>
      </c>
      <c r="M4040">
        <v>24</v>
      </c>
      <c r="O4040" s="29" t="s">
        <v>8873</v>
      </c>
      <c r="P4040" s="25" t="s">
        <v>8874</v>
      </c>
      <c r="Q4040" s="25">
        <v>1281</v>
      </c>
    </row>
    <row r="4041" spans="1:18" hidden="1">
      <c r="A4041" s="23" t="s">
        <v>8021</v>
      </c>
      <c r="B4041" s="23" t="s">
        <v>8022</v>
      </c>
      <c r="C4041" s="23">
        <v>1282</v>
      </c>
      <c r="D4041" t="s">
        <v>436</v>
      </c>
      <c r="I4041" s="3">
        <f>+IFERROR(VLOOKUP(C4041,'Mov 2023 hasta ahora '!$C$2:$D$314,2,FALSE),"NO")</f>
        <v>4</v>
      </c>
      <c r="K4041">
        <v>6</v>
      </c>
      <c r="L4041" t="s">
        <v>836</v>
      </c>
      <c r="M4041">
        <v>24</v>
      </c>
      <c r="O4041" s="29" t="s">
        <v>8875</v>
      </c>
      <c r="P4041" s="25" t="s">
        <v>8876</v>
      </c>
      <c r="Q4041" s="25">
        <v>1282</v>
      </c>
    </row>
    <row r="4042" spans="1:18" hidden="1">
      <c r="A4042" s="23" t="s">
        <v>8023</v>
      </c>
      <c r="B4042" s="23" t="s">
        <v>8024</v>
      </c>
      <c r="C4042" s="23">
        <v>1283</v>
      </c>
      <c r="D4042" t="s">
        <v>436</v>
      </c>
      <c r="I4042" s="3">
        <f>+IFERROR(VLOOKUP(C4042,'Mov 2023 hasta ahora '!$C$2:$D$314,2,FALSE),"NO")</f>
        <v>19</v>
      </c>
      <c r="K4042">
        <v>6</v>
      </c>
      <c r="L4042" t="s">
        <v>836</v>
      </c>
      <c r="M4042">
        <v>24</v>
      </c>
      <c r="O4042" s="29" t="s">
        <v>8877</v>
      </c>
      <c r="P4042" s="25" t="s">
        <v>8878</v>
      </c>
      <c r="Q4042" s="25">
        <v>1283</v>
      </c>
    </row>
    <row r="4043" spans="1:18" hidden="1">
      <c r="A4043" s="23" t="s">
        <v>8025</v>
      </c>
      <c r="B4043" s="23" t="s">
        <v>8026</v>
      </c>
      <c r="C4043" s="23">
        <v>1284</v>
      </c>
      <c r="D4043" t="s">
        <v>436</v>
      </c>
      <c r="I4043" s="3">
        <f>+IFERROR(VLOOKUP(C4043,'Mov 2023 hasta ahora '!$C$2:$D$314,2,FALSE),"NO")</f>
        <v>149</v>
      </c>
      <c r="K4043">
        <v>6</v>
      </c>
      <c r="L4043" t="s">
        <v>836</v>
      </c>
      <c r="M4043">
        <v>24</v>
      </c>
      <c r="O4043" s="29" t="s">
        <v>8879</v>
      </c>
      <c r="P4043" s="25" t="s">
        <v>8880</v>
      </c>
      <c r="Q4043" s="25">
        <v>1284</v>
      </c>
    </row>
    <row r="4044" spans="1:18" hidden="1">
      <c r="A4044" s="23" t="s">
        <v>8027</v>
      </c>
      <c r="B4044" s="23" t="s">
        <v>8028</v>
      </c>
      <c r="C4044" s="23">
        <v>1285</v>
      </c>
      <c r="D4044" t="s">
        <v>436</v>
      </c>
      <c r="I4044" s="3" t="str">
        <f>+IFERROR(VLOOKUP(C4044,'Mov 2023 hasta ahora '!$C$2:$D$314,2,FALSE),"NO")</f>
        <v>NO</v>
      </c>
      <c r="K4044">
        <v>6</v>
      </c>
      <c r="L4044" t="s">
        <v>836</v>
      </c>
      <c r="M4044">
        <v>24</v>
      </c>
      <c r="O4044" s="29" t="s">
        <v>8871</v>
      </c>
      <c r="P4044" s="25" t="s">
        <v>8872</v>
      </c>
      <c r="Q4044" s="25">
        <v>1280</v>
      </c>
    </row>
    <row r="4045" spans="1:18" hidden="1">
      <c r="A4045" s="23" t="s">
        <v>8029</v>
      </c>
      <c r="B4045" s="23" t="s">
        <v>8030</v>
      </c>
      <c r="C4045" s="23">
        <v>1286</v>
      </c>
      <c r="D4045" t="s">
        <v>436</v>
      </c>
      <c r="I4045" s="3" t="str">
        <f>+IFERROR(VLOOKUP(C4045,'Mov 2023 hasta ahora '!$C$2:$D$314,2,FALSE),"NO")</f>
        <v>NO</v>
      </c>
      <c r="K4045">
        <v>6</v>
      </c>
      <c r="L4045" t="s">
        <v>836</v>
      </c>
      <c r="M4045">
        <v>24</v>
      </c>
      <c r="O4045" s="29" t="s">
        <v>8881</v>
      </c>
      <c r="P4045" s="25" t="s">
        <v>8882</v>
      </c>
      <c r="Q4045" s="25">
        <v>3823</v>
      </c>
      <c r="R4045" t="s">
        <v>436</v>
      </c>
    </row>
    <row r="4046" spans="1:18" hidden="1">
      <c r="A4046" s="23" t="s">
        <v>8031</v>
      </c>
      <c r="B4046" s="23" t="s">
        <v>8032</v>
      </c>
      <c r="C4046" s="23">
        <v>2882</v>
      </c>
      <c r="I4046" s="3">
        <f>+IFERROR(VLOOKUP(C4046,'Mov 2023 hasta ahora '!$C$2:$D$314,2,FALSE),"NO")</f>
        <v>5</v>
      </c>
      <c r="K4046">
        <v>6</v>
      </c>
      <c r="L4046" t="s">
        <v>836</v>
      </c>
      <c r="M4046">
        <v>24</v>
      </c>
      <c r="O4046" s="29" t="s">
        <v>8885</v>
      </c>
      <c r="P4046" s="25" t="s">
        <v>8883</v>
      </c>
      <c r="Q4046" s="25">
        <v>2882</v>
      </c>
      <c r="R4046" t="s">
        <v>436</v>
      </c>
    </row>
    <row r="4047" spans="1:18" hidden="1">
      <c r="A4047" t="s">
        <v>8033</v>
      </c>
      <c r="B4047" t="s">
        <v>8034</v>
      </c>
      <c r="I4047" s="3" t="str">
        <f>+IFERROR(VLOOKUP(C4047,'Mov 2023 hasta ahora '!$C$2:$D$314,2,FALSE),"NO")</f>
        <v>NO</v>
      </c>
      <c r="K4047">
        <v>5</v>
      </c>
      <c r="L4047" t="s">
        <v>836</v>
      </c>
      <c r="M4047">
        <v>18</v>
      </c>
    </row>
    <row r="4048" spans="1:18" hidden="1">
      <c r="A4048" s="23" t="s">
        <v>8035</v>
      </c>
      <c r="B4048" s="23" t="s">
        <v>8036</v>
      </c>
      <c r="C4048" s="23">
        <v>1964</v>
      </c>
      <c r="I4048" s="3" t="str">
        <f>+IFERROR(VLOOKUP(C4048,'Mov 2023 hasta ahora '!$C$2:$D$314,2,FALSE),"NO")</f>
        <v>NO</v>
      </c>
      <c r="K4048">
        <v>6</v>
      </c>
      <c r="L4048" t="s">
        <v>836</v>
      </c>
      <c r="M4048">
        <v>24</v>
      </c>
      <c r="O4048" s="25" t="s">
        <v>8884</v>
      </c>
      <c r="P4048" s="25" t="s">
        <v>8886</v>
      </c>
      <c r="Q4048" s="25">
        <v>3822</v>
      </c>
      <c r="R4048" t="s">
        <v>436</v>
      </c>
    </row>
    <row r="4049" spans="1:18" hidden="1">
      <c r="A4049" s="23" t="s">
        <v>8037</v>
      </c>
      <c r="B4049" s="23" t="s">
        <v>8038</v>
      </c>
      <c r="C4049" s="23">
        <v>1965</v>
      </c>
      <c r="I4049" s="3" t="str">
        <f>+IFERROR(VLOOKUP(C4049,'Mov 2023 hasta ahora '!$C$2:$D$314,2,FALSE),"NO")</f>
        <v>NO</v>
      </c>
      <c r="K4049">
        <v>6</v>
      </c>
      <c r="L4049" t="s">
        <v>836</v>
      </c>
      <c r="M4049">
        <v>24</v>
      </c>
      <c r="O4049" s="29" t="s">
        <v>9171</v>
      </c>
      <c r="P4049" s="25" t="s">
        <v>8696</v>
      </c>
      <c r="Q4049" s="25">
        <v>1232</v>
      </c>
      <c r="R4049" t="s">
        <v>436</v>
      </c>
    </row>
    <row r="4050" spans="1:18" hidden="1">
      <c r="A4050" s="23" t="s">
        <v>8039</v>
      </c>
      <c r="B4050" s="23" t="s">
        <v>8040</v>
      </c>
      <c r="C4050" s="23">
        <v>1966</v>
      </c>
      <c r="I4050" s="3" t="str">
        <f>+IFERROR(VLOOKUP(C4050,'Mov 2023 hasta ahora '!$C$2:$D$314,2,FALSE),"NO")</f>
        <v>NO</v>
      </c>
      <c r="K4050">
        <v>6</v>
      </c>
      <c r="L4050" t="s">
        <v>836</v>
      </c>
      <c r="M4050">
        <v>24</v>
      </c>
      <c r="O4050" s="29" t="s">
        <v>9171</v>
      </c>
      <c r="P4050" s="25" t="s">
        <v>8696</v>
      </c>
      <c r="Q4050" s="25">
        <v>1232</v>
      </c>
      <c r="R4050" t="s">
        <v>436</v>
      </c>
    </row>
    <row r="4051" spans="1:18" hidden="1">
      <c r="A4051" s="23" t="s">
        <v>8041</v>
      </c>
      <c r="B4051" s="23" t="s">
        <v>8042</v>
      </c>
      <c r="C4051" s="23">
        <v>1967</v>
      </c>
      <c r="I4051" s="3" t="str">
        <f>+IFERROR(VLOOKUP(C4051,'Mov 2023 hasta ahora '!$C$2:$D$314,2,FALSE),"NO")</f>
        <v>NO</v>
      </c>
      <c r="K4051">
        <v>6</v>
      </c>
      <c r="L4051" t="s">
        <v>836</v>
      </c>
      <c r="M4051">
        <v>24</v>
      </c>
      <c r="O4051" s="25" t="s">
        <v>8884</v>
      </c>
      <c r="P4051" s="25" t="s">
        <v>8886</v>
      </c>
      <c r="Q4051" s="25">
        <v>3822</v>
      </c>
      <c r="R4051" t="s">
        <v>436</v>
      </c>
    </row>
    <row r="4052" spans="1:18" hidden="1">
      <c r="A4052" s="23" t="s">
        <v>8043</v>
      </c>
      <c r="B4052" s="23" t="s">
        <v>8044</v>
      </c>
      <c r="C4052" s="23">
        <v>3821</v>
      </c>
      <c r="D4052" t="s">
        <v>436</v>
      </c>
      <c r="I4052" s="3" t="str">
        <f>+IFERROR(VLOOKUP(C4052,'Mov 2023 hasta ahora '!$C$2:$D$314,2,FALSE),"NO")</f>
        <v>NO</v>
      </c>
      <c r="K4052">
        <v>6</v>
      </c>
      <c r="L4052" t="s">
        <v>836</v>
      </c>
      <c r="M4052">
        <v>24</v>
      </c>
      <c r="O4052" s="29" t="s">
        <v>9171</v>
      </c>
      <c r="P4052" s="25" t="s">
        <v>8696</v>
      </c>
      <c r="Q4052" s="25">
        <v>1232</v>
      </c>
      <c r="R4052" t="s">
        <v>436</v>
      </c>
    </row>
    <row r="4053" spans="1:18" hidden="1">
      <c r="A4053" s="23" t="s">
        <v>8045</v>
      </c>
      <c r="B4053" s="23" t="s">
        <v>8046</v>
      </c>
      <c r="C4053" s="23">
        <v>3822</v>
      </c>
      <c r="D4053" t="s">
        <v>436</v>
      </c>
      <c r="I4053" s="3" t="str">
        <f>+IFERROR(VLOOKUP(C4053,'Mov 2023 hasta ahora '!$C$2:$D$314,2,FALSE),"NO")</f>
        <v>NO</v>
      </c>
      <c r="K4053">
        <v>6</v>
      </c>
      <c r="L4053" t="s">
        <v>836</v>
      </c>
      <c r="M4053">
        <v>24</v>
      </c>
      <c r="O4053" s="29" t="s">
        <v>8884</v>
      </c>
      <c r="P4053" s="25" t="s">
        <v>8886</v>
      </c>
      <c r="Q4053" s="25">
        <v>3822</v>
      </c>
      <c r="R4053" t="s">
        <v>436</v>
      </c>
    </row>
    <row r="4054" spans="1:18" hidden="1">
      <c r="A4054" s="23" t="s">
        <v>8047</v>
      </c>
      <c r="B4054" s="23" t="s">
        <v>8048</v>
      </c>
      <c r="C4054" s="23">
        <v>3823</v>
      </c>
      <c r="D4054" t="s">
        <v>436</v>
      </c>
      <c r="I4054" s="3" t="str">
        <f>+IFERROR(VLOOKUP(C4054,'Mov 2023 hasta ahora '!$C$2:$D$314,2,FALSE),"NO")</f>
        <v>NO</v>
      </c>
      <c r="K4054">
        <v>6</v>
      </c>
      <c r="L4054" t="s">
        <v>836</v>
      </c>
      <c r="M4054">
        <v>24</v>
      </c>
      <c r="O4054" s="29" t="s">
        <v>8881</v>
      </c>
      <c r="P4054" s="25" t="s">
        <v>8882</v>
      </c>
      <c r="Q4054" s="25">
        <v>3823</v>
      </c>
      <c r="R4054" t="s">
        <v>436</v>
      </c>
    </row>
    <row r="4055" spans="1:18" hidden="1">
      <c r="A4055" t="s">
        <v>8049</v>
      </c>
      <c r="B4055" t="s">
        <v>8050</v>
      </c>
      <c r="I4055" s="3" t="str">
        <f>+IFERROR(VLOOKUP(C4055,'Mov 2023 hasta ahora '!$C$2:$D$314,2,FALSE),"NO")</f>
        <v>NO</v>
      </c>
      <c r="K4055">
        <v>5</v>
      </c>
      <c r="L4055" t="s">
        <v>836</v>
      </c>
      <c r="M4055">
        <v>18</v>
      </c>
    </row>
    <row r="4056" spans="1:18" hidden="1">
      <c r="A4056" s="23" t="s">
        <v>8051</v>
      </c>
      <c r="B4056" s="23" t="s">
        <v>8052</v>
      </c>
      <c r="C4056" s="23">
        <v>1270</v>
      </c>
      <c r="D4056" t="s">
        <v>436</v>
      </c>
      <c r="I4056" s="3">
        <f>+IFERROR(VLOOKUP(C4056,'Mov 2023 hasta ahora '!$C$2:$D$314,2,FALSE),"NO")</f>
        <v>54</v>
      </c>
      <c r="K4056">
        <v>6</v>
      </c>
      <c r="L4056" t="s">
        <v>836</v>
      </c>
      <c r="M4056">
        <v>24</v>
      </c>
      <c r="O4056" s="29" t="s">
        <v>8950</v>
      </c>
      <c r="P4056" s="25" t="s">
        <v>8951</v>
      </c>
      <c r="Q4056" s="25">
        <v>1270</v>
      </c>
      <c r="R4056" t="s">
        <v>436</v>
      </c>
    </row>
    <row r="4057" spans="1:18" hidden="1">
      <c r="A4057" s="23" t="s">
        <v>8053</v>
      </c>
      <c r="B4057" s="23" t="s">
        <v>8054</v>
      </c>
      <c r="C4057" s="23">
        <v>1271</v>
      </c>
      <c r="D4057" t="s">
        <v>436</v>
      </c>
      <c r="I4057" s="3" t="str">
        <f>+IFERROR(VLOOKUP(C4057,'Mov 2023 hasta ahora '!$C$2:$D$314,2,FALSE),"NO")</f>
        <v>NO</v>
      </c>
      <c r="K4057">
        <v>6</v>
      </c>
      <c r="L4057" t="s">
        <v>836</v>
      </c>
      <c r="M4057">
        <v>24</v>
      </c>
      <c r="O4057" s="25" t="s">
        <v>9070</v>
      </c>
      <c r="P4057" s="25" t="s">
        <v>9069</v>
      </c>
      <c r="Q4057" s="25">
        <v>1272</v>
      </c>
      <c r="R4057" t="s">
        <v>436</v>
      </c>
    </row>
    <row r="4058" spans="1:18" hidden="1">
      <c r="A4058" s="23" t="s">
        <v>8055</v>
      </c>
      <c r="B4058" s="23" t="s">
        <v>8056</v>
      </c>
      <c r="C4058" s="23">
        <v>1272</v>
      </c>
      <c r="D4058" t="s">
        <v>436</v>
      </c>
      <c r="I4058" s="3">
        <f>+IFERROR(VLOOKUP(C4058,'Mov 2023 hasta ahora '!$C$2:$D$314,2,FALSE),"NO")</f>
        <v>7</v>
      </c>
      <c r="K4058">
        <v>6</v>
      </c>
      <c r="L4058" t="s">
        <v>836</v>
      </c>
      <c r="M4058">
        <v>24</v>
      </c>
      <c r="O4058" s="25" t="s">
        <v>8948</v>
      </c>
      <c r="P4058" s="25" t="s">
        <v>8949</v>
      </c>
      <c r="Q4058" s="25">
        <v>1275</v>
      </c>
      <c r="R4058" t="s">
        <v>436</v>
      </c>
    </row>
    <row r="4059" spans="1:18" hidden="1">
      <c r="A4059" s="23" t="s">
        <v>8057</v>
      </c>
      <c r="B4059" s="23" t="s">
        <v>8058</v>
      </c>
      <c r="C4059" s="23">
        <v>1273</v>
      </c>
      <c r="D4059" t="s">
        <v>436</v>
      </c>
      <c r="I4059" s="3">
        <f>+IFERROR(VLOOKUP(C4059,'Mov 2023 hasta ahora '!$C$2:$D$314,2,FALSE),"NO")</f>
        <v>178</v>
      </c>
      <c r="K4059">
        <v>6</v>
      </c>
      <c r="L4059" t="s">
        <v>836</v>
      </c>
      <c r="M4059">
        <v>24</v>
      </c>
      <c r="O4059" s="29" t="s">
        <v>9037</v>
      </c>
      <c r="P4059" s="25" t="s">
        <v>9038</v>
      </c>
      <c r="Q4059" s="25">
        <v>1402</v>
      </c>
      <c r="R4059" t="s">
        <v>436</v>
      </c>
    </row>
    <row r="4060" spans="1:18" hidden="1">
      <c r="A4060" s="23" t="s">
        <v>8059</v>
      </c>
      <c r="B4060" s="23" t="s">
        <v>8060</v>
      </c>
      <c r="C4060" s="23">
        <v>1274</v>
      </c>
      <c r="D4060" t="s">
        <v>436</v>
      </c>
      <c r="I4060" s="3">
        <f>+IFERROR(VLOOKUP(C4060,'Mov 2023 hasta ahora '!$C$2:$D$314,2,FALSE),"NO")</f>
        <v>43</v>
      </c>
      <c r="K4060">
        <v>6</v>
      </c>
      <c r="L4060" t="s">
        <v>836</v>
      </c>
      <c r="M4060">
        <v>24</v>
      </c>
      <c r="O4060" s="29" t="s">
        <v>9033</v>
      </c>
      <c r="P4060" s="25" t="s">
        <v>9034</v>
      </c>
      <c r="Q4060" s="25">
        <v>1274</v>
      </c>
      <c r="R4060" t="s">
        <v>436</v>
      </c>
    </row>
    <row r="4061" spans="1:18" hidden="1">
      <c r="A4061" s="23" t="s">
        <v>8061</v>
      </c>
      <c r="B4061" s="23" t="s">
        <v>8062</v>
      </c>
      <c r="C4061" s="23">
        <v>1275</v>
      </c>
      <c r="D4061" t="s">
        <v>436</v>
      </c>
      <c r="I4061" s="3">
        <f>+IFERROR(VLOOKUP(C4061,'Mov 2023 hasta ahora '!$C$2:$D$314,2,FALSE),"NO")</f>
        <v>360</v>
      </c>
      <c r="K4061">
        <v>6</v>
      </c>
      <c r="L4061" t="s">
        <v>836</v>
      </c>
      <c r="M4061">
        <v>24</v>
      </c>
      <c r="O4061" s="29" t="s">
        <v>8948</v>
      </c>
      <c r="P4061" s="25" t="s">
        <v>8949</v>
      </c>
      <c r="Q4061" s="25">
        <v>1275</v>
      </c>
      <c r="R4061" t="s">
        <v>436</v>
      </c>
    </row>
    <row r="4062" spans="1:18" hidden="1">
      <c r="A4062" s="23" t="s">
        <v>8063</v>
      </c>
      <c r="B4062" s="23" t="s">
        <v>8064</v>
      </c>
      <c r="C4062" s="23">
        <v>1276</v>
      </c>
      <c r="D4062" t="s">
        <v>436</v>
      </c>
      <c r="I4062" s="3">
        <f>+IFERROR(VLOOKUP(C4062,'Mov 2023 hasta ahora '!$C$2:$D$314,2,FALSE),"NO")</f>
        <v>4</v>
      </c>
      <c r="K4062">
        <v>6</v>
      </c>
      <c r="L4062" t="s">
        <v>836</v>
      </c>
      <c r="M4062">
        <v>24</v>
      </c>
      <c r="O4062" s="29" t="s">
        <v>8946</v>
      </c>
      <c r="P4062" s="25" t="s">
        <v>8947</v>
      </c>
      <c r="Q4062" s="25">
        <v>1276</v>
      </c>
      <c r="R4062" t="s">
        <v>436</v>
      </c>
    </row>
    <row r="4063" spans="1:18" hidden="1">
      <c r="A4063" s="23" t="s">
        <v>8065</v>
      </c>
      <c r="B4063" s="23" t="s">
        <v>8066</v>
      </c>
      <c r="C4063" s="23">
        <v>1277</v>
      </c>
      <c r="D4063" t="s">
        <v>436</v>
      </c>
      <c r="I4063" s="3" t="str">
        <f>+IFERROR(VLOOKUP(C4063,'Mov 2023 hasta ahora '!$C$2:$D$314,2,FALSE),"NO")</f>
        <v>NO</v>
      </c>
      <c r="K4063">
        <v>6</v>
      </c>
      <c r="L4063" t="s">
        <v>836</v>
      </c>
      <c r="M4063">
        <v>24</v>
      </c>
      <c r="O4063" s="29" t="s">
        <v>9026</v>
      </c>
      <c r="P4063" s="25" t="s">
        <v>8945</v>
      </c>
      <c r="Q4063" s="25">
        <v>1277</v>
      </c>
      <c r="R4063" t="s">
        <v>436</v>
      </c>
    </row>
    <row r="4064" spans="1:18" hidden="1">
      <c r="A4064" s="23" t="s">
        <v>8067</v>
      </c>
      <c r="B4064" s="23" t="s">
        <v>8068</v>
      </c>
      <c r="C4064" s="23">
        <v>1278</v>
      </c>
      <c r="D4064" t="s">
        <v>436</v>
      </c>
      <c r="I4064" s="3" t="str">
        <f>+IFERROR(VLOOKUP(C4064,'Mov 2023 hasta ahora '!$C$2:$D$314,2,FALSE),"NO")</f>
        <v>NO</v>
      </c>
      <c r="K4064">
        <v>6</v>
      </c>
      <c r="L4064" t="s">
        <v>836</v>
      </c>
      <c r="M4064">
        <v>24</v>
      </c>
      <c r="O4064" s="29" t="s">
        <v>8819</v>
      </c>
      <c r="P4064" s="25" t="s">
        <v>8944</v>
      </c>
      <c r="Q4064" s="25">
        <v>1242</v>
      </c>
      <c r="R4064" t="s">
        <v>436</v>
      </c>
    </row>
    <row r="4065" spans="1:18" hidden="1">
      <c r="A4065" t="s">
        <v>8069</v>
      </c>
      <c r="B4065" t="s">
        <v>8070</v>
      </c>
      <c r="I4065" s="3" t="str">
        <f>+IFERROR(VLOOKUP(C4065,'Mov 2023 hasta ahora '!$C$2:$D$314,2,FALSE),"NO")</f>
        <v>NO</v>
      </c>
      <c r="K4065">
        <v>5</v>
      </c>
      <c r="L4065" t="s">
        <v>836</v>
      </c>
      <c r="M4065">
        <v>18</v>
      </c>
    </row>
    <row r="4066" spans="1:18" hidden="1">
      <c r="A4066" t="s">
        <v>8071</v>
      </c>
      <c r="B4066" t="s">
        <v>8072</v>
      </c>
      <c r="I4066" s="3" t="str">
        <f>+IFERROR(VLOOKUP(C4066,'Mov 2023 hasta ahora '!$C$2:$D$314,2,FALSE),"NO")</f>
        <v>NO</v>
      </c>
      <c r="K4066">
        <v>5</v>
      </c>
      <c r="L4066" t="s">
        <v>836</v>
      </c>
      <c r="M4066">
        <v>18</v>
      </c>
    </row>
    <row r="4067" spans="1:18" hidden="1">
      <c r="A4067" s="23" t="s">
        <v>8073</v>
      </c>
      <c r="B4067" s="23" t="s">
        <v>8074</v>
      </c>
      <c r="C4067" s="23">
        <v>1339</v>
      </c>
      <c r="D4067" t="s">
        <v>436</v>
      </c>
      <c r="I4067" s="3" t="str">
        <f>+IFERROR(VLOOKUP(C4067,'Mov 2023 hasta ahora '!$C$2:$D$314,2,FALSE),"NO")</f>
        <v>NO</v>
      </c>
      <c r="K4067">
        <v>6</v>
      </c>
      <c r="L4067" t="s">
        <v>836</v>
      </c>
      <c r="M4067">
        <v>24</v>
      </c>
      <c r="O4067" s="29" t="s">
        <v>8925</v>
      </c>
      <c r="P4067" s="25" t="s">
        <v>8926</v>
      </c>
      <c r="Q4067" s="25">
        <v>1260</v>
      </c>
      <c r="R4067" t="s">
        <v>436</v>
      </c>
    </row>
    <row r="4068" spans="1:18" hidden="1">
      <c r="A4068" s="23" t="s">
        <v>8075</v>
      </c>
      <c r="B4068" s="23" t="s">
        <v>8076</v>
      </c>
      <c r="C4068" s="23">
        <v>1340</v>
      </c>
      <c r="D4068" t="s">
        <v>436</v>
      </c>
      <c r="I4068" s="3" t="str">
        <f>+IFERROR(VLOOKUP(C4068,'Mov 2023 hasta ahora '!$C$2:$D$314,2,FALSE),"NO")</f>
        <v>NO</v>
      </c>
      <c r="K4068">
        <v>6</v>
      </c>
      <c r="L4068" t="s">
        <v>836</v>
      </c>
      <c r="M4068">
        <v>24</v>
      </c>
      <c r="O4068" s="29" t="s">
        <v>8925</v>
      </c>
      <c r="P4068" s="25" t="s">
        <v>8926</v>
      </c>
      <c r="Q4068" s="25">
        <v>1260</v>
      </c>
      <c r="R4068" t="s">
        <v>436</v>
      </c>
    </row>
    <row r="4069" spans="1:18" hidden="1">
      <c r="A4069" t="s">
        <v>8077</v>
      </c>
      <c r="B4069" t="s">
        <v>8078</v>
      </c>
      <c r="I4069" s="3" t="str">
        <f>+IFERROR(VLOOKUP(C4069,'Mov 2023 hasta ahora '!$C$2:$D$314,2,FALSE),"NO")</f>
        <v>NO</v>
      </c>
      <c r="K4069">
        <v>5</v>
      </c>
      <c r="L4069" t="s">
        <v>836</v>
      </c>
      <c r="M4069">
        <v>18</v>
      </c>
    </row>
    <row r="4070" spans="1:18" hidden="1">
      <c r="A4070" s="23" t="s">
        <v>8079</v>
      </c>
      <c r="B4070" s="23" t="s">
        <v>8080</v>
      </c>
      <c r="C4070" s="23">
        <v>2974</v>
      </c>
      <c r="I4070" s="3">
        <f>+IFERROR(VLOOKUP(C4070,'Mov 2023 hasta ahora '!$C$2:$D$314,2,FALSE),"NO")</f>
        <v>3</v>
      </c>
      <c r="K4070">
        <v>6</v>
      </c>
      <c r="L4070" t="s">
        <v>836</v>
      </c>
      <c r="M4070">
        <v>24</v>
      </c>
      <c r="O4070" s="29" t="s">
        <v>9023</v>
      </c>
      <c r="P4070" s="25" t="s">
        <v>8770</v>
      </c>
      <c r="Q4070" s="25">
        <v>1900</v>
      </c>
      <c r="R4070" t="s">
        <v>436</v>
      </c>
    </row>
    <row r="4071" spans="1:18">
      <c r="O4071" s="10"/>
    </row>
    <row r="4074" spans="1:18">
      <c r="A4074">
        <v>1</v>
      </c>
      <c r="B4074" t="s">
        <v>8081</v>
      </c>
    </row>
    <row r="4075" spans="1:18">
      <c r="A4075">
        <v>2</v>
      </c>
      <c r="B4075" t="s">
        <v>8082</v>
      </c>
    </row>
    <row r="4076" spans="1:18">
      <c r="A4076">
        <v>3</v>
      </c>
      <c r="B4076" t="s">
        <v>8083</v>
      </c>
    </row>
    <row r="4077" spans="1:18">
      <c r="A4077">
        <v>4</v>
      </c>
      <c r="B4077" t="s">
        <v>8084</v>
      </c>
    </row>
    <row r="4078" spans="1:18">
      <c r="A4078">
        <v>5</v>
      </c>
      <c r="B4078" t="s">
        <v>8085</v>
      </c>
    </row>
    <row r="4079" spans="1:18">
      <c r="A4079">
        <v>6</v>
      </c>
      <c r="B4079" t="s">
        <v>8086</v>
      </c>
    </row>
  </sheetData>
  <autoFilter ref="A2:V4070">
    <filterColumn colId="2">
      <filters>
        <filter val="1382"/>
      </filters>
    </filterColumn>
    <filterColumn colId="14">
      <customFilters>
        <customFilter operator="notEqual" val=" "/>
      </customFilters>
    </filterColumn>
  </autoFilter>
  <mergeCells count="1">
    <mergeCell ref="O1:Q1"/>
  </mergeCells>
  <conditionalFormatting sqref="Q462">
    <cfRule type="duplicateValues" dxfId="21" priority="23"/>
  </conditionalFormatting>
  <conditionalFormatting sqref="Q463">
    <cfRule type="duplicateValues" dxfId="20" priority="22"/>
  </conditionalFormatting>
  <conditionalFormatting sqref="Q464">
    <cfRule type="duplicateValues" dxfId="19" priority="21"/>
  </conditionalFormatting>
  <conditionalFormatting sqref="Q4049">
    <cfRule type="duplicateValues" dxfId="18" priority="20"/>
  </conditionalFormatting>
  <conditionalFormatting sqref="Q4050">
    <cfRule type="duplicateValues" dxfId="17" priority="19"/>
  </conditionalFormatting>
  <conditionalFormatting sqref="Q4052">
    <cfRule type="duplicateValues" dxfId="16" priority="18"/>
  </conditionalFormatting>
  <conditionalFormatting sqref="Q1204">
    <cfRule type="duplicateValues" dxfId="15" priority="17"/>
  </conditionalFormatting>
  <conditionalFormatting sqref="Q129">
    <cfRule type="duplicateValues" dxfId="14" priority="16"/>
  </conditionalFormatting>
  <conditionalFormatting sqref="Q130">
    <cfRule type="duplicateValues" dxfId="13" priority="15"/>
  </conditionalFormatting>
  <conditionalFormatting sqref="Q138">
    <cfRule type="duplicateValues" dxfId="12" priority="14"/>
  </conditionalFormatting>
  <conditionalFormatting sqref="Q406">
    <cfRule type="duplicateValues" dxfId="11" priority="13"/>
  </conditionalFormatting>
  <conditionalFormatting sqref="O3824">
    <cfRule type="duplicateValues" dxfId="10" priority="12"/>
  </conditionalFormatting>
  <conditionalFormatting sqref="Q4046">
    <cfRule type="duplicateValues" dxfId="9" priority="11"/>
  </conditionalFormatting>
  <conditionalFormatting sqref="O4046">
    <cfRule type="duplicateValues" dxfId="8" priority="10"/>
  </conditionalFormatting>
  <conditionalFormatting sqref="Q1188">
    <cfRule type="duplicateValues" dxfId="7" priority="9"/>
  </conditionalFormatting>
  <conditionalFormatting sqref="O1188">
    <cfRule type="duplicateValues" dxfId="6" priority="8"/>
  </conditionalFormatting>
  <conditionalFormatting sqref="Q3656">
    <cfRule type="duplicateValues" dxfId="5" priority="6"/>
  </conditionalFormatting>
  <conditionalFormatting sqref="O3656">
    <cfRule type="duplicateValues" dxfId="4" priority="5"/>
  </conditionalFormatting>
  <conditionalFormatting sqref="Q3693">
    <cfRule type="duplicateValues" dxfId="3" priority="4"/>
  </conditionalFormatting>
  <conditionalFormatting sqref="O3693">
    <cfRule type="duplicateValues" dxfId="2" priority="3"/>
  </conditionalFormatting>
  <conditionalFormatting sqref="Q4053">
    <cfRule type="duplicateValues" dxfId="1" priority="2"/>
  </conditionalFormatting>
  <conditionalFormatting sqref="O405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4"/>
  <sheetViews>
    <sheetView topLeftCell="A269" workbookViewId="0">
      <selection activeCell="B283" sqref="B283"/>
    </sheetView>
  </sheetViews>
  <sheetFormatPr baseColWidth="10" defaultRowHeight="14.25"/>
  <cols>
    <col min="1" max="1" width="14" bestFit="1" customWidth="1"/>
    <col min="2" max="2" width="63.875" bestFit="1" customWidth="1"/>
    <col min="3" max="3" width="8" bestFit="1" customWidth="1"/>
    <col min="4" max="4" width="9.125" bestFit="1" customWidth="1"/>
  </cols>
  <sheetData>
    <row r="1" spans="1:4">
      <c r="A1" t="s">
        <v>8087</v>
      </c>
      <c r="B1" t="s">
        <v>8088</v>
      </c>
      <c r="C1" t="s">
        <v>8089</v>
      </c>
      <c r="D1" t="s">
        <v>8090</v>
      </c>
    </row>
    <row r="2" spans="1:4">
      <c r="A2" t="s">
        <v>8091</v>
      </c>
      <c r="B2" t="s">
        <v>645</v>
      </c>
      <c r="C2" s="1">
        <v>45</v>
      </c>
      <c r="D2" s="1">
        <v>52</v>
      </c>
    </row>
    <row r="3" spans="1:4">
      <c r="A3" t="s">
        <v>8092</v>
      </c>
      <c r="B3" t="s">
        <v>649</v>
      </c>
      <c r="C3" s="1">
        <v>47</v>
      </c>
      <c r="D3" s="1">
        <v>54</v>
      </c>
    </row>
    <row r="4" spans="1:4">
      <c r="A4" t="s">
        <v>8093</v>
      </c>
      <c r="B4" t="s">
        <v>808</v>
      </c>
      <c r="C4" s="1">
        <v>134</v>
      </c>
      <c r="D4" s="1">
        <v>2</v>
      </c>
    </row>
    <row r="5" spans="1:4">
      <c r="A5" t="s">
        <v>8094</v>
      </c>
      <c r="B5" t="s">
        <v>812</v>
      </c>
      <c r="C5" s="1">
        <v>136</v>
      </c>
      <c r="D5" s="1">
        <v>226</v>
      </c>
    </row>
    <row r="6" spans="1:4">
      <c r="A6" t="s">
        <v>8095</v>
      </c>
      <c r="B6" t="s">
        <v>2219</v>
      </c>
      <c r="C6" s="1">
        <v>2283</v>
      </c>
      <c r="D6" s="1">
        <v>1386</v>
      </c>
    </row>
    <row r="7" spans="1:4">
      <c r="A7" t="s">
        <v>8096</v>
      </c>
      <c r="B7" t="s">
        <v>289</v>
      </c>
      <c r="C7" s="1">
        <v>1888</v>
      </c>
      <c r="D7" s="1">
        <v>266</v>
      </c>
    </row>
    <row r="8" spans="1:4">
      <c r="A8" t="s">
        <v>8097</v>
      </c>
      <c r="B8" t="s">
        <v>2454</v>
      </c>
      <c r="C8" s="1">
        <v>537</v>
      </c>
      <c r="D8" s="1">
        <v>2</v>
      </c>
    </row>
    <row r="9" spans="1:4">
      <c r="A9" t="s">
        <v>8098</v>
      </c>
      <c r="B9" t="s">
        <v>7218</v>
      </c>
      <c r="C9" s="1">
        <v>1825</v>
      </c>
      <c r="D9" s="1">
        <v>7</v>
      </c>
    </row>
    <row r="10" spans="1:4">
      <c r="A10" t="s">
        <v>8099</v>
      </c>
      <c r="B10" t="s">
        <v>366</v>
      </c>
      <c r="C10" s="1">
        <v>1980</v>
      </c>
      <c r="D10" s="1">
        <v>138</v>
      </c>
    </row>
    <row r="11" spans="1:4">
      <c r="A11" t="s">
        <v>8100</v>
      </c>
      <c r="B11" t="s">
        <v>7966</v>
      </c>
      <c r="C11" s="1">
        <v>1254</v>
      </c>
      <c r="D11" s="1">
        <v>5</v>
      </c>
    </row>
    <row r="12" spans="1:4">
      <c r="A12" t="s">
        <v>8101</v>
      </c>
      <c r="B12" t="s">
        <v>8052</v>
      </c>
      <c r="C12" s="1">
        <v>1270</v>
      </c>
      <c r="D12" s="1">
        <v>54</v>
      </c>
    </row>
    <row r="13" spans="1:4">
      <c r="A13" t="s">
        <v>8102</v>
      </c>
      <c r="B13" t="s">
        <v>8062</v>
      </c>
      <c r="C13" s="1">
        <v>1275</v>
      </c>
      <c r="D13" s="1">
        <v>360</v>
      </c>
    </row>
    <row r="14" spans="1:4">
      <c r="A14" t="s">
        <v>8103</v>
      </c>
      <c r="B14" t="s">
        <v>8064</v>
      </c>
      <c r="C14" s="1">
        <v>1276</v>
      </c>
      <c r="D14" s="1">
        <v>4</v>
      </c>
    </row>
    <row r="15" spans="1:4">
      <c r="A15" t="s">
        <v>8104</v>
      </c>
      <c r="B15" t="s">
        <v>8016</v>
      </c>
      <c r="C15" s="1">
        <v>1279</v>
      </c>
      <c r="D15" s="1">
        <v>98</v>
      </c>
    </row>
    <row r="16" spans="1:4">
      <c r="A16" t="s">
        <v>8105</v>
      </c>
      <c r="B16" t="s">
        <v>774</v>
      </c>
      <c r="C16" s="1">
        <v>1904</v>
      </c>
      <c r="D16" s="1">
        <v>312</v>
      </c>
    </row>
    <row r="17" spans="1:4">
      <c r="A17" t="s">
        <v>8106</v>
      </c>
      <c r="B17" t="s">
        <v>2624</v>
      </c>
      <c r="C17" s="1">
        <v>1150</v>
      </c>
      <c r="D17" s="1">
        <v>4</v>
      </c>
    </row>
    <row r="18" spans="1:4">
      <c r="A18" t="s">
        <v>8107</v>
      </c>
      <c r="B18" t="s">
        <v>613</v>
      </c>
      <c r="C18" s="1">
        <v>55</v>
      </c>
      <c r="D18" s="1">
        <v>39</v>
      </c>
    </row>
    <row r="19" spans="1:4">
      <c r="A19" t="s">
        <v>8108</v>
      </c>
      <c r="B19" t="s">
        <v>2896</v>
      </c>
      <c r="C19" s="1">
        <v>2428</v>
      </c>
      <c r="D19" s="1">
        <v>3</v>
      </c>
    </row>
    <row r="20" spans="1:4">
      <c r="A20" t="s">
        <v>8109</v>
      </c>
      <c r="B20" t="s">
        <v>7204</v>
      </c>
      <c r="C20" s="1">
        <v>1385</v>
      </c>
      <c r="D20" s="1">
        <v>1</v>
      </c>
    </row>
    <row r="21" spans="1:4">
      <c r="A21" t="s">
        <v>8110</v>
      </c>
      <c r="B21" t="s">
        <v>5795</v>
      </c>
      <c r="C21" s="1">
        <v>1420</v>
      </c>
      <c r="D21" s="1">
        <v>2048</v>
      </c>
    </row>
    <row r="22" spans="1:4">
      <c r="A22" t="s">
        <v>8111</v>
      </c>
      <c r="B22" t="s">
        <v>3592</v>
      </c>
      <c r="C22" s="1">
        <v>1439</v>
      </c>
      <c r="D22" s="1">
        <v>6</v>
      </c>
    </row>
    <row r="23" spans="1:4">
      <c r="A23" t="s">
        <v>8112</v>
      </c>
      <c r="B23" t="s">
        <v>201</v>
      </c>
      <c r="C23" s="1">
        <v>2764</v>
      </c>
      <c r="D23" s="1">
        <v>38</v>
      </c>
    </row>
    <row r="24" spans="1:4">
      <c r="A24" t="s">
        <v>8113</v>
      </c>
      <c r="B24" t="s">
        <v>7916</v>
      </c>
      <c r="C24" s="1">
        <v>1743</v>
      </c>
      <c r="D24" s="1">
        <v>3</v>
      </c>
    </row>
    <row r="25" spans="1:4">
      <c r="A25" t="s">
        <v>8114</v>
      </c>
      <c r="B25" t="s">
        <v>671</v>
      </c>
      <c r="C25" s="1">
        <v>2822</v>
      </c>
      <c r="D25" s="1">
        <v>51</v>
      </c>
    </row>
    <row r="26" spans="1:4">
      <c r="A26" t="s">
        <v>8115</v>
      </c>
      <c r="B26" t="s">
        <v>5662</v>
      </c>
      <c r="C26" s="1">
        <v>2873</v>
      </c>
      <c r="D26" s="1">
        <v>1</v>
      </c>
    </row>
    <row r="27" spans="1:4">
      <c r="A27" t="s">
        <v>8116</v>
      </c>
      <c r="B27" t="s">
        <v>625</v>
      </c>
      <c r="C27" s="1">
        <v>3452</v>
      </c>
      <c r="D27" s="1">
        <v>2</v>
      </c>
    </row>
    <row r="28" spans="1:4">
      <c r="A28" t="s">
        <v>8117</v>
      </c>
      <c r="B28" t="s">
        <v>1733</v>
      </c>
      <c r="C28" s="1">
        <v>3463</v>
      </c>
      <c r="D28" s="1">
        <v>1</v>
      </c>
    </row>
    <row r="29" spans="1:4">
      <c r="A29" t="s">
        <v>8118</v>
      </c>
      <c r="B29" t="s">
        <v>1725</v>
      </c>
      <c r="C29" s="1">
        <v>3456</v>
      </c>
      <c r="D29" s="1">
        <v>1</v>
      </c>
    </row>
    <row r="30" spans="1:4">
      <c r="A30" t="s">
        <v>8119</v>
      </c>
      <c r="B30" t="s">
        <v>5813</v>
      </c>
      <c r="C30" s="1">
        <v>3817</v>
      </c>
      <c r="D30" s="1">
        <v>1084</v>
      </c>
    </row>
    <row r="31" spans="1:4">
      <c r="A31" t="s">
        <v>8120</v>
      </c>
      <c r="B31" t="s">
        <v>820</v>
      </c>
      <c r="C31" s="1">
        <v>3838</v>
      </c>
      <c r="D31" s="1">
        <v>289</v>
      </c>
    </row>
    <row r="32" spans="1:4">
      <c r="A32" t="s">
        <v>8121</v>
      </c>
      <c r="B32" t="s">
        <v>195</v>
      </c>
      <c r="C32" s="1">
        <v>3833</v>
      </c>
      <c r="D32" s="1">
        <v>1368</v>
      </c>
    </row>
    <row r="33" spans="1:4">
      <c r="A33" t="s">
        <v>8122</v>
      </c>
      <c r="B33" t="s">
        <v>739</v>
      </c>
      <c r="C33" s="1">
        <v>3839</v>
      </c>
      <c r="D33" s="1">
        <v>2</v>
      </c>
    </row>
    <row r="34" spans="1:4">
      <c r="A34" t="s">
        <v>8123</v>
      </c>
      <c r="B34" t="s">
        <v>229</v>
      </c>
      <c r="C34" s="1">
        <v>3866</v>
      </c>
      <c r="D34" s="1">
        <v>272</v>
      </c>
    </row>
    <row r="35" spans="1:4">
      <c r="A35" t="s">
        <v>8124</v>
      </c>
      <c r="B35" t="s">
        <v>2281</v>
      </c>
      <c r="C35" s="1">
        <v>3850</v>
      </c>
      <c r="D35" s="1">
        <v>12</v>
      </c>
    </row>
    <row r="36" spans="1:4">
      <c r="A36" t="s">
        <v>8125</v>
      </c>
      <c r="B36" t="s">
        <v>89</v>
      </c>
      <c r="C36" s="1">
        <v>3870</v>
      </c>
      <c r="D36" s="1">
        <v>2007</v>
      </c>
    </row>
    <row r="37" spans="1:4">
      <c r="A37" t="s">
        <v>8126</v>
      </c>
      <c r="B37" t="s">
        <v>1908</v>
      </c>
      <c r="C37" s="1">
        <v>3861</v>
      </c>
      <c r="D37" s="1">
        <v>7</v>
      </c>
    </row>
    <row r="38" spans="1:4">
      <c r="A38" t="s">
        <v>8127</v>
      </c>
      <c r="B38" t="s">
        <v>1957</v>
      </c>
      <c r="C38" s="1">
        <v>3873</v>
      </c>
      <c r="D38" s="1">
        <v>6</v>
      </c>
    </row>
    <row r="39" spans="1:4">
      <c r="A39" t="s">
        <v>8128</v>
      </c>
      <c r="B39" t="s">
        <v>153</v>
      </c>
      <c r="C39" s="1">
        <v>143</v>
      </c>
      <c r="D39" s="1">
        <v>141</v>
      </c>
    </row>
    <row r="40" spans="1:4">
      <c r="A40" t="s">
        <v>8129</v>
      </c>
      <c r="B40" t="s">
        <v>122</v>
      </c>
      <c r="C40" s="1">
        <v>10</v>
      </c>
      <c r="D40" s="1">
        <v>2</v>
      </c>
    </row>
    <row r="41" spans="1:4">
      <c r="A41" t="s">
        <v>8130</v>
      </c>
      <c r="B41" t="s">
        <v>251</v>
      </c>
      <c r="C41" s="1">
        <v>20</v>
      </c>
      <c r="D41" s="1">
        <v>150</v>
      </c>
    </row>
    <row r="42" spans="1:4">
      <c r="A42" t="s">
        <v>8131</v>
      </c>
      <c r="B42" t="s">
        <v>651</v>
      </c>
      <c r="C42" s="1">
        <v>48</v>
      </c>
      <c r="D42" s="1">
        <v>1</v>
      </c>
    </row>
    <row r="43" spans="1:4">
      <c r="A43" t="s">
        <v>8132</v>
      </c>
      <c r="B43" t="s">
        <v>657</v>
      </c>
      <c r="C43" s="1">
        <v>51</v>
      </c>
      <c r="D43" s="1">
        <v>1</v>
      </c>
    </row>
    <row r="44" spans="1:4">
      <c r="A44" t="s">
        <v>8133</v>
      </c>
      <c r="B44" t="s">
        <v>683</v>
      </c>
      <c r="C44" s="1">
        <v>58</v>
      </c>
      <c r="D44" s="1">
        <v>51</v>
      </c>
    </row>
    <row r="45" spans="1:4">
      <c r="A45" t="s">
        <v>8134</v>
      </c>
      <c r="B45" t="s">
        <v>2648</v>
      </c>
      <c r="C45" s="1">
        <v>1534</v>
      </c>
      <c r="D45" s="1">
        <v>15</v>
      </c>
    </row>
    <row r="46" spans="1:4">
      <c r="A46" t="s">
        <v>8135</v>
      </c>
      <c r="B46" t="s">
        <v>390</v>
      </c>
      <c r="C46" s="1">
        <v>2755</v>
      </c>
      <c r="D46" s="1">
        <v>1</v>
      </c>
    </row>
    <row r="47" spans="1:4">
      <c r="A47" t="s">
        <v>8136</v>
      </c>
      <c r="B47" t="s">
        <v>316</v>
      </c>
      <c r="C47" s="1">
        <v>78</v>
      </c>
      <c r="D47" s="1">
        <v>515</v>
      </c>
    </row>
    <row r="48" spans="1:4">
      <c r="A48" t="s">
        <v>8137</v>
      </c>
      <c r="B48" t="s">
        <v>747</v>
      </c>
      <c r="C48" s="1">
        <v>124</v>
      </c>
      <c r="D48" s="1">
        <v>78</v>
      </c>
    </row>
    <row r="49" spans="1:4">
      <c r="A49" t="s">
        <v>8138</v>
      </c>
      <c r="B49" t="s">
        <v>771</v>
      </c>
      <c r="C49" s="1">
        <v>131</v>
      </c>
      <c r="D49" s="1">
        <v>76</v>
      </c>
    </row>
    <row r="50" spans="1:4">
      <c r="A50" t="s">
        <v>8139</v>
      </c>
      <c r="B50" t="s">
        <v>709</v>
      </c>
      <c r="C50" s="1">
        <v>120</v>
      </c>
      <c r="D50" s="1">
        <v>257</v>
      </c>
    </row>
    <row r="51" spans="1:4">
      <c r="A51" t="s">
        <v>8140</v>
      </c>
      <c r="B51" t="s">
        <v>1277</v>
      </c>
      <c r="C51" s="1">
        <v>2030</v>
      </c>
      <c r="D51" s="1">
        <v>2</v>
      </c>
    </row>
    <row r="52" spans="1:4">
      <c r="A52" t="s">
        <v>8141</v>
      </c>
      <c r="B52" t="s">
        <v>297</v>
      </c>
      <c r="C52" s="1">
        <v>2121</v>
      </c>
      <c r="D52" s="1">
        <v>40</v>
      </c>
    </row>
    <row r="53" spans="1:4">
      <c r="A53" t="s">
        <v>8142</v>
      </c>
      <c r="B53" t="s">
        <v>2189</v>
      </c>
      <c r="C53" s="1">
        <v>2281</v>
      </c>
      <c r="D53" s="1">
        <v>384</v>
      </c>
    </row>
    <row r="54" spans="1:4">
      <c r="A54" t="s">
        <v>8143</v>
      </c>
      <c r="B54" t="s">
        <v>386</v>
      </c>
      <c r="C54" s="1">
        <v>2589</v>
      </c>
      <c r="D54" s="1">
        <v>1</v>
      </c>
    </row>
    <row r="55" spans="1:4">
      <c r="A55" t="s">
        <v>8144</v>
      </c>
      <c r="B55" t="s">
        <v>7645</v>
      </c>
      <c r="C55" s="1">
        <v>2626</v>
      </c>
      <c r="D55" s="1">
        <v>72</v>
      </c>
    </row>
    <row r="56" spans="1:4">
      <c r="A56" t="s">
        <v>8145</v>
      </c>
      <c r="B56" t="s">
        <v>45</v>
      </c>
      <c r="C56" s="1">
        <v>1974</v>
      </c>
      <c r="D56" s="1">
        <v>4</v>
      </c>
    </row>
    <row r="57" spans="1:4">
      <c r="A57" t="s">
        <v>8146</v>
      </c>
      <c r="B57" t="s">
        <v>1289</v>
      </c>
      <c r="C57" s="1">
        <v>2320</v>
      </c>
      <c r="D57" s="1">
        <v>2</v>
      </c>
    </row>
    <row r="58" spans="1:4">
      <c r="A58" t="s">
        <v>8147</v>
      </c>
      <c r="B58" t="s">
        <v>2504</v>
      </c>
      <c r="C58" s="1">
        <v>726</v>
      </c>
      <c r="D58" s="1">
        <v>4</v>
      </c>
    </row>
    <row r="59" spans="1:4">
      <c r="A59" t="s">
        <v>8148</v>
      </c>
      <c r="B59" t="s">
        <v>7276</v>
      </c>
      <c r="C59" s="1">
        <v>1706</v>
      </c>
      <c r="D59" s="1">
        <v>1</v>
      </c>
    </row>
    <row r="60" spans="1:4">
      <c r="A60" t="s">
        <v>8149</v>
      </c>
      <c r="B60" t="s">
        <v>7946</v>
      </c>
      <c r="C60" s="1">
        <v>1244</v>
      </c>
      <c r="D60" s="1">
        <v>7</v>
      </c>
    </row>
    <row r="61" spans="1:4">
      <c r="A61" t="s">
        <v>8150</v>
      </c>
      <c r="B61" t="s">
        <v>7962</v>
      </c>
      <c r="C61" s="1">
        <v>1252</v>
      </c>
      <c r="D61" s="1">
        <v>725</v>
      </c>
    </row>
    <row r="62" spans="1:4">
      <c r="A62" t="s">
        <v>8151</v>
      </c>
      <c r="B62" t="s">
        <v>7970</v>
      </c>
      <c r="C62" s="1">
        <v>1256</v>
      </c>
      <c r="D62" s="1">
        <v>34</v>
      </c>
    </row>
    <row r="63" spans="1:4">
      <c r="A63" t="s">
        <v>8152</v>
      </c>
      <c r="B63" t="s">
        <v>7984</v>
      </c>
      <c r="C63" s="1">
        <v>1263</v>
      </c>
      <c r="D63" s="1">
        <v>20</v>
      </c>
    </row>
    <row r="64" spans="1:4">
      <c r="A64" t="s">
        <v>8153</v>
      </c>
      <c r="B64" t="s">
        <v>7210</v>
      </c>
      <c r="C64" s="1">
        <v>1337</v>
      </c>
      <c r="D64" s="1">
        <v>4</v>
      </c>
    </row>
    <row r="65" spans="1:4">
      <c r="A65" t="s">
        <v>8154</v>
      </c>
      <c r="B65" t="s">
        <v>159</v>
      </c>
      <c r="C65" s="1">
        <v>1347</v>
      </c>
      <c r="D65" s="1">
        <v>2215</v>
      </c>
    </row>
    <row r="66" spans="1:4">
      <c r="A66" t="s">
        <v>8155</v>
      </c>
      <c r="B66" t="s">
        <v>4405</v>
      </c>
      <c r="C66" s="1">
        <v>2165</v>
      </c>
      <c r="D66" s="1">
        <v>1</v>
      </c>
    </row>
    <row r="67" spans="1:4">
      <c r="A67" t="s">
        <v>8156</v>
      </c>
      <c r="B67" t="s">
        <v>126</v>
      </c>
      <c r="C67" s="1">
        <v>56</v>
      </c>
      <c r="D67" s="1">
        <v>155</v>
      </c>
    </row>
    <row r="68" spans="1:4">
      <c r="A68" t="s">
        <v>8157</v>
      </c>
      <c r="B68" t="s">
        <v>7196</v>
      </c>
      <c r="C68" s="1">
        <v>1386</v>
      </c>
      <c r="D68" s="1">
        <v>220</v>
      </c>
    </row>
    <row r="69" spans="1:4">
      <c r="A69" t="s">
        <v>8158</v>
      </c>
      <c r="B69" t="s">
        <v>5799</v>
      </c>
      <c r="C69" s="1">
        <v>1421</v>
      </c>
      <c r="D69" s="1">
        <v>934</v>
      </c>
    </row>
    <row r="70" spans="1:4">
      <c r="A70" t="s">
        <v>8159</v>
      </c>
      <c r="B70" t="s">
        <v>7928</v>
      </c>
      <c r="C70" s="1">
        <v>1238</v>
      </c>
      <c r="D70" s="1">
        <v>2</v>
      </c>
    </row>
    <row r="71" spans="1:4">
      <c r="A71" t="s">
        <v>8160</v>
      </c>
      <c r="B71" t="s">
        <v>85</v>
      </c>
      <c r="C71" s="1">
        <v>3600</v>
      </c>
      <c r="D71" s="1">
        <v>2160</v>
      </c>
    </row>
    <row r="72" spans="1:4">
      <c r="A72" t="s">
        <v>8161</v>
      </c>
      <c r="B72" t="s">
        <v>5803</v>
      </c>
      <c r="C72" s="1">
        <v>3602</v>
      </c>
      <c r="D72" s="1">
        <v>1</v>
      </c>
    </row>
    <row r="73" spans="1:4">
      <c r="A73" t="s">
        <v>8162</v>
      </c>
      <c r="B73" t="s">
        <v>7651</v>
      </c>
      <c r="C73" s="1">
        <v>3804</v>
      </c>
      <c r="D73" s="1">
        <v>21</v>
      </c>
    </row>
    <row r="74" spans="1:4">
      <c r="A74" t="s">
        <v>8163</v>
      </c>
      <c r="B74" t="s">
        <v>1938</v>
      </c>
      <c r="C74" s="1">
        <v>3826</v>
      </c>
      <c r="D74" s="1">
        <v>3</v>
      </c>
    </row>
    <row r="75" spans="1:4">
      <c r="A75" t="s">
        <v>8164</v>
      </c>
      <c r="B75" t="s">
        <v>7186</v>
      </c>
      <c r="C75" s="1">
        <v>3845</v>
      </c>
      <c r="D75" s="1">
        <v>193</v>
      </c>
    </row>
    <row r="76" spans="1:4">
      <c r="A76" t="s">
        <v>8165</v>
      </c>
      <c r="B76" t="s">
        <v>2951</v>
      </c>
      <c r="C76" s="1">
        <v>3862</v>
      </c>
      <c r="D76" s="1">
        <v>16</v>
      </c>
    </row>
    <row r="77" spans="1:4">
      <c r="A77" t="s">
        <v>8166</v>
      </c>
      <c r="B77" t="s">
        <v>8012</v>
      </c>
      <c r="C77" s="1">
        <v>3855</v>
      </c>
      <c r="D77" s="1">
        <v>117</v>
      </c>
    </row>
    <row r="78" spans="1:4">
      <c r="A78" t="s">
        <v>8167</v>
      </c>
      <c r="B78" t="s">
        <v>1892</v>
      </c>
      <c r="C78" s="1">
        <v>3859</v>
      </c>
      <c r="D78" s="1">
        <v>19</v>
      </c>
    </row>
    <row r="79" spans="1:4">
      <c r="A79" t="s">
        <v>8168</v>
      </c>
      <c r="B79" t="s">
        <v>433</v>
      </c>
      <c r="C79" s="1">
        <v>3882</v>
      </c>
      <c r="D79" s="1">
        <v>18</v>
      </c>
    </row>
    <row r="80" spans="1:4">
      <c r="A80" t="s">
        <v>8169</v>
      </c>
      <c r="B80" t="s">
        <v>31</v>
      </c>
      <c r="C80" s="1">
        <v>3</v>
      </c>
      <c r="D80" s="1">
        <v>668</v>
      </c>
    </row>
    <row r="81" spans="1:4">
      <c r="A81" t="s">
        <v>8170</v>
      </c>
      <c r="B81" t="s">
        <v>177</v>
      </c>
      <c r="C81" s="1">
        <v>155</v>
      </c>
      <c r="D81" s="1">
        <v>4</v>
      </c>
    </row>
    <row r="82" spans="1:4">
      <c r="A82" t="s">
        <v>8171</v>
      </c>
      <c r="B82" t="s">
        <v>257</v>
      </c>
      <c r="C82" s="1">
        <v>23</v>
      </c>
      <c r="D82" s="1">
        <v>632</v>
      </c>
    </row>
    <row r="83" spans="1:4">
      <c r="A83" t="s">
        <v>8172</v>
      </c>
      <c r="B83" t="s">
        <v>283</v>
      </c>
      <c r="C83" s="1">
        <v>37</v>
      </c>
      <c r="D83" s="1">
        <v>17</v>
      </c>
    </row>
    <row r="84" spans="1:4">
      <c r="A84" t="s">
        <v>8173</v>
      </c>
      <c r="B84" t="s">
        <v>27</v>
      </c>
      <c r="C84" s="1">
        <v>1</v>
      </c>
      <c r="D84" s="1">
        <v>13968</v>
      </c>
    </row>
    <row r="85" spans="1:4">
      <c r="A85" t="s">
        <v>8174</v>
      </c>
      <c r="B85" t="s">
        <v>661</v>
      </c>
      <c r="C85" s="1">
        <v>71</v>
      </c>
      <c r="D85" s="1">
        <v>51</v>
      </c>
    </row>
    <row r="86" spans="1:4">
      <c r="A86" t="s">
        <v>8175</v>
      </c>
      <c r="B86" t="s">
        <v>665</v>
      </c>
      <c r="C86" s="1">
        <v>73</v>
      </c>
      <c r="D86" s="1">
        <v>2</v>
      </c>
    </row>
    <row r="87" spans="1:4">
      <c r="A87" t="s">
        <v>8176</v>
      </c>
      <c r="B87" t="s">
        <v>448</v>
      </c>
      <c r="C87" s="1">
        <v>85</v>
      </c>
      <c r="D87" s="1">
        <v>3</v>
      </c>
    </row>
    <row r="88" spans="1:4">
      <c r="A88" t="s">
        <v>8177</v>
      </c>
      <c r="B88" t="s">
        <v>53</v>
      </c>
      <c r="C88" s="1">
        <v>2124</v>
      </c>
      <c r="D88" s="1">
        <v>175</v>
      </c>
    </row>
    <row r="89" spans="1:4">
      <c r="A89" t="s">
        <v>8178</v>
      </c>
      <c r="B89" t="s">
        <v>325</v>
      </c>
      <c r="C89" s="1">
        <v>148</v>
      </c>
      <c r="D89" s="1">
        <v>3400</v>
      </c>
    </row>
    <row r="90" spans="1:4">
      <c r="A90" t="s">
        <v>8179</v>
      </c>
      <c r="B90" t="s">
        <v>7647</v>
      </c>
      <c r="C90" s="1">
        <v>2624</v>
      </c>
      <c r="D90" s="1">
        <v>18</v>
      </c>
    </row>
    <row r="91" spans="1:4">
      <c r="A91" t="s">
        <v>8180</v>
      </c>
      <c r="B91" t="s">
        <v>2768</v>
      </c>
      <c r="C91" s="1">
        <v>2667</v>
      </c>
      <c r="D91" s="1">
        <v>1</v>
      </c>
    </row>
    <row r="92" spans="1:4">
      <c r="A92" t="s">
        <v>8181</v>
      </c>
      <c r="B92" t="s">
        <v>617</v>
      </c>
      <c r="C92" s="1">
        <v>2312</v>
      </c>
      <c r="D92" s="1">
        <v>12</v>
      </c>
    </row>
    <row r="93" spans="1:4">
      <c r="A93" t="s">
        <v>8182</v>
      </c>
      <c r="B93" t="s">
        <v>2408</v>
      </c>
      <c r="C93" s="1">
        <v>320</v>
      </c>
      <c r="D93" s="1">
        <v>37</v>
      </c>
    </row>
    <row r="94" spans="1:4">
      <c r="A94" t="s">
        <v>8183</v>
      </c>
      <c r="B94" t="s">
        <v>7938</v>
      </c>
      <c r="C94" s="1">
        <v>1240</v>
      </c>
      <c r="D94" s="1">
        <v>109</v>
      </c>
    </row>
    <row r="95" spans="1:4">
      <c r="A95" t="s">
        <v>8184</v>
      </c>
      <c r="B95" t="s">
        <v>7950</v>
      </c>
      <c r="C95" s="1">
        <v>1246</v>
      </c>
      <c r="D95" s="1">
        <v>73</v>
      </c>
    </row>
    <row r="96" spans="1:4">
      <c r="A96" t="s">
        <v>8185</v>
      </c>
      <c r="B96" t="s">
        <v>7976</v>
      </c>
      <c r="C96" s="1">
        <v>1259</v>
      </c>
      <c r="D96" s="1">
        <v>142</v>
      </c>
    </row>
    <row r="97" spans="1:4">
      <c r="A97" t="s">
        <v>8186</v>
      </c>
      <c r="B97" t="s">
        <v>7978</v>
      </c>
      <c r="C97" s="1">
        <v>1260</v>
      </c>
      <c r="D97" s="1">
        <v>351</v>
      </c>
    </row>
    <row r="98" spans="1:4">
      <c r="A98" t="s">
        <v>8187</v>
      </c>
      <c r="B98" t="s">
        <v>7982</v>
      </c>
      <c r="C98" s="1">
        <v>1262</v>
      </c>
      <c r="D98" s="1">
        <v>210</v>
      </c>
    </row>
    <row r="99" spans="1:4">
      <c r="A99" t="s">
        <v>8188</v>
      </c>
      <c r="B99" t="s">
        <v>8060</v>
      </c>
      <c r="C99" s="1">
        <v>1274</v>
      </c>
      <c r="D99" s="1">
        <v>43</v>
      </c>
    </row>
    <row r="100" spans="1:4">
      <c r="A100" t="s">
        <v>8189</v>
      </c>
      <c r="B100" t="s">
        <v>2612</v>
      </c>
      <c r="C100" s="1">
        <v>1123</v>
      </c>
      <c r="D100" s="1">
        <v>1</v>
      </c>
    </row>
    <row r="101" spans="1:4">
      <c r="A101" t="s">
        <v>8190</v>
      </c>
      <c r="B101" t="s">
        <v>962</v>
      </c>
      <c r="C101" s="1">
        <v>1228</v>
      </c>
      <c r="D101" s="1">
        <v>56</v>
      </c>
    </row>
    <row r="102" spans="1:4">
      <c r="A102" t="s">
        <v>8191</v>
      </c>
      <c r="B102" t="s">
        <v>69</v>
      </c>
      <c r="C102" s="1">
        <v>1740</v>
      </c>
      <c r="D102" s="1">
        <v>13</v>
      </c>
    </row>
    <row r="103" spans="1:4">
      <c r="A103" t="s">
        <v>8192</v>
      </c>
      <c r="B103" t="s">
        <v>8002</v>
      </c>
      <c r="C103" s="1">
        <v>1349</v>
      </c>
      <c r="D103" s="1">
        <v>133</v>
      </c>
    </row>
    <row r="104" spans="1:4">
      <c r="A104" t="s">
        <v>8193</v>
      </c>
      <c r="B104" t="s">
        <v>1978</v>
      </c>
      <c r="C104" s="1">
        <v>1568</v>
      </c>
      <c r="D104" s="1">
        <v>125</v>
      </c>
    </row>
    <row r="105" spans="1:4">
      <c r="A105" t="s">
        <v>8194</v>
      </c>
      <c r="B105" t="s">
        <v>615</v>
      </c>
      <c r="C105" s="1">
        <v>1983</v>
      </c>
      <c r="D105" s="1">
        <v>14</v>
      </c>
    </row>
    <row r="106" spans="1:4">
      <c r="A106" t="s">
        <v>8195</v>
      </c>
      <c r="B106" t="s">
        <v>6900</v>
      </c>
      <c r="C106" s="1">
        <v>3362</v>
      </c>
      <c r="D106" s="1">
        <v>1</v>
      </c>
    </row>
    <row r="107" spans="1:4">
      <c r="A107" t="s">
        <v>8196</v>
      </c>
      <c r="B107" t="s">
        <v>301</v>
      </c>
      <c r="C107" s="1">
        <v>3872</v>
      </c>
      <c r="D107" s="1">
        <v>5</v>
      </c>
    </row>
    <row r="108" spans="1:4">
      <c r="A108" t="s">
        <v>8197</v>
      </c>
      <c r="B108" t="s">
        <v>410</v>
      </c>
      <c r="C108" s="1">
        <v>3508</v>
      </c>
      <c r="D108" s="1">
        <v>143</v>
      </c>
    </row>
    <row r="109" spans="1:4">
      <c r="A109" t="s">
        <v>8198</v>
      </c>
      <c r="B109" t="s">
        <v>635</v>
      </c>
      <c r="C109" s="1">
        <v>3490</v>
      </c>
      <c r="D109" s="1">
        <v>1</v>
      </c>
    </row>
    <row r="110" spans="1:4">
      <c r="A110" t="s">
        <v>8199</v>
      </c>
      <c r="B110" t="s">
        <v>221</v>
      </c>
      <c r="C110" s="1">
        <v>3591</v>
      </c>
      <c r="D110" s="1">
        <v>28</v>
      </c>
    </row>
    <row r="111" spans="1:4">
      <c r="A111" t="s">
        <v>8200</v>
      </c>
      <c r="B111" t="s">
        <v>223</v>
      </c>
      <c r="C111" s="1">
        <v>3691</v>
      </c>
      <c r="D111" s="1">
        <v>131</v>
      </c>
    </row>
    <row r="112" spans="1:4">
      <c r="A112" t="s">
        <v>8201</v>
      </c>
      <c r="B112" t="s">
        <v>7208</v>
      </c>
      <c r="C112" s="1">
        <v>3802</v>
      </c>
      <c r="D112" s="1">
        <v>43</v>
      </c>
    </row>
    <row r="113" spans="1:4">
      <c r="A113" t="s">
        <v>8202</v>
      </c>
      <c r="B113" t="s">
        <v>8008</v>
      </c>
      <c r="C113" s="1">
        <v>3806</v>
      </c>
      <c r="D113" s="1">
        <v>21</v>
      </c>
    </row>
    <row r="114" spans="1:4">
      <c r="A114" t="s">
        <v>8203</v>
      </c>
      <c r="B114" t="s">
        <v>1934</v>
      </c>
      <c r="C114" s="1">
        <v>3818</v>
      </c>
      <c r="D114" s="1">
        <v>11</v>
      </c>
    </row>
    <row r="115" spans="1:4">
      <c r="A115" t="s">
        <v>8204</v>
      </c>
      <c r="B115" t="s">
        <v>2148</v>
      </c>
      <c r="C115" s="1">
        <v>3832</v>
      </c>
      <c r="D115" s="1">
        <v>300</v>
      </c>
    </row>
    <row r="116" spans="1:4">
      <c r="A116" t="s">
        <v>8205</v>
      </c>
      <c r="B116" t="s">
        <v>1922</v>
      </c>
      <c r="C116" s="1">
        <v>3836</v>
      </c>
      <c r="D116" s="1">
        <v>65</v>
      </c>
    </row>
    <row r="117" spans="1:4">
      <c r="A117" t="s">
        <v>8206</v>
      </c>
      <c r="B117" t="s">
        <v>420</v>
      </c>
      <c r="C117" s="1">
        <v>3843</v>
      </c>
      <c r="D117" s="1">
        <v>18</v>
      </c>
    </row>
    <row r="118" spans="1:4">
      <c r="A118" t="s">
        <v>8207</v>
      </c>
      <c r="B118" t="s">
        <v>1876</v>
      </c>
      <c r="C118" s="1">
        <v>3857</v>
      </c>
      <c r="D118" s="1">
        <v>36</v>
      </c>
    </row>
    <row r="119" spans="1:4">
      <c r="A119" t="s">
        <v>8208</v>
      </c>
      <c r="B119" t="s">
        <v>429</v>
      </c>
      <c r="C119" s="1">
        <v>3877</v>
      </c>
      <c r="D119" s="1">
        <v>46</v>
      </c>
    </row>
    <row r="120" spans="1:4">
      <c r="A120" t="s">
        <v>8209</v>
      </c>
      <c r="B120" t="s">
        <v>1947</v>
      </c>
      <c r="C120" s="1">
        <v>3881</v>
      </c>
      <c r="D120" s="1">
        <v>5</v>
      </c>
    </row>
    <row r="121" spans="1:4">
      <c r="A121" t="s">
        <v>8210</v>
      </c>
      <c r="B121" t="s">
        <v>599</v>
      </c>
      <c r="C121" s="1">
        <v>145</v>
      </c>
      <c r="D121" s="1">
        <v>1</v>
      </c>
    </row>
    <row r="122" spans="1:4">
      <c r="A122" t="s">
        <v>8211</v>
      </c>
      <c r="B122" t="s">
        <v>255</v>
      </c>
      <c r="C122" s="1">
        <v>22</v>
      </c>
      <c r="D122" s="1">
        <v>4</v>
      </c>
    </row>
    <row r="123" spans="1:4">
      <c r="A123" t="s">
        <v>8212</v>
      </c>
      <c r="B123" t="s">
        <v>259</v>
      </c>
      <c r="C123" s="1">
        <v>24</v>
      </c>
      <c r="D123" s="1">
        <v>2427</v>
      </c>
    </row>
    <row r="124" spans="1:4">
      <c r="A124" t="s">
        <v>8213</v>
      </c>
      <c r="B124" t="s">
        <v>261</v>
      </c>
      <c r="C124" s="1">
        <v>25</v>
      </c>
      <c r="D124" s="1">
        <v>491</v>
      </c>
    </row>
    <row r="125" spans="1:4">
      <c r="A125" t="s">
        <v>8214</v>
      </c>
      <c r="B125" t="s">
        <v>263</v>
      </c>
      <c r="C125" s="1">
        <v>26</v>
      </c>
      <c r="D125" s="1">
        <v>191</v>
      </c>
    </row>
    <row r="126" spans="1:4">
      <c r="A126" t="s">
        <v>8215</v>
      </c>
      <c r="B126" t="s">
        <v>277</v>
      </c>
      <c r="C126" s="1">
        <v>33</v>
      </c>
      <c r="D126" s="1">
        <v>205</v>
      </c>
    </row>
    <row r="127" spans="1:4">
      <c r="A127" t="s">
        <v>8216</v>
      </c>
      <c r="B127" t="s">
        <v>647</v>
      </c>
      <c r="C127" s="1">
        <v>46</v>
      </c>
      <c r="D127" s="1">
        <v>56</v>
      </c>
    </row>
    <row r="128" spans="1:4">
      <c r="A128" t="s">
        <v>8217</v>
      </c>
      <c r="B128" t="s">
        <v>946</v>
      </c>
      <c r="C128" s="1">
        <v>175</v>
      </c>
      <c r="D128" s="1">
        <v>17</v>
      </c>
    </row>
    <row r="129" spans="1:4">
      <c r="A129" t="s">
        <v>8218</v>
      </c>
      <c r="B129" t="s">
        <v>695</v>
      </c>
      <c r="C129" s="1">
        <v>64</v>
      </c>
      <c r="D129" s="1">
        <v>23</v>
      </c>
    </row>
    <row r="130" spans="1:4">
      <c r="A130" t="s">
        <v>8219</v>
      </c>
      <c r="B130" t="s">
        <v>703</v>
      </c>
      <c r="C130" s="1">
        <v>68</v>
      </c>
      <c r="D130" s="1">
        <v>64</v>
      </c>
    </row>
    <row r="131" spans="1:4">
      <c r="A131" t="s">
        <v>8220</v>
      </c>
      <c r="B131" t="s">
        <v>529</v>
      </c>
      <c r="C131" s="1">
        <v>111</v>
      </c>
      <c r="D131" s="1">
        <v>2</v>
      </c>
    </row>
    <row r="132" spans="1:4">
      <c r="A132" t="s">
        <v>8221</v>
      </c>
      <c r="B132" t="s">
        <v>2373</v>
      </c>
      <c r="C132" s="1">
        <v>193</v>
      </c>
      <c r="D132" s="1">
        <v>10</v>
      </c>
    </row>
    <row r="133" spans="1:4">
      <c r="A133" t="s">
        <v>8222</v>
      </c>
      <c r="B133" t="s">
        <v>155</v>
      </c>
      <c r="C133" s="1">
        <v>347</v>
      </c>
      <c r="D133" s="1">
        <v>28</v>
      </c>
    </row>
    <row r="134" spans="1:4">
      <c r="A134" t="s">
        <v>8223</v>
      </c>
      <c r="B134" t="s">
        <v>7220</v>
      </c>
      <c r="C134" s="1">
        <v>1900</v>
      </c>
      <c r="D134" s="1">
        <v>264</v>
      </c>
    </row>
    <row r="135" spans="1:4">
      <c r="A135" t="s">
        <v>8224</v>
      </c>
      <c r="B135" t="s">
        <v>347</v>
      </c>
      <c r="C135" s="1">
        <v>996</v>
      </c>
      <c r="D135" s="1">
        <v>1058</v>
      </c>
    </row>
    <row r="136" spans="1:4">
      <c r="A136" t="s">
        <v>8225</v>
      </c>
      <c r="B136" t="s">
        <v>2510</v>
      </c>
      <c r="C136" s="1">
        <v>753</v>
      </c>
      <c r="D136" s="1">
        <v>3</v>
      </c>
    </row>
    <row r="137" spans="1:4">
      <c r="A137" t="s">
        <v>8226</v>
      </c>
      <c r="B137" t="s">
        <v>780</v>
      </c>
      <c r="C137" s="1">
        <v>2264</v>
      </c>
      <c r="D137" s="1">
        <v>177</v>
      </c>
    </row>
    <row r="138" spans="1:4">
      <c r="A138" t="s">
        <v>8227</v>
      </c>
      <c r="B138" t="s">
        <v>7954</v>
      </c>
      <c r="C138" s="1">
        <v>1248</v>
      </c>
      <c r="D138" s="1">
        <v>19</v>
      </c>
    </row>
    <row r="139" spans="1:4">
      <c r="A139" t="s">
        <v>8228</v>
      </c>
      <c r="B139" t="s">
        <v>7986</v>
      </c>
      <c r="C139" s="1">
        <v>1264</v>
      </c>
      <c r="D139" s="1">
        <v>187</v>
      </c>
    </row>
    <row r="140" spans="1:4">
      <c r="A140" t="s">
        <v>8229</v>
      </c>
      <c r="B140" t="s">
        <v>8058</v>
      </c>
      <c r="C140" s="1">
        <v>1273</v>
      </c>
      <c r="D140" s="1">
        <v>178</v>
      </c>
    </row>
    <row r="141" spans="1:4">
      <c r="A141" t="s">
        <v>8230</v>
      </c>
      <c r="B141" t="s">
        <v>8018</v>
      </c>
      <c r="C141" s="1">
        <v>1280</v>
      </c>
      <c r="D141" s="1">
        <v>448</v>
      </c>
    </row>
    <row r="142" spans="1:4">
      <c r="A142" t="s">
        <v>8231</v>
      </c>
      <c r="B142" t="s">
        <v>8022</v>
      </c>
      <c r="C142" s="1">
        <v>1282</v>
      </c>
      <c r="D142" s="1">
        <v>4</v>
      </c>
    </row>
    <row r="143" spans="1:4">
      <c r="A143" t="s">
        <v>8232</v>
      </c>
      <c r="B143" t="s">
        <v>8024</v>
      </c>
      <c r="C143" s="1">
        <v>1283</v>
      </c>
      <c r="D143" s="1">
        <v>19</v>
      </c>
    </row>
    <row r="144" spans="1:4">
      <c r="A144" t="s">
        <v>8233</v>
      </c>
      <c r="B144" t="s">
        <v>814</v>
      </c>
      <c r="C144" s="1">
        <v>1348</v>
      </c>
      <c r="D144" s="1">
        <v>1</v>
      </c>
    </row>
    <row r="145" spans="1:4">
      <c r="A145" t="s">
        <v>8234</v>
      </c>
      <c r="B145" t="s">
        <v>4395</v>
      </c>
      <c r="C145" s="1">
        <v>2161</v>
      </c>
      <c r="D145" s="1">
        <v>4</v>
      </c>
    </row>
    <row r="146" spans="1:4">
      <c r="A146" t="s">
        <v>8235</v>
      </c>
      <c r="B146" t="s">
        <v>581</v>
      </c>
      <c r="C146" s="1">
        <v>1981</v>
      </c>
      <c r="D146" s="1">
        <v>134</v>
      </c>
    </row>
    <row r="147" spans="1:4">
      <c r="A147" t="s">
        <v>8236</v>
      </c>
      <c r="B147" t="s">
        <v>1970</v>
      </c>
      <c r="C147" s="1">
        <v>1564</v>
      </c>
      <c r="D147" s="1">
        <v>1</v>
      </c>
    </row>
    <row r="148" spans="1:4">
      <c r="A148" t="s">
        <v>8237</v>
      </c>
      <c r="B148" t="s">
        <v>8032</v>
      </c>
      <c r="C148" s="1">
        <v>2882</v>
      </c>
      <c r="D148" s="1">
        <v>5</v>
      </c>
    </row>
    <row r="149" spans="1:4">
      <c r="A149" t="s">
        <v>8238</v>
      </c>
      <c r="B149" t="s">
        <v>7222</v>
      </c>
      <c r="C149" s="1">
        <v>2989</v>
      </c>
      <c r="D149" s="1">
        <v>48</v>
      </c>
    </row>
    <row r="150" spans="1:4">
      <c r="A150" t="s">
        <v>8239</v>
      </c>
      <c r="B150" t="s">
        <v>408</v>
      </c>
      <c r="C150" s="1">
        <v>3494</v>
      </c>
      <c r="D150" s="1">
        <v>11</v>
      </c>
    </row>
    <row r="151" spans="1:4">
      <c r="A151" t="s">
        <v>8240</v>
      </c>
      <c r="B151" t="s">
        <v>225</v>
      </c>
      <c r="C151" s="1">
        <v>3791</v>
      </c>
      <c r="D151" s="1">
        <v>109</v>
      </c>
    </row>
    <row r="152" spans="1:4">
      <c r="A152" t="s">
        <v>8241</v>
      </c>
      <c r="B152" t="s">
        <v>7649</v>
      </c>
      <c r="C152" s="1">
        <v>3803</v>
      </c>
      <c r="D152" s="1">
        <v>21</v>
      </c>
    </row>
    <row r="153" spans="1:4">
      <c r="A153" t="s">
        <v>8242</v>
      </c>
      <c r="B153" t="s">
        <v>8006</v>
      </c>
      <c r="C153" s="1">
        <v>3805</v>
      </c>
      <c r="D153" s="1">
        <v>21</v>
      </c>
    </row>
    <row r="154" spans="1:4">
      <c r="A154" t="s">
        <v>8243</v>
      </c>
      <c r="B154" t="s">
        <v>303</v>
      </c>
      <c r="C154" s="1">
        <v>3808</v>
      </c>
      <c r="D154" s="1">
        <v>37</v>
      </c>
    </row>
    <row r="155" spans="1:4">
      <c r="A155" t="s">
        <v>8244</v>
      </c>
      <c r="B155" t="s">
        <v>418</v>
      </c>
      <c r="C155" s="1">
        <v>3840</v>
      </c>
      <c r="D155" s="1">
        <v>213</v>
      </c>
    </row>
    <row r="156" spans="1:4">
      <c r="A156" t="s">
        <v>8245</v>
      </c>
      <c r="B156" t="s">
        <v>1912</v>
      </c>
      <c r="C156" s="1">
        <v>3841</v>
      </c>
      <c r="D156" s="1">
        <v>35</v>
      </c>
    </row>
    <row r="157" spans="1:4">
      <c r="A157" t="s">
        <v>8246</v>
      </c>
      <c r="B157" t="s">
        <v>427</v>
      </c>
      <c r="C157" s="1">
        <v>3876</v>
      </c>
      <c r="D157" s="1">
        <v>62</v>
      </c>
    </row>
    <row r="158" spans="1:4">
      <c r="A158" t="s">
        <v>8247</v>
      </c>
      <c r="B158" t="s">
        <v>741</v>
      </c>
      <c r="C158" s="1">
        <v>3869</v>
      </c>
      <c r="D158" s="1">
        <v>107</v>
      </c>
    </row>
    <row r="159" spans="1:4">
      <c r="A159" t="s">
        <v>8248</v>
      </c>
      <c r="B159" t="s">
        <v>95</v>
      </c>
      <c r="C159" s="1">
        <v>4</v>
      </c>
      <c r="D159" s="1">
        <v>11263</v>
      </c>
    </row>
    <row r="160" spans="1:4">
      <c r="A160" t="s">
        <v>8249</v>
      </c>
      <c r="B160" t="s">
        <v>171</v>
      </c>
      <c r="C160" s="1">
        <v>144</v>
      </c>
      <c r="D160" s="1">
        <v>1971</v>
      </c>
    </row>
    <row r="161" spans="1:4">
      <c r="A161" t="s">
        <v>8250</v>
      </c>
      <c r="B161" t="s">
        <v>269</v>
      </c>
      <c r="C161" s="1">
        <v>29</v>
      </c>
      <c r="D161" s="1">
        <v>374</v>
      </c>
    </row>
    <row r="162" spans="1:4">
      <c r="A162" t="s">
        <v>8251</v>
      </c>
      <c r="B162" t="s">
        <v>271</v>
      </c>
      <c r="C162" s="1">
        <v>30</v>
      </c>
      <c r="D162" s="1">
        <v>1548</v>
      </c>
    </row>
    <row r="163" spans="1:4">
      <c r="A163" t="s">
        <v>8252</v>
      </c>
      <c r="B163" t="s">
        <v>643</v>
      </c>
      <c r="C163" s="1">
        <v>44</v>
      </c>
      <c r="D163" s="1">
        <v>134</v>
      </c>
    </row>
    <row r="164" spans="1:4">
      <c r="A164" t="s">
        <v>8253</v>
      </c>
      <c r="B164" t="s">
        <v>149</v>
      </c>
      <c r="C164" s="1">
        <v>141</v>
      </c>
      <c r="D164" s="1">
        <v>3969</v>
      </c>
    </row>
    <row r="165" spans="1:4">
      <c r="A165" t="s">
        <v>8254</v>
      </c>
      <c r="B165" t="s">
        <v>689</v>
      </c>
      <c r="C165" s="1">
        <v>61</v>
      </c>
      <c r="D165" s="1">
        <v>5</v>
      </c>
    </row>
    <row r="166" spans="1:4">
      <c r="A166" t="s">
        <v>8255</v>
      </c>
      <c r="B166" t="s">
        <v>2096</v>
      </c>
      <c r="C166" s="1">
        <v>3599</v>
      </c>
      <c r="D166" s="1">
        <v>1</v>
      </c>
    </row>
    <row r="167" spans="1:4">
      <c r="A167" t="s">
        <v>8256</v>
      </c>
      <c r="B167" t="s">
        <v>469</v>
      </c>
      <c r="C167" s="1">
        <v>90</v>
      </c>
      <c r="D167" s="1">
        <v>10</v>
      </c>
    </row>
    <row r="168" spans="1:4">
      <c r="A168" t="s">
        <v>8257</v>
      </c>
      <c r="B168" t="s">
        <v>2385</v>
      </c>
      <c r="C168" s="1">
        <v>212</v>
      </c>
      <c r="D168" s="1">
        <v>116</v>
      </c>
    </row>
    <row r="169" spans="1:4">
      <c r="A169" t="s">
        <v>8258</v>
      </c>
      <c r="B169" t="s">
        <v>295</v>
      </c>
      <c r="C169" s="1">
        <v>2120</v>
      </c>
      <c r="D169" s="1">
        <v>207</v>
      </c>
    </row>
    <row r="170" spans="1:4">
      <c r="A170" t="s">
        <v>8259</v>
      </c>
      <c r="B170" t="s">
        <v>2406</v>
      </c>
      <c r="C170" s="1">
        <v>311</v>
      </c>
      <c r="D170" s="1">
        <v>30</v>
      </c>
    </row>
    <row r="171" spans="1:4">
      <c r="A171" t="s">
        <v>8260</v>
      </c>
      <c r="B171" t="s">
        <v>65</v>
      </c>
      <c r="C171" s="1">
        <v>1736</v>
      </c>
      <c r="D171" s="1">
        <v>83</v>
      </c>
    </row>
    <row r="172" spans="1:4">
      <c r="A172" t="s">
        <v>8261</v>
      </c>
      <c r="B172" t="s">
        <v>725</v>
      </c>
      <c r="C172" s="1">
        <v>1915</v>
      </c>
      <c r="D172" s="1">
        <v>10</v>
      </c>
    </row>
    <row r="173" spans="1:4">
      <c r="A173" t="s">
        <v>8262</v>
      </c>
      <c r="B173" t="s">
        <v>7964</v>
      </c>
      <c r="C173" s="1">
        <v>1253</v>
      </c>
      <c r="D173" s="1">
        <v>172</v>
      </c>
    </row>
    <row r="174" spans="1:4">
      <c r="A174" t="s">
        <v>8263</v>
      </c>
      <c r="B174" t="s">
        <v>7980</v>
      </c>
      <c r="C174" s="1">
        <v>1261</v>
      </c>
      <c r="D174" s="1">
        <v>2</v>
      </c>
    </row>
    <row r="175" spans="1:4">
      <c r="A175" t="s">
        <v>8264</v>
      </c>
      <c r="B175" t="s">
        <v>8026</v>
      </c>
      <c r="C175" s="1">
        <v>1284</v>
      </c>
      <c r="D175" s="1">
        <v>149</v>
      </c>
    </row>
    <row r="176" spans="1:4">
      <c r="A176" t="s">
        <v>8265</v>
      </c>
      <c r="B176" t="s">
        <v>285</v>
      </c>
      <c r="C176" s="1">
        <v>1387</v>
      </c>
      <c r="D176" s="1">
        <v>179</v>
      </c>
    </row>
    <row r="177" spans="1:4">
      <c r="A177" t="s">
        <v>8266</v>
      </c>
      <c r="B177" t="s">
        <v>167</v>
      </c>
      <c r="C177" s="1">
        <v>1391</v>
      </c>
      <c r="D177" s="1">
        <v>574</v>
      </c>
    </row>
    <row r="178" spans="1:4">
      <c r="A178" t="s">
        <v>8267</v>
      </c>
      <c r="B178" t="s">
        <v>602</v>
      </c>
      <c r="C178" s="1">
        <v>1344</v>
      </c>
      <c r="D178" s="1">
        <v>412</v>
      </c>
    </row>
    <row r="179" spans="1:4">
      <c r="A179" t="s">
        <v>8268</v>
      </c>
      <c r="B179" t="s">
        <v>7202</v>
      </c>
      <c r="C179" s="1">
        <v>1759</v>
      </c>
      <c r="D179" s="1">
        <v>117</v>
      </c>
    </row>
    <row r="180" spans="1:4">
      <c r="A180" t="s">
        <v>8269</v>
      </c>
      <c r="B180" t="s">
        <v>719</v>
      </c>
      <c r="C180" s="1">
        <v>3511</v>
      </c>
      <c r="D180" s="1">
        <v>30</v>
      </c>
    </row>
    <row r="181" spans="1:4">
      <c r="A181" t="s">
        <v>8270</v>
      </c>
      <c r="B181" t="s">
        <v>412</v>
      </c>
      <c r="C181" s="1">
        <v>3606</v>
      </c>
      <c r="D181" s="1">
        <v>2</v>
      </c>
    </row>
    <row r="182" spans="1:4">
      <c r="A182" t="s">
        <v>8271</v>
      </c>
      <c r="B182" t="s">
        <v>5811</v>
      </c>
      <c r="C182" s="1">
        <v>3603</v>
      </c>
      <c r="D182" s="1">
        <v>310</v>
      </c>
    </row>
    <row r="183" spans="1:4">
      <c r="A183" t="s">
        <v>8272</v>
      </c>
      <c r="B183" t="s">
        <v>2106</v>
      </c>
      <c r="C183" s="1">
        <v>3699</v>
      </c>
      <c r="D183" s="1">
        <v>2</v>
      </c>
    </row>
    <row r="184" spans="1:4">
      <c r="A184" t="s">
        <v>8273</v>
      </c>
      <c r="B184" t="s">
        <v>1864</v>
      </c>
      <c r="C184" s="1">
        <v>3807</v>
      </c>
      <c r="D184" s="1">
        <v>1</v>
      </c>
    </row>
    <row r="185" spans="1:4">
      <c r="A185" t="s">
        <v>8274</v>
      </c>
      <c r="B185" t="s">
        <v>87</v>
      </c>
      <c r="C185" s="1">
        <v>3844</v>
      </c>
      <c r="D185" s="1">
        <v>74</v>
      </c>
    </row>
    <row r="186" spans="1:4">
      <c r="A186" t="s">
        <v>8275</v>
      </c>
      <c r="B186" t="s">
        <v>2146</v>
      </c>
      <c r="C186" s="1">
        <v>3865</v>
      </c>
      <c r="D186" s="1">
        <v>14</v>
      </c>
    </row>
    <row r="187" spans="1:4">
      <c r="A187" t="s">
        <v>8276</v>
      </c>
      <c r="B187" t="s">
        <v>233</v>
      </c>
      <c r="C187" s="1">
        <v>3868</v>
      </c>
      <c r="D187" s="1">
        <v>68</v>
      </c>
    </row>
    <row r="188" spans="1:4">
      <c r="A188" t="s">
        <v>8277</v>
      </c>
      <c r="B188" t="s">
        <v>422</v>
      </c>
      <c r="C188" s="1">
        <v>3856</v>
      </c>
      <c r="D188" s="1">
        <v>357</v>
      </c>
    </row>
    <row r="189" spans="1:4">
      <c r="A189" t="s">
        <v>8278</v>
      </c>
      <c r="B189" t="s">
        <v>91</v>
      </c>
      <c r="C189" s="1">
        <v>3874</v>
      </c>
      <c r="D189" s="1">
        <v>23</v>
      </c>
    </row>
    <row r="190" spans="1:4">
      <c r="A190" t="s">
        <v>8279</v>
      </c>
      <c r="B190" t="s">
        <v>2279</v>
      </c>
      <c r="C190" s="1">
        <v>3847</v>
      </c>
      <c r="D190" s="1">
        <v>6</v>
      </c>
    </row>
    <row r="191" spans="1:4">
      <c r="A191" t="s">
        <v>8280</v>
      </c>
      <c r="B191" t="s">
        <v>1962</v>
      </c>
      <c r="C191" s="1">
        <v>3880</v>
      </c>
      <c r="D191" s="1">
        <v>8</v>
      </c>
    </row>
    <row r="192" spans="1:4">
      <c r="A192" t="s">
        <v>8281</v>
      </c>
      <c r="B192" t="s">
        <v>8004</v>
      </c>
      <c r="C192" s="1">
        <v>3852</v>
      </c>
      <c r="D192" s="1">
        <v>14</v>
      </c>
    </row>
    <row r="193" spans="1:4">
      <c r="A193" t="s">
        <v>8282</v>
      </c>
      <c r="B193" t="s">
        <v>1868</v>
      </c>
      <c r="C193" s="1">
        <v>3853</v>
      </c>
      <c r="D193" s="1">
        <v>44</v>
      </c>
    </row>
    <row r="194" spans="1:4">
      <c r="A194" t="s">
        <v>8283</v>
      </c>
      <c r="B194" t="s">
        <v>239</v>
      </c>
      <c r="C194" s="1">
        <v>17</v>
      </c>
      <c r="D194" s="1">
        <v>34</v>
      </c>
    </row>
    <row r="195" spans="1:4">
      <c r="A195" t="s">
        <v>8284</v>
      </c>
      <c r="B195" t="s">
        <v>249</v>
      </c>
      <c r="C195" s="1">
        <v>19</v>
      </c>
      <c r="D195" s="1">
        <v>29</v>
      </c>
    </row>
    <row r="196" spans="1:4">
      <c r="A196" t="s">
        <v>8285</v>
      </c>
      <c r="B196" t="s">
        <v>570</v>
      </c>
      <c r="C196" s="1">
        <v>38</v>
      </c>
      <c r="D196" s="1">
        <v>9733</v>
      </c>
    </row>
    <row r="197" spans="1:4">
      <c r="A197" t="s">
        <v>8286</v>
      </c>
      <c r="B197" t="s">
        <v>679</v>
      </c>
      <c r="C197" s="1">
        <v>53</v>
      </c>
      <c r="D197" s="1">
        <v>1595</v>
      </c>
    </row>
    <row r="198" spans="1:4">
      <c r="A198" t="s">
        <v>8287</v>
      </c>
      <c r="B198" t="s">
        <v>687</v>
      </c>
      <c r="C198" s="1">
        <v>60</v>
      </c>
      <c r="D198" s="1">
        <v>437</v>
      </c>
    </row>
    <row r="199" spans="1:4">
      <c r="A199" t="s">
        <v>8288</v>
      </c>
      <c r="B199" t="s">
        <v>697</v>
      </c>
      <c r="C199" s="1">
        <v>65</v>
      </c>
      <c r="D199" s="1">
        <v>21</v>
      </c>
    </row>
    <row r="200" spans="1:4">
      <c r="A200" t="s">
        <v>8289</v>
      </c>
      <c r="B200" t="s">
        <v>707</v>
      </c>
      <c r="C200" s="1">
        <v>70</v>
      </c>
      <c r="D200" s="1">
        <v>2</v>
      </c>
    </row>
    <row r="201" spans="1:4">
      <c r="A201" t="s">
        <v>8290</v>
      </c>
      <c r="B201" t="s">
        <v>663</v>
      </c>
      <c r="C201" s="1">
        <v>72</v>
      </c>
      <c r="D201" s="1">
        <v>49</v>
      </c>
    </row>
    <row r="202" spans="1:4">
      <c r="A202" t="s">
        <v>8291</v>
      </c>
      <c r="B202" t="s">
        <v>307</v>
      </c>
      <c r="C202" s="1">
        <v>74</v>
      </c>
      <c r="D202" s="1">
        <v>1160</v>
      </c>
    </row>
    <row r="203" spans="1:4">
      <c r="A203" t="s">
        <v>8292</v>
      </c>
      <c r="B203" t="s">
        <v>454</v>
      </c>
      <c r="C203" s="1">
        <v>87</v>
      </c>
      <c r="D203" s="1">
        <v>1</v>
      </c>
    </row>
    <row r="204" spans="1:4">
      <c r="A204" t="s">
        <v>8293</v>
      </c>
      <c r="B204" t="s">
        <v>711</v>
      </c>
      <c r="C204" s="1">
        <v>121</v>
      </c>
      <c r="D204" s="1">
        <v>10</v>
      </c>
    </row>
    <row r="205" spans="1:4">
      <c r="A205" t="s">
        <v>8294</v>
      </c>
      <c r="B205" t="s">
        <v>322</v>
      </c>
      <c r="C205" s="1">
        <v>147</v>
      </c>
      <c r="D205" s="1">
        <v>1034</v>
      </c>
    </row>
    <row r="206" spans="1:4">
      <c r="A206" t="s">
        <v>8295</v>
      </c>
      <c r="B206" t="s">
        <v>834</v>
      </c>
      <c r="C206" s="1">
        <v>140</v>
      </c>
      <c r="D206" s="1">
        <v>28</v>
      </c>
    </row>
    <row r="207" spans="1:4">
      <c r="A207" t="s">
        <v>8296</v>
      </c>
      <c r="B207" t="s">
        <v>2375</v>
      </c>
      <c r="C207" s="1">
        <v>202</v>
      </c>
      <c r="D207" s="1">
        <v>1</v>
      </c>
    </row>
    <row r="208" spans="1:4">
      <c r="A208" t="s">
        <v>8297</v>
      </c>
      <c r="B208" t="s">
        <v>382</v>
      </c>
      <c r="C208" s="1">
        <v>2329</v>
      </c>
      <c r="D208" s="1">
        <v>4</v>
      </c>
    </row>
    <row r="209" spans="1:4">
      <c r="A209" t="s">
        <v>8298</v>
      </c>
      <c r="B209" t="s">
        <v>2756</v>
      </c>
      <c r="C209" s="1">
        <v>2663</v>
      </c>
      <c r="D209" s="1">
        <v>23</v>
      </c>
    </row>
    <row r="210" spans="1:4">
      <c r="A210" t="s">
        <v>8299</v>
      </c>
      <c r="B210" t="s">
        <v>2742</v>
      </c>
      <c r="C210" s="1">
        <v>2665</v>
      </c>
      <c r="D210" s="1">
        <v>114</v>
      </c>
    </row>
    <row r="211" spans="1:4">
      <c r="A211" t="s">
        <v>8300</v>
      </c>
      <c r="B211" t="s">
        <v>563</v>
      </c>
      <c r="C211" s="1">
        <v>1905</v>
      </c>
      <c r="D211" s="1">
        <v>80</v>
      </c>
    </row>
    <row r="212" spans="1:4">
      <c r="A212" t="s">
        <v>8301</v>
      </c>
      <c r="B212" t="s">
        <v>2594</v>
      </c>
      <c r="C212" s="1">
        <v>1069</v>
      </c>
      <c r="D212" s="1">
        <v>1</v>
      </c>
    </row>
    <row r="213" spans="1:4">
      <c r="A213" t="s">
        <v>8302</v>
      </c>
      <c r="B213" t="s">
        <v>7948</v>
      </c>
      <c r="C213" s="1">
        <v>1245</v>
      </c>
      <c r="D213" s="1">
        <v>80</v>
      </c>
    </row>
    <row r="214" spans="1:4">
      <c r="A214" t="s">
        <v>8303</v>
      </c>
      <c r="B214" t="s">
        <v>7952</v>
      </c>
      <c r="C214" s="1">
        <v>1247</v>
      </c>
      <c r="D214" s="1">
        <v>59</v>
      </c>
    </row>
    <row r="215" spans="1:4">
      <c r="A215" t="s">
        <v>8304</v>
      </c>
      <c r="B215" t="s">
        <v>7968</v>
      </c>
      <c r="C215" s="1">
        <v>1255</v>
      </c>
      <c r="D215" s="1">
        <v>12</v>
      </c>
    </row>
    <row r="216" spans="1:4">
      <c r="A216" t="s">
        <v>8305</v>
      </c>
      <c r="B216" t="s">
        <v>8020</v>
      </c>
      <c r="C216" s="1">
        <v>1281</v>
      </c>
      <c r="D216" s="1">
        <v>55</v>
      </c>
    </row>
    <row r="217" spans="1:4">
      <c r="A217" t="s">
        <v>8306</v>
      </c>
      <c r="B217" t="s">
        <v>715</v>
      </c>
      <c r="C217" s="1">
        <v>1350</v>
      </c>
      <c r="D217" s="1">
        <v>381</v>
      </c>
    </row>
    <row r="218" spans="1:4">
      <c r="A218" t="s">
        <v>8307</v>
      </c>
      <c r="B218" t="s">
        <v>2943</v>
      </c>
      <c r="C218" s="1">
        <v>1361</v>
      </c>
      <c r="D218" s="1">
        <v>1</v>
      </c>
    </row>
    <row r="219" spans="1:4">
      <c r="A219" t="s">
        <v>8308</v>
      </c>
      <c r="B219" t="s">
        <v>611</v>
      </c>
      <c r="C219" s="1">
        <v>1885</v>
      </c>
      <c r="D219" s="1">
        <v>17</v>
      </c>
    </row>
    <row r="220" spans="1:4">
      <c r="A220" t="s">
        <v>8309</v>
      </c>
      <c r="B220" t="s">
        <v>1547</v>
      </c>
      <c r="C220" s="1">
        <v>1418</v>
      </c>
      <c r="D220" s="1">
        <v>3</v>
      </c>
    </row>
    <row r="221" spans="1:4">
      <c r="A221" t="s">
        <v>8310</v>
      </c>
      <c r="B221" t="s">
        <v>5793</v>
      </c>
      <c r="C221" s="1">
        <v>1419</v>
      </c>
      <c r="D221" s="1">
        <v>818</v>
      </c>
    </row>
    <row r="222" spans="1:4">
      <c r="A222" t="s">
        <v>8311</v>
      </c>
      <c r="B222" t="s">
        <v>5801</v>
      </c>
      <c r="C222" s="1">
        <v>1422</v>
      </c>
      <c r="D222" s="1">
        <v>1109</v>
      </c>
    </row>
    <row r="223" spans="1:4">
      <c r="A223" t="s">
        <v>8312</v>
      </c>
      <c r="B223" t="s">
        <v>2265</v>
      </c>
      <c r="C223" s="1">
        <v>1424</v>
      </c>
      <c r="D223" s="1">
        <v>807</v>
      </c>
    </row>
    <row r="224" spans="1:4">
      <c r="A224" t="s">
        <v>8313</v>
      </c>
      <c r="B224" t="s">
        <v>7922</v>
      </c>
      <c r="C224" s="1">
        <v>1235</v>
      </c>
      <c r="D224" s="1">
        <v>98</v>
      </c>
    </row>
    <row r="225" spans="1:4">
      <c r="A225" t="s">
        <v>8314</v>
      </c>
      <c r="B225" t="s">
        <v>7924</v>
      </c>
      <c r="C225" s="1">
        <v>1236</v>
      </c>
      <c r="D225" s="1">
        <v>587</v>
      </c>
    </row>
    <row r="226" spans="1:4">
      <c r="A226" t="s">
        <v>8315</v>
      </c>
      <c r="B226" t="s">
        <v>7930</v>
      </c>
      <c r="C226" s="1">
        <v>1239</v>
      </c>
      <c r="D226" s="1">
        <v>166</v>
      </c>
    </row>
    <row r="227" spans="1:4">
      <c r="A227" t="s">
        <v>8316</v>
      </c>
      <c r="B227" t="s">
        <v>1994</v>
      </c>
      <c r="C227" s="1">
        <v>1569</v>
      </c>
      <c r="D227" s="1">
        <v>1</v>
      </c>
    </row>
    <row r="228" spans="1:4">
      <c r="A228" t="s">
        <v>8317</v>
      </c>
      <c r="B228" t="s">
        <v>723</v>
      </c>
      <c r="C228" s="1">
        <v>1545</v>
      </c>
      <c r="D228" s="1">
        <v>493</v>
      </c>
    </row>
    <row r="229" spans="1:4">
      <c r="A229" t="s">
        <v>8318</v>
      </c>
      <c r="B229" t="s">
        <v>169</v>
      </c>
      <c r="C229" s="1">
        <v>1608</v>
      </c>
      <c r="D229" s="1">
        <v>1358</v>
      </c>
    </row>
    <row r="230" spans="1:4">
      <c r="A230" t="s">
        <v>8319</v>
      </c>
      <c r="B230" t="s">
        <v>392</v>
      </c>
      <c r="C230" s="1">
        <v>2879</v>
      </c>
      <c r="D230" s="1">
        <v>10</v>
      </c>
    </row>
    <row r="231" spans="1:4">
      <c r="A231" t="s">
        <v>8320</v>
      </c>
      <c r="B231" t="s">
        <v>1841</v>
      </c>
      <c r="C231" s="1">
        <v>3605</v>
      </c>
      <c r="D231" s="1">
        <v>11</v>
      </c>
    </row>
    <row r="232" spans="1:4">
      <c r="A232" t="s">
        <v>8321</v>
      </c>
      <c r="B232" t="s">
        <v>7348</v>
      </c>
      <c r="C232" s="1">
        <v>3503</v>
      </c>
      <c r="D232" s="1">
        <v>575</v>
      </c>
    </row>
    <row r="233" spans="1:4">
      <c r="A233" t="s">
        <v>8322</v>
      </c>
      <c r="B233" t="s">
        <v>818</v>
      </c>
      <c r="C233" s="1">
        <v>3507</v>
      </c>
      <c r="D233" s="1">
        <v>3</v>
      </c>
    </row>
    <row r="234" spans="1:4">
      <c r="A234" t="s">
        <v>8323</v>
      </c>
      <c r="B234" t="s">
        <v>1555</v>
      </c>
      <c r="C234" s="1">
        <v>3453</v>
      </c>
      <c r="D234" s="1">
        <v>5</v>
      </c>
    </row>
    <row r="235" spans="1:4">
      <c r="A235" t="s">
        <v>8324</v>
      </c>
      <c r="B235" t="s">
        <v>7206</v>
      </c>
      <c r="C235" s="1">
        <v>3801</v>
      </c>
      <c r="D235" s="1">
        <v>43</v>
      </c>
    </row>
    <row r="236" spans="1:4">
      <c r="A236" t="s">
        <v>8325</v>
      </c>
      <c r="B236" t="s">
        <v>2122</v>
      </c>
      <c r="C236" s="1">
        <v>3811</v>
      </c>
      <c r="D236" s="1">
        <v>7</v>
      </c>
    </row>
    <row r="237" spans="1:4">
      <c r="A237" t="s">
        <v>8326</v>
      </c>
      <c r="B237" t="s">
        <v>431</v>
      </c>
      <c r="C237" s="1">
        <v>3878</v>
      </c>
      <c r="D237" s="1">
        <v>9</v>
      </c>
    </row>
    <row r="238" spans="1:4">
      <c r="A238" t="s">
        <v>8327</v>
      </c>
      <c r="B238" t="s">
        <v>143</v>
      </c>
      <c r="C238" s="1">
        <v>13</v>
      </c>
      <c r="D238" s="1">
        <v>3748</v>
      </c>
    </row>
    <row r="239" spans="1:4">
      <c r="A239" t="s">
        <v>8328</v>
      </c>
      <c r="B239" t="s">
        <v>147</v>
      </c>
      <c r="C239" s="1">
        <v>15</v>
      </c>
      <c r="D239" s="1">
        <v>1555</v>
      </c>
    </row>
    <row r="240" spans="1:4">
      <c r="A240" t="s">
        <v>8329</v>
      </c>
      <c r="B240" t="s">
        <v>265</v>
      </c>
      <c r="C240" s="1">
        <v>27</v>
      </c>
      <c r="D240" s="1">
        <v>170</v>
      </c>
    </row>
    <row r="241" spans="1:4">
      <c r="A241" t="s">
        <v>8330</v>
      </c>
      <c r="B241" t="s">
        <v>641</v>
      </c>
      <c r="C241" s="1">
        <v>43</v>
      </c>
      <c r="D241" s="1">
        <v>1045</v>
      </c>
    </row>
    <row r="242" spans="1:4">
      <c r="A242" t="s">
        <v>8331</v>
      </c>
      <c r="B242" t="s">
        <v>681</v>
      </c>
      <c r="C242" s="1">
        <v>54</v>
      </c>
      <c r="D242" s="1">
        <v>231</v>
      </c>
    </row>
    <row r="243" spans="1:4">
      <c r="A243" t="s">
        <v>8332</v>
      </c>
      <c r="B243" t="s">
        <v>693</v>
      </c>
      <c r="C243" s="1">
        <v>63</v>
      </c>
      <c r="D243" s="1">
        <v>10</v>
      </c>
    </row>
    <row r="244" spans="1:4">
      <c r="A244" t="s">
        <v>8333</v>
      </c>
      <c r="B244" t="s">
        <v>2371</v>
      </c>
      <c r="C244" s="1">
        <v>185</v>
      </c>
      <c r="D244" s="1">
        <v>106</v>
      </c>
    </row>
    <row r="245" spans="1:4">
      <c r="A245" t="s">
        <v>8334</v>
      </c>
      <c r="B245" t="s">
        <v>473</v>
      </c>
      <c r="C245" s="1">
        <v>92</v>
      </c>
      <c r="D245" s="1">
        <v>2</v>
      </c>
    </row>
    <row r="246" spans="1:4">
      <c r="A246" t="s">
        <v>8335</v>
      </c>
      <c r="B246" t="s">
        <v>473</v>
      </c>
      <c r="C246" s="1">
        <v>114</v>
      </c>
      <c r="D246" s="1">
        <v>2</v>
      </c>
    </row>
    <row r="247" spans="1:4">
      <c r="A247" t="s">
        <v>8336</v>
      </c>
      <c r="B247" t="s">
        <v>713</v>
      </c>
      <c r="C247" s="1">
        <v>127</v>
      </c>
      <c r="D247" s="1">
        <v>18</v>
      </c>
    </row>
    <row r="248" spans="1:4">
      <c r="A248" t="s">
        <v>8337</v>
      </c>
      <c r="B248" t="s">
        <v>327</v>
      </c>
      <c r="C248" s="1">
        <v>149</v>
      </c>
      <c r="D248" s="1">
        <v>5842</v>
      </c>
    </row>
    <row r="249" spans="1:4">
      <c r="A249" t="s">
        <v>8338</v>
      </c>
      <c r="B249" t="s">
        <v>35</v>
      </c>
      <c r="C249" s="1">
        <v>152</v>
      </c>
      <c r="D249" s="1">
        <v>1087</v>
      </c>
    </row>
    <row r="250" spans="1:4">
      <c r="A250" t="s">
        <v>8339</v>
      </c>
      <c r="B250" t="s">
        <v>2666</v>
      </c>
      <c r="C250" s="1">
        <v>2628</v>
      </c>
      <c r="D250" s="1">
        <v>1</v>
      </c>
    </row>
    <row r="251" spans="1:4">
      <c r="A251" t="s">
        <v>8340</v>
      </c>
      <c r="B251" t="s">
        <v>2305</v>
      </c>
      <c r="C251" s="1">
        <v>2285</v>
      </c>
      <c r="D251" s="1">
        <v>253</v>
      </c>
    </row>
    <row r="252" spans="1:4">
      <c r="A252" t="s">
        <v>8341</v>
      </c>
      <c r="B252" t="s">
        <v>7441</v>
      </c>
      <c r="C252" s="1">
        <v>2296</v>
      </c>
      <c r="D252" s="1">
        <v>2</v>
      </c>
    </row>
    <row r="253" spans="1:4">
      <c r="A253" t="s">
        <v>8342</v>
      </c>
      <c r="B253" t="s">
        <v>796</v>
      </c>
      <c r="C253" s="1">
        <v>2325</v>
      </c>
      <c r="D253" s="1">
        <v>48</v>
      </c>
    </row>
    <row r="254" spans="1:4">
      <c r="A254" t="s">
        <v>8343</v>
      </c>
      <c r="B254" t="s">
        <v>2562</v>
      </c>
      <c r="C254" s="1">
        <v>960</v>
      </c>
      <c r="D254" s="1">
        <v>1</v>
      </c>
    </row>
    <row r="255" spans="1:4">
      <c r="A255" t="s">
        <v>8344</v>
      </c>
      <c r="B255" t="s">
        <v>667</v>
      </c>
      <c r="C255" s="1">
        <v>1804</v>
      </c>
      <c r="D255" s="1">
        <v>148</v>
      </c>
    </row>
    <row r="256" spans="1:4">
      <c r="A256" t="s">
        <v>8345</v>
      </c>
      <c r="B256" t="s">
        <v>7940</v>
      </c>
      <c r="C256" s="1">
        <v>1241</v>
      </c>
      <c r="D256" s="1">
        <v>90</v>
      </c>
    </row>
    <row r="257" spans="1:4">
      <c r="A257" t="s">
        <v>8346</v>
      </c>
      <c r="B257" t="s">
        <v>7942</v>
      </c>
      <c r="C257" s="1">
        <v>1242</v>
      </c>
      <c r="D257" s="1">
        <v>73</v>
      </c>
    </row>
    <row r="258" spans="1:4">
      <c r="A258" t="s">
        <v>8347</v>
      </c>
      <c r="B258" t="s">
        <v>7956</v>
      </c>
      <c r="C258" s="1">
        <v>1249</v>
      </c>
      <c r="D258" s="1">
        <v>54</v>
      </c>
    </row>
    <row r="259" spans="1:4">
      <c r="A259" t="s">
        <v>8348</v>
      </c>
      <c r="B259" t="s">
        <v>7960</v>
      </c>
      <c r="C259" s="1">
        <v>1251</v>
      </c>
      <c r="D259" s="1">
        <v>78</v>
      </c>
    </row>
    <row r="260" spans="1:4">
      <c r="A260" t="s">
        <v>8349</v>
      </c>
      <c r="B260" t="s">
        <v>7990</v>
      </c>
      <c r="C260" s="1">
        <v>1266</v>
      </c>
      <c r="D260" s="1">
        <v>654</v>
      </c>
    </row>
    <row r="261" spans="1:4">
      <c r="A261" t="s">
        <v>8350</v>
      </c>
      <c r="B261" t="s">
        <v>7992</v>
      </c>
      <c r="C261" s="1">
        <v>1267</v>
      </c>
      <c r="D261" s="1">
        <v>87</v>
      </c>
    </row>
    <row r="262" spans="1:4">
      <c r="A262" t="s">
        <v>8351</v>
      </c>
      <c r="B262" t="s">
        <v>7994</v>
      </c>
      <c r="C262" s="1">
        <v>1268</v>
      </c>
      <c r="D262" s="1">
        <v>25</v>
      </c>
    </row>
    <row r="263" spans="1:4">
      <c r="A263" t="s">
        <v>8352</v>
      </c>
      <c r="B263" t="s">
        <v>7996</v>
      </c>
      <c r="C263" s="1">
        <v>1269</v>
      </c>
      <c r="D263" s="1">
        <v>42</v>
      </c>
    </row>
    <row r="264" spans="1:4">
      <c r="A264" t="s">
        <v>8353</v>
      </c>
      <c r="B264" t="s">
        <v>7224</v>
      </c>
      <c r="C264" s="1">
        <v>1882</v>
      </c>
      <c r="D264" s="1">
        <v>2</v>
      </c>
    </row>
    <row r="265" spans="1:4">
      <c r="A265" t="s">
        <v>8354</v>
      </c>
      <c r="B265" t="s">
        <v>7184</v>
      </c>
      <c r="C265" s="1">
        <v>1382</v>
      </c>
      <c r="D265" s="1">
        <v>186</v>
      </c>
    </row>
    <row r="266" spans="1:4">
      <c r="A266" t="s">
        <v>8355</v>
      </c>
      <c r="B266" t="s">
        <v>7198</v>
      </c>
      <c r="C266" s="1">
        <v>1384</v>
      </c>
      <c r="D266" s="1">
        <v>96</v>
      </c>
    </row>
    <row r="267" spans="1:4">
      <c r="A267" t="s">
        <v>8356</v>
      </c>
      <c r="B267" t="s">
        <v>165</v>
      </c>
      <c r="C267" s="1">
        <v>1390</v>
      </c>
      <c r="D267" s="1">
        <v>21145</v>
      </c>
    </row>
    <row r="268" spans="1:4">
      <c r="A268" t="s">
        <v>8357</v>
      </c>
      <c r="B268" t="s">
        <v>604</v>
      </c>
      <c r="C268" s="1">
        <v>1393</v>
      </c>
      <c r="D268" s="1">
        <v>41664</v>
      </c>
    </row>
    <row r="269" spans="1:4">
      <c r="A269" t="s">
        <v>8358</v>
      </c>
      <c r="B269" t="s">
        <v>5809</v>
      </c>
      <c r="C269" s="1">
        <v>3601</v>
      </c>
      <c r="D269" s="1">
        <v>309</v>
      </c>
    </row>
    <row r="270" spans="1:4">
      <c r="A270" t="s">
        <v>8359</v>
      </c>
      <c r="B270" t="s">
        <v>1914</v>
      </c>
      <c r="C270" s="1">
        <v>3835</v>
      </c>
      <c r="D270" s="1">
        <v>56</v>
      </c>
    </row>
    <row r="271" spans="1:4">
      <c r="A271" t="s">
        <v>8360</v>
      </c>
      <c r="B271" t="s">
        <v>1942</v>
      </c>
      <c r="C271" s="1">
        <v>3830</v>
      </c>
      <c r="D271" s="1">
        <v>35</v>
      </c>
    </row>
    <row r="272" spans="1:4">
      <c r="A272" t="s">
        <v>8361</v>
      </c>
      <c r="B272" t="s">
        <v>2130</v>
      </c>
      <c r="C272" s="1">
        <v>3863</v>
      </c>
      <c r="D272" s="1">
        <v>21</v>
      </c>
    </row>
    <row r="273" spans="1:4">
      <c r="A273" t="s">
        <v>8362</v>
      </c>
      <c r="B273" t="s">
        <v>2138</v>
      </c>
      <c r="C273" s="1">
        <v>3864</v>
      </c>
      <c r="D273" s="1">
        <v>6</v>
      </c>
    </row>
    <row r="274" spans="1:4">
      <c r="A274" t="s">
        <v>8363</v>
      </c>
      <c r="B274" t="s">
        <v>1949</v>
      </c>
      <c r="C274" s="1">
        <v>3871</v>
      </c>
      <c r="D274" s="1">
        <v>10</v>
      </c>
    </row>
    <row r="275" spans="1:4">
      <c r="A275" t="s">
        <v>8364</v>
      </c>
      <c r="B275" t="s">
        <v>435</v>
      </c>
      <c r="C275" s="1">
        <v>3883</v>
      </c>
      <c r="D275" s="1">
        <v>13</v>
      </c>
    </row>
    <row r="276" spans="1:4">
      <c r="A276" t="s">
        <v>8365</v>
      </c>
      <c r="B276" t="s">
        <v>253</v>
      </c>
      <c r="C276" s="1">
        <v>21</v>
      </c>
      <c r="D276" s="1">
        <v>20</v>
      </c>
    </row>
    <row r="277" spans="1:4">
      <c r="A277" t="s">
        <v>8366</v>
      </c>
      <c r="B277" t="s">
        <v>659</v>
      </c>
      <c r="C277" s="1">
        <v>52</v>
      </c>
      <c r="D277" s="1">
        <v>67</v>
      </c>
    </row>
    <row r="278" spans="1:4">
      <c r="A278" t="s">
        <v>8367</v>
      </c>
      <c r="B278" t="s">
        <v>2261</v>
      </c>
      <c r="C278" s="1">
        <v>169</v>
      </c>
      <c r="D278" s="1">
        <v>406</v>
      </c>
    </row>
    <row r="279" spans="1:4">
      <c r="A279" t="s">
        <v>8368</v>
      </c>
      <c r="B279" t="s">
        <v>2363</v>
      </c>
      <c r="C279" s="1">
        <v>176</v>
      </c>
      <c r="D279" s="1">
        <v>118</v>
      </c>
    </row>
    <row r="280" spans="1:4">
      <c r="A280" t="s">
        <v>8369</v>
      </c>
      <c r="B280" t="s">
        <v>29</v>
      </c>
      <c r="C280" s="1">
        <v>2</v>
      </c>
      <c r="D280" s="1">
        <v>849</v>
      </c>
    </row>
    <row r="281" spans="1:4">
      <c r="A281" t="s">
        <v>8370</v>
      </c>
      <c r="B281" t="s">
        <v>318</v>
      </c>
      <c r="C281" s="1">
        <v>80</v>
      </c>
      <c r="D281" s="1">
        <v>4609</v>
      </c>
    </row>
    <row r="282" spans="1:4">
      <c r="A282" t="s">
        <v>8371</v>
      </c>
      <c r="B282" t="s">
        <v>492</v>
      </c>
      <c r="C282" s="1">
        <v>94</v>
      </c>
      <c r="D282" s="1">
        <v>2</v>
      </c>
    </row>
    <row r="283" spans="1:4">
      <c r="A283" t="s">
        <v>8372</v>
      </c>
      <c r="B283" t="s">
        <v>515</v>
      </c>
      <c r="C283" s="1">
        <v>104</v>
      </c>
      <c r="D283" s="1">
        <v>1</v>
      </c>
    </row>
    <row r="284" spans="1:4">
      <c r="A284" t="s">
        <v>8373</v>
      </c>
      <c r="B284" t="s">
        <v>542</v>
      </c>
      <c r="C284" s="1">
        <v>117</v>
      </c>
      <c r="D284" s="1">
        <v>3</v>
      </c>
    </row>
    <row r="285" spans="1:4">
      <c r="A285" t="s">
        <v>8374</v>
      </c>
      <c r="B285" t="s">
        <v>1279</v>
      </c>
      <c r="C285" s="1">
        <v>2031</v>
      </c>
      <c r="D285" s="1">
        <v>2</v>
      </c>
    </row>
    <row r="286" spans="1:4">
      <c r="A286" t="s">
        <v>8375</v>
      </c>
      <c r="B286" t="s">
        <v>374</v>
      </c>
      <c r="C286" s="1">
        <v>2135</v>
      </c>
      <c r="D286" s="1">
        <v>12</v>
      </c>
    </row>
    <row r="287" spans="1:4">
      <c r="A287" t="s">
        <v>8376</v>
      </c>
      <c r="B287" t="s">
        <v>7643</v>
      </c>
      <c r="C287" s="1">
        <v>2625</v>
      </c>
      <c r="D287" s="1">
        <v>61</v>
      </c>
    </row>
    <row r="288" spans="1:4">
      <c r="A288" t="s">
        <v>8377</v>
      </c>
      <c r="B288" t="s">
        <v>2500</v>
      </c>
      <c r="C288" s="1">
        <v>717</v>
      </c>
      <c r="D288" s="1">
        <v>3</v>
      </c>
    </row>
    <row r="289" spans="1:4">
      <c r="A289" t="s">
        <v>8378</v>
      </c>
      <c r="B289" t="s">
        <v>7972</v>
      </c>
      <c r="C289" s="1">
        <v>1257</v>
      </c>
      <c r="D289" s="1">
        <v>45</v>
      </c>
    </row>
    <row r="290" spans="1:4">
      <c r="A290" t="s">
        <v>8379</v>
      </c>
      <c r="B290" t="s">
        <v>7974</v>
      </c>
      <c r="C290" s="1">
        <v>1258</v>
      </c>
      <c r="D290" s="1">
        <v>245</v>
      </c>
    </row>
    <row r="291" spans="1:4">
      <c r="A291" t="s">
        <v>8380</v>
      </c>
      <c r="B291" t="s">
        <v>8056</v>
      </c>
      <c r="C291" s="1">
        <v>1272</v>
      </c>
      <c r="D291" s="1">
        <v>7</v>
      </c>
    </row>
    <row r="292" spans="1:4">
      <c r="A292" t="s">
        <v>8381</v>
      </c>
      <c r="B292" t="s">
        <v>2650</v>
      </c>
      <c r="C292" s="1">
        <v>1213</v>
      </c>
      <c r="D292" s="1">
        <v>90</v>
      </c>
    </row>
    <row r="293" spans="1:4">
      <c r="A293" t="s">
        <v>8382</v>
      </c>
      <c r="B293" t="s">
        <v>378</v>
      </c>
      <c r="C293" s="1">
        <v>2319</v>
      </c>
      <c r="D293" s="1">
        <v>14</v>
      </c>
    </row>
    <row r="294" spans="1:4">
      <c r="A294" t="s">
        <v>8383</v>
      </c>
      <c r="B294" t="s">
        <v>960</v>
      </c>
      <c r="C294" s="1">
        <v>1227</v>
      </c>
      <c r="D294" s="1">
        <v>20</v>
      </c>
    </row>
    <row r="295" spans="1:4">
      <c r="A295" t="s">
        <v>8384</v>
      </c>
      <c r="B295" t="s">
        <v>7200</v>
      </c>
      <c r="C295" s="1">
        <v>1383</v>
      </c>
      <c r="D295" s="1">
        <v>209</v>
      </c>
    </row>
    <row r="296" spans="1:4">
      <c r="A296" t="s">
        <v>8385</v>
      </c>
      <c r="B296" t="s">
        <v>157</v>
      </c>
      <c r="C296" s="1">
        <v>1392</v>
      </c>
      <c r="D296" s="1">
        <v>23472</v>
      </c>
    </row>
    <row r="297" spans="1:4">
      <c r="A297" t="s">
        <v>8386</v>
      </c>
      <c r="B297" t="s">
        <v>7998</v>
      </c>
      <c r="C297" s="1">
        <v>1345</v>
      </c>
      <c r="D297" s="1">
        <v>1</v>
      </c>
    </row>
    <row r="298" spans="1:4">
      <c r="A298" t="s">
        <v>8387</v>
      </c>
      <c r="B298" t="s">
        <v>8000</v>
      </c>
      <c r="C298" s="1">
        <v>1346</v>
      </c>
      <c r="D298" s="1">
        <v>70</v>
      </c>
    </row>
    <row r="299" spans="1:4">
      <c r="A299" t="s">
        <v>8388</v>
      </c>
      <c r="B299" t="s">
        <v>2377</v>
      </c>
      <c r="C299" s="1">
        <v>1351</v>
      </c>
      <c r="D299" s="1">
        <v>7</v>
      </c>
    </row>
    <row r="300" spans="1:4">
      <c r="A300" t="s">
        <v>8389</v>
      </c>
      <c r="B300" t="s">
        <v>3590</v>
      </c>
      <c r="C300" s="1">
        <v>1440</v>
      </c>
      <c r="D300" s="1">
        <v>7</v>
      </c>
    </row>
    <row r="301" spans="1:4">
      <c r="A301" t="s">
        <v>8390</v>
      </c>
      <c r="B301" t="s">
        <v>7216</v>
      </c>
      <c r="C301" s="1">
        <v>1758</v>
      </c>
      <c r="D301" s="1">
        <v>25</v>
      </c>
    </row>
    <row r="302" spans="1:4">
      <c r="A302" t="s">
        <v>8391</v>
      </c>
      <c r="B302" t="s">
        <v>8080</v>
      </c>
      <c r="C302" s="1">
        <v>2974</v>
      </c>
      <c r="D302" s="1">
        <v>3</v>
      </c>
    </row>
    <row r="303" spans="1:4">
      <c r="A303" t="s">
        <v>8392</v>
      </c>
      <c r="B303" t="s">
        <v>79</v>
      </c>
      <c r="C303" s="1">
        <v>3436</v>
      </c>
      <c r="D303" s="1">
        <v>2</v>
      </c>
    </row>
    <row r="304" spans="1:4">
      <c r="A304" t="s">
        <v>8393</v>
      </c>
      <c r="B304" t="s">
        <v>721</v>
      </c>
      <c r="C304" s="1">
        <v>3512</v>
      </c>
      <c r="D304" s="1">
        <v>31</v>
      </c>
    </row>
    <row r="305" spans="1:4">
      <c r="A305" t="s">
        <v>8394</v>
      </c>
      <c r="B305" t="s">
        <v>219</v>
      </c>
      <c r="C305" s="1">
        <v>3491</v>
      </c>
      <c r="D305" s="1">
        <v>6</v>
      </c>
    </row>
    <row r="306" spans="1:4">
      <c r="A306" t="s">
        <v>8395</v>
      </c>
      <c r="B306" t="s">
        <v>1829</v>
      </c>
      <c r="C306" s="1">
        <v>3509</v>
      </c>
      <c r="D306" s="1">
        <v>49</v>
      </c>
    </row>
    <row r="307" spans="1:4">
      <c r="A307" t="s">
        <v>8396</v>
      </c>
      <c r="B307" t="s">
        <v>609</v>
      </c>
      <c r="C307" s="1">
        <v>3831</v>
      </c>
      <c r="D307" s="1">
        <v>959</v>
      </c>
    </row>
    <row r="308" spans="1:4">
      <c r="A308" t="s">
        <v>8397</v>
      </c>
      <c r="B308" t="s">
        <v>416</v>
      </c>
      <c r="C308" s="1">
        <v>3834</v>
      </c>
      <c r="D308" s="1">
        <v>4</v>
      </c>
    </row>
    <row r="309" spans="1:4">
      <c r="A309" t="s">
        <v>8398</v>
      </c>
      <c r="B309" t="s">
        <v>197</v>
      </c>
      <c r="C309" s="1">
        <v>3851</v>
      </c>
      <c r="D309" s="1">
        <v>6</v>
      </c>
    </row>
    <row r="310" spans="1:4">
      <c r="A310" t="s">
        <v>8399</v>
      </c>
      <c r="B310" t="s">
        <v>1861</v>
      </c>
      <c r="C310" s="1">
        <v>3854</v>
      </c>
      <c r="D310" s="1">
        <v>4</v>
      </c>
    </row>
    <row r="311" spans="1:4">
      <c r="A311" t="s">
        <v>8400</v>
      </c>
      <c r="B311" t="s">
        <v>231</v>
      </c>
      <c r="C311" s="1">
        <v>3867</v>
      </c>
      <c r="D311" s="1">
        <v>212</v>
      </c>
    </row>
    <row r="312" spans="1:4">
      <c r="A312" t="s">
        <v>8401</v>
      </c>
      <c r="B312" t="s">
        <v>7190</v>
      </c>
      <c r="C312" s="1">
        <v>3879</v>
      </c>
      <c r="D312" s="1">
        <v>7</v>
      </c>
    </row>
    <row r="313" spans="1:4">
      <c r="A313" t="s">
        <v>8402</v>
      </c>
      <c r="B313" t="s">
        <v>227</v>
      </c>
      <c r="C313" s="1">
        <v>3848</v>
      </c>
      <c r="D313" s="1">
        <v>128</v>
      </c>
    </row>
    <row r="314" spans="1:4">
      <c r="A314" t="s">
        <v>8403</v>
      </c>
      <c r="B314" t="s">
        <v>2098</v>
      </c>
      <c r="C314" s="1">
        <v>3849</v>
      </c>
      <c r="D314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CUENTAS NUEVO</vt:lpstr>
      <vt:lpstr>PLAN DE CUENTAS VIEJO</vt:lpstr>
      <vt:lpstr>Mov 2023 hasta ahora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Norry</dc:creator>
  <cp:lastModifiedBy>Win10</cp:lastModifiedBy>
  <dcterms:created xsi:type="dcterms:W3CDTF">2025-02-12T17:15:02Z</dcterms:created>
  <dcterms:modified xsi:type="dcterms:W3CDTF">2025-12-17T15:58:03Z</dcterms:modified>
</cp:coreProperties>
</file>